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I:\Month End 2025\CORE\AIF\"/>
    </mc:Choice>
  </mc:AlternateContent>
  <xr:revisionPtr revIDLastSave="0" documentId="8_{EF337812-1B20-41A8-A89F-5AC2DE3B9792}" xr6:coauthVersionLast="47" xr6:coauthVersionMax="47" xr10:uidLastSave="{00000000-0000-0000-0000-000000000000}"/>
  <bookViews>
    <workbookView xWindow="-108" yWindow="-108" windowWidth="23256" windowHeight="12456" firstSheet="5" activeTab="5" xr2:uid="{563FB8D8-21E3-45FD-9AE5-3F7399950AAE}"/>
  </bookViews>
  <sheets>
    <sheet name="BPC Check" sheetId="8" state="hidden" r:id="rId1"/>
    <sheet name="Customers sorted by Revs 22" sheetId="13" state="hidden" r:id="rId2"/>
    <sheet name="Consolidated Revenue" sheetId="12" state="hidden" r:id="rId3"/>
    <sheet name="Recurring Revenue Euros" sheetId="17" r:id="rId4"/>
    <sheet name="Recurring Revenue Data" sheetId="10" r:id="rId5"/>
    <sheet name="Revenue Consolidated" sheetId="16" r:id="rId6"/>
    <sheet name="Summary" sheetId="9" r:id="rId7"/>
    <sheet name="Deferred Maintenance" sheetId="2" r:id="rId8"/>
    <sheet name="Hosting" sheetId="3" r:id="rId9"/>
    <sheet name="3rd Party Maintenance" sheetId="1" r:id="rId10"/>
    <sheet name="Hosting COGS" sheetId="15" state="hidden" r:id="rId11"/>
    <sheet name="PS" sheetId="4" r:id="rId12"/>
    <sheet name="Licence" sheetId="5" r:id="rId13"/>
    <sheet name="5050-10" sheetId="14" r:id="rId14"/>
  </sheets>
  <definedNames>
    <definedName name="_xlnm._FilterDatabase" localSheetId="2" hidden="1">'Consolidated Revenue'!$A$1:$B$224</definedName>
    <definedName name="_xlnm._FilterDatabase" localSheetId="10" hidden="1">'Hosting COGS'!$A$1:$B$36</definedName>
    <definedName name="_xlnm._FilterDatabase" localSheetId="4" hidden="1">'Recurring Revenue Data'!$A$1:$B$126</definedName>
    <definedName name="_xlnm._FilterDatabase" localSheetId="3" hidden="1">'Recurring Revenue Euros'!$K$3:$L$131</definedName>
    <definedName name="_xlnm._FilterDatabase" localSheetId="5" hidden="1">'Revenue Consolidated'!$A$1:$B$221</definedName>
  </definedNames>
  <calcPr calcId="191028"/>
  <pivotCaches>
    <pivotCache cacheId="72" r:id="rId15"/>
    <pivotCache cacheId="73" r:id="rId16"/>
    <pivotCache cacheId="74" r:id="rId17"/>
    <pivotCache cacheId="75" r:id="rId18"/>
    <pivotCache cacheId="76" r:id="rId19"/>
    <pivotCache cacheId="77" r:id="rId20"/>
    <pivotCache cacheId="78" r:id="rId21"/>
    <pivotCache cacheId="79" r:id="rId22"/>
    <pivotCache cacheId="80" r:id="rId23"/>
    <pivotCache cacheId="81" r:id="rId24"/>
    <pivotCache cacheId="82" r:id="rId2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3" i="16" l="1"/>
  <c r="I62" i="16"/>
  <c r="B225" i="16" l="1"/>
  <c r="O4" i="5"/>
  <c r="P4" i="5"/>
  <c r="AA4" i="5" s="1"/>
  <c r="Q4" i="5"/>
  <c r="R4" i="5"/>
  <c r="S4" i="5"/>
  <c r="T4" i="5"/>
  <c r="U4" i="5"/>
  <c r="V4" i="5"/>
  <c r="W4" i="5"/>
  <c r="X4" i="5"/>
  <c r="Y4" i="5"/>
  <c r="Z4" i="5"/>
  <c r="O5" i="5"/>
  <c r="AA5" i="5" s="1"/>
  <c r="P5" i="5"/>
  <c r="Q5" i="5"/>
  <c r="R5" i="5"/>
  <c r="S5" i="5"/>
  <c r="T5" i="5"/>
  <c r="U5" i="5"/>
  <c r="V5" i="5"/>
  <c r="W5" i="5"/>
  <c r="X5" i="5"/>
  <c r="Y5" i="5"/>
  <c r="Z5" i="5"/>
  <c r="O6" i="5"/>
  <c r="P6" i="5"/>
  <c r="Q6" i="5"/>
  <c r="R6" i="5"/>
  <c r="S6" i="5"/>
  <c r="T6" i="5"/>
  <c r="U6" i="5"/>
  <c r="V6" i="5"/>
  <c r="W6" i="5"/>
  <c r="X6" i="5"/>
  <c r="Y6" i="5"/>
  <c r="Z6" i="5"/>
  <c r="AA6" i="5"/>
  <c r="O7" i="5"/>
  <c r="P7" i="5"/>
  <c r="Q7" i="5"/>
  <c r="AA7" i="5" s="1"/>
  <c r="R7" i="5"/>
  <c r="S7" i="5"/>
  <c r="T7" i="5"/>
  <c r="U7" i="5"/>
  <c r="V7" i="5"/>
  <c r="W7" i="5"/>
  <c r="X7" i="5"/>
  <c r="Y7" i="5"/>
  <c r="Z7" i="5"/>
  <c r="O8" i="5"/>
  <c r="AA8" i="5" s="1"/>
  <c r="P8" i="5"/>
  <c r="Q8" i="5"/>
  <c r="R8" i="5"/>
  <c r="S8" i="5"/>
  <c r="T8" i="5"/>
  <c r="U8" i="5"/>
  <c r="V8" i="5"/>
  <c r="W8" i="5"/>
  <c r="X8" i="5"/>
  <c r="Y8" i="5"/>
  <c r="Z8" i="5"/>
  <c r="O9" i="5"/>
  <c r="P9" i="5"/>
  <c r="Q9" i="5"/>
  <c r="R9" i="5"/>
  <c r="S9" i="5"/>
  <c r="T9" i="5"/>
  <c r="AA9" i="5" s="1"/>
  <c r="U9" i="5"/>
  <c r="V9" i="5"/>
  <c r="W9" i="5"/>
  <c r="X9" i="5"/>
  <c r="Y9" i="5"/>
  <c r="Z9" i="5"/>
  <c r="O10" i="5"/>
  <c r="AA10" i="5" s="1"/>
  <c r="P10" i="5"/>
  <c r="Q10" i="5"/>
  <c r="R10" i="5"/>
  <c r="S10" i="5"/>
  <c r="T10" i="5"/>
  <c r="U10" i="5"/>
  <c r="V10" i="5"/>
  <c r="W10" i="5"/>
  <c r="X10" i="5"/>
  <c r="Y10" i="5"/>
  <c r="Z10" i="5"/>
  <c r="K19" i="5"/>
  <c r="N38" i="3"/>
  <c r="AA52" i="5" l="1"/>
  <c r="M21" i="4"/>
  <c r="L21" i="4"/>
  <c r="K21" i="4"/>
  <c r="J21" i="4"/>
  <c r="I21" i="4"/>
  <c r="H21" i="4" l="1"/>
  <c r="F21" i="4"/>
  <c r="C21" i="4"/>
  <c r="I48" i="2" l="1"/>
  <c r="N50" i="2"/>
  <c r="J49" i="2"/>
  <c r="J48" i="2"/>
  <c r="D3" i="2" l="1"/>
  <c r="C26" i="2"/>
  <c r="C48" i="2"/>
  <c r="C36" i="2"/>
  <c r="C25" i="2"/>
  <c r="L132" i="17" l="1"/>
  <c r="M6" i="16" l="1"/>
  <c r="P54" i="5" l="1"/>
  <c r="Q54" i="5"/>
  <c r="R54" i="5"/>
  <c r="S54" i="5"/>
  <c r="T54" i="5"/>
  <c r="V54" i="5"/>
  <c r="W54" i="5"/>
  <c r="Y54" i="5"/>
  <c r="Z54" i="5"/>
  <c r="O54" i="5"/>
  <c r="AA3" i="4" l="1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2" i="4"/>
  <c r="N3" i="4"/>
  <c r="O3" i="4"/>
  <c r="P3" i="4"/>
  <c r="Q3" i="4"/>
  <c r="R3" i="4"/>
  <c r="S3" i="4"/>
  <c r="T3" i="4"/>
  <c r="U3" i="4"/>
  <c r="V3" i="4"/>
  <c r="W3" i="4"/>
  <c r="X3" i="4"/>
  <c r="Y3" i="4"/>
  <c r="Z3" i="4"/>
  <c r="N4" i="4"/>
  <c r="O4" i="4"/>
  <c r="P4" i="4"/>
  <c r="Q4" i="4"/>
  <c r="R4" i="4"/>
  <c r="S4" i="4"/>
  <c r="T4" i="4"/>
  <c r="U4" i="4"/>
  <c r="V4" i="4"/>
  <c r="W4" i="4"/>
  <c r="X4" i="4"/>
  <c r="Y4" i="4"/>
  <c r="Z4" i="4"/>
  <c r="N5" i="4"/>
  <c r="O5" i="4"/>
  <c r="P5" i="4"/>
  <c r="Q5" i="4"/>
  <c r="R5" i="4"/>
  <c r="S5" i="4"/>
  <c r="T5" i="4"/>
  <c r="U5" i="4"/>
  <c r="V5" i="4"/>
  <c r="W5" i="4"/>
  <c r="X5" i="4"/>
  <c r="Y5" i="4"/>
  <c r="Z5" i="4"/>
  <c r="N6" i="4"/>
  <c r="O6" i="4"/>
  <c r="P6" i="4"/>
  <c r="Q6" i="4"/>
  <c r="R6" i="4"/>
  <c r="S6" i="4"/>
  <c r="T6" i="4"/>
  <c r="U6" i="4"/>
  <c r="V6" i="4"/>
  <c r="W6" i="4"/>
  <c r="X6" i="4"/>
  <c r="Y6" i="4"/>
  <c r="Z6" i="4"/>
  <c r="N7" i="4"/>
  <c r="O7" i="4"/>
  <c r="P7" i="4"/>
  <c r="Q7" i="4"/>
  <c r="R7" i="4"/>
  <c r="S7" i="4"/>
  <c r="T7" i="4"/>
  <c r="U7" i="4"/>
  <c r="V7" i="4"/>
  <c r="W7" i="4"/>
  <c r="X7" i="4"/>
  <c r="Y7" i="4"/>
  <c r="Z7" i="4"/>
  <c r="N8" i="4"/>
  <c r="O8" i="4"/>
  <c r="P8" i="4"/>
  <c r="Q8" i="4"/>
  <c r="R8" i="4"/>
  <c r="S8" i="4"/>
  <c r="T8" i="4"/>
  <c r="U8" i="4"/>
  <c r="V8" i="4"/>
  <c r="W8" i="4"/>
  <c r="X8" i="4"/>
  <c r="Y8" i="4"/>
  <c r="Z8" i="4"/>
  <c r="N9" i="4"/>
  <c r="O9" i="4"/>
  <c r="P9" i="4"/>
  <c r="Q9" i="4"/>
  <c r="R9" i="4"/>
  <c r="S9" i="4"/>
  <c r="T9" i="4"/>
  <c r="U9" i="4"/>
  <c r="V9" i="4"/>
  <c r="W9" i="4"/>
  <c r="X9" i="4"/>
  <c r="Y9" i="4"/>
  <c r="Z9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S52" i="4"/>
  <c r="M2" i="4"/>
  <c r="M35" i="4"/>
  <c r="M17" i="4"/>
  <c r="AA21" i="4" l="1"/>
  <c r="AA51" i="4"/>
  <c r="M18" i="4"/>
  <c r="M53" i="4"/>
  <c r="D43" i="1" l="1"/>
  <c r="B45" i="1" l="1"/>
  <c r="F30" i="1"/>
  <c r="B19" i="1"/>
  <c r="O3" i="3"/>
  <c r="P3" i="3"/>
  <c r="Q3" i="3"/>
  <c r="R3" i="3"/>
  <c r="S3" i="3"/>
  <c r="T3" i="3"/>
  <c r="U3" i="3"/>
  <c r="V3" i="3"/>
  <c r="W3" i="3"/>
  <c r="X3" i="3"/>
  <c r="Y3" i="3"/>
  <c r="Z3" i="3"/>
  <c r="O4" i="3"/>
  <c r="P4" i="3"/>
  <c r="Q4" i="3"/>
  <c r="R4" i="3"/>
  <c r="S4" i="3"/>
  <c r="T4" i="3"/>
  <c r="U4" i="3"/>
  <c r="V4" i="3"/>
  <c r="W4" i="3"/>
  <c r="X4" i="3"/>
  <c r="Y4" i="3"/>
  <c r="Z4" i="3"/>
  <c r="O5" i="3"/>
  <c r="P5" i="3"/>
  <c r="Q5" i="3"/>
  <c r="R5" i="3"/>
  <c r="S5" i="3"/>
  <c r="T5" i="3"/>
  <c r="U5" i="3"/>
  <c r="V5" i="3"/>
  <c r="W5" i="3"/>
  <c r="X5" i="3"/>
  <c r="Y5" i="3"/>
  <c r="Z5" i="3"/>
  <c r="O6" i="3"/>
  <c r="P6" i="3"/>
  <c r="Q6" i="3"/>
  <c r="R6" i="3"/>
  <c r="S6" i="3"/>
  <c r="T6" i="3"/>
  <c r="U6" i="3"/>
  <c r="V6" i="3"/>
  <c r="W6" i="3"/>
  <c r="X6" i="3"/>
  <c r="Y6" i="3"/>
  <c r="Z6" i="3"/>
  <c r="O7" i="3"/>
  <c r="P7" i="3"/>
  <c r="Q7" i="3"/>
  <c r="R7" i="3"/>
  <c r="S7" i="3"/>
  <c r="T7" i="3"/>
  <c r="U7" i="3"/>
  <c r="V7" i="3"/>
  <c r="W7" i="3"/>
  <c r="X7" i="3"/>
  <c r="Y7" i="3"/>
  <c r="Z7" i="3"/>
  <c r="O8" i="3"/>
  <c r="P8" i="3"/>
  <c r="Q8" i="3"/>
  <c r="R8" i="3"/>
  <c r="S8" i="3"/>
  <c r="T8" i="3"/>
  <c r="U8" i="3"/>
  <c r="V8" i="3"/>
  <c r="W8" i="3"/>
  <c r="X8" i="3"/>
  <c r="Y8" i="3"/>
  <c r="Z8" i="3"/>
  <c r="O9" i="3"/>
  <c r="P9" i="3"/>
  <c r="Q9" i="3"/>
  <c r="R9" i="3"/>
  <c r="S9" i="3"/>
  <c r="T9" i="3"/>
  <c r="U9" i="3"/>
  <c r="V9" i="3"/>
  <c r="W9" i="3"/>
  <c r="X9" i="3"/>
  <c r="Y9" i="3"/>
  <c r="Z9" i="3"/>
  <c r="O10" i="3"/>
  <c r="P10" i="3"/>
  <c r="Q10" i="3"/>
  <c r="R10" i="3"/>
  <c r="S10" i="3"/>
  <c r="T10" i="3"/>
  <c r="U10" i="3"/>
  <c r="V10" i="3"/>
  <c r="W10" i="3"/>
  <c r="X10" i="3"/>
  <c r="Y10" i="3"/>
  <c r="Z10" i="3"/>
  <c r="O11" i="3"/>
  <c r="P11" i="3"/>
  <c r="Q11" i="3"/>
  <c r="R11" i="3"/>
  <c r="S11" i="3"/>
  <c r="T11" i="3"/>
  <c r="U11" i="3"/>
  <c r="V11" i="3"/>
  <c r="W11" i="3"/>
  <c r="X11" i="3"/>
  <c r="Y11" i="3"/>
  <c r="Z11" i="3"/>
  <c r="O12" i="3"/>
  <c r="P12" i="3"/>
  <c r="Q12" i="3"/>
  <c r="R12" i="3"/>
  <c r="S12" i="3"/>
  <c r="T12" i="3"/>
  <c r="U12" i="3"/>
  <c r="V12" i="3"/>
  <c r="W12" i="3"/>
  <c r="X12" i="3"/>
  <c r="Y12" i="3"/>
  <c r="Z12" i="3"/>
  <c r="O13" i="3"/>
  <c r="P13" i="3"/>
  <c r="Q13" i="3"/>
  <c r="R13" i="3"/>
  <c r="S13" i="3"/>
  <c r="T13" i="3"/>
  <c r="U13" i="3"/>
  <c r="V13" i="3"/>
  <c r="W13" i="3"/>
  <c r="X13" i="3"/>
  <c r="Y13" i="3"/>
  <c r="Z13" i="3"/>
  <c r="O14" i="3"/>
  <c r="P14" i="3"/>
  <c r="Q14" i="3"/>
  <c r="R14" i="3"/>
  <c r="S14" i="3"/>
  <c r="T14" i="3"/>
  <c r="U14" i="3"/>
  <c r="V14" i="3"/>
  <c r="W14" i="3"/>
  <c r="X14" i="3"/>
  <c r="Y14" i="3"/>
  <c r="Z14" i="3"/>
  <c r="O15" i="3"/>
  <c r="P15" i="3"/>
  <c r="Q15" i="3"/>
  <c r="R15" i="3"/>
  <c r="S15" i="3"/>
  <c r="T15" i="3"/>
  <c r="U15" i="3"/>
  <c r="V15" i="3"/>
  <c r="W15" i="3"/>
  <c r="X15" i="3"/>
  <c r="Y15" i="3"/>
  <c r="Z15" i="3"/>
  <c r="O16" i="3"/>
  <c r="P16" i="3"/>
  <c r="Q16" i="3"/>
  <c r="R16" i="3"/>
  <c r="S16" i="3"/>
  <c r="T16" i="3"/>
  <c r="U16" i="3"/>
  <c r="V16" i="3"/>
  <c r="W16" i="3"/>
  <c r="X16" i="3"/>
  <c r="Y16" i="3"/>
  <c r="Z16" i="3"/>
  <c r="O17" i="3"/>
  <c r="P17" i="3"/>
  <c r="Q17" i="3"/>
  <c r="R17" i="3"/>
  <c r="S17" i="3"/>
  <c r="T17" i="3"/>
  <c r="U17" i="3"/>
  <c r="V17" i="3"/>
  <c r="W17" i="3"/>
  <c r="X17" i="3"/>
  <c r="Y17" i="3"/>
  <c r="Z17" i="3"/>
  <c r="O18" i="3"/>
  <c r="P18" i="3"/>
  <c r="Q18" i="3"/>
  <c r="R18" i="3"/>
  <c r="S18" i="3"/>
  <c r="T18" i="3"/>
  <c r="U18" i="3"/>
  <c r="V18" i="3"/>
  <c r="W18" i="3"/>
  <c r="X18" i="3"/>
  <c r="Y18" i="3"/>
  <c r="Z18" i="3"/>
  <c r="O19" i="3"/>
  <c r="P19" i="3"/>
  <c r="Q19" i="3"/>
  <c r="R19" i="3"/>
  <c r="S19" i="3"/>
  <c r="T19" i="3"/>
  <c r="U19" i="3"/>
  <c r="V19" i="3"/>
  <c r="W19" i="3"/>
  <c r="X19" i="3"/>
  <c r="Y19" i="3"/>
  <c r="Z19" i="3"/>
  <c r="O20" i="3"/>
  <c r="P20" i="3"/>
  <c r="Q20" i="3"/>
  <c r="R20" i="3"/>
  <c r="S20" i="3"/>
  <c r="T20" i="3"/>
  <c r="U20" i="3"/>
  <c r="V20" i="3"/>
  <c r="W20" i="3"/>
  <c r="X20" i="3"/>
  <c r="Y20" i="3"/>
  <c r="Z20" i="3"/>
  <c r="O21" i="3"/>
  <c r="P21" i="3"/>
  <c r="Q21" i="3"/>
  <c r="R21" i="3"/>
  <c r="S21" i="3"/>
  <c r="T21" i="3"/>
  <c r="U21" i="3"/>
  <c r="V21" i="3"/>
  <c r="W21" i="3"/>
  <c r="X21" i="3"/>
  <c r="Y21" i="3"/>
  <c r="Z21" i="3"/>
  <c r="O22" i="3"/>
  <c r="P22" i="3"/>
  <c r="Q22" i="3"/>
  <c r="R22" i="3"/>
  <c r="S22" i="3"/>
  <c r="T22" i="3"/>
  <c r="U22" i="3"/>
  <c r="V22" i="3"/>
  <c r="W22" i="3"/>
  <c r="X22" i="3"/>
  <c r="Y22" i="3"/>
  <c r="Z22" i="3"/>
  <c r="O23" i="3"/>
  <c r="P23" i="3"/>
  <c r="Q23" i="3"/>
  <c r="R23" i="3"/>
  <c r="S23" i="3"/>
  <c r="T23" i="3"/>
  <c r="U23" i="3"/>
  <c r="V23" i="3"/>
  <c r="W23" i="3"/>
  <c r="X23" i="3"/>
  <c r="Y23" i="3"/>
  <c r="Z23" i="3"/>
  <c r="O24" i="3"/>
  <c r="P24" i="3"/>
  <c r="Q24" i="3"/>
  <c r="R24" i="3"/>
  <c r="S24" i="3"/>
  <c r="T24" i="3"/>
  <c r="U24" i="3"/>
  <c r="V24" i="3"/>
  <c r="W24" i="3"/>
  <c r="X24" i="3"/>
  <c r="Y24" i="3"/>
  <c r="Z24" i="3"/>
  <c r="O25" i="3"/>
  <c r="P25" i="3"/>
  <c r="Q25" i="3"/>
  <c r="R25" i="3"/>
  <c r="S25" i="3"/>
  <c r="T25" i="3"/>
  <c r="U25" i="3"/>
  <c r="V25" i="3"/>
  <c r="W25" i="3"/>
  <c r="X25" i="3"/>
  <c r="Y25" i="3"/>
  <c r="Z25" i="3"/>
  <c r="O26" i="3"/>
  <c r="P26" i="3"/>
  <c r="Q26" i="3"/>
  <c r="R26" i="3"/>
  <c r="S26" i="3"/>
  <c r="T26" i="3"/>
  <c r="U26" i="3"/>
  <c r="V26" i="3"/>
  <c r="W26" i="3"/>
  <c r="X26" i="3"/>
  <c r="Y26" i="3"/>
  <c r="Z26" i="3"/>
  <c r="O27" i="3"/>
  <c r="P27" i="3"/>
  <c r="Q27" i="3"/>
  <c r="R27" i="3"/>
  <c r="S27" i="3"/>
  <c r="T27" i="3"/>
  <c r="U27" i="3"/>
  <c r="V27" i="3"/>
  <c r="W27" i="3"/>
  <c r="X27" i="3"/>
  <c r="Y27" i="3"/>
  <c r="Z27" i="3"/>
  <c r="O28" i="3"/>
  <c r="P28" i="3"/>
  <c r="Q28" i="3"/>
  <c r="R28" i="3"/>
  <c r="S28" i="3"/>
  <c r="T28" i="3"/>
  <c r="U28" i="3"/>
  <c r="V28" i="3"/>
  <c r="W28" i="3"/>
  <c r="X28" i="3"/>
  <c r="Y28" i="3"/>
  <c r="Z28" i="3"/>
  <c r="O29" i="3"/>
  <c r="P29" i="3"/>
  <c r="Q29" i="3"/>
  <c r="R29" i="3"/>
  <c r="S29" i="3"/>
  <c r="T29" i="3"/>
  <c r="U29" i="3"/>
  <c r="V29" i="3"/>
  <c r="W29" i="3"/>
  <c r="X29" i="3"/>
  <c r="Y29" i="3"/>
  <c r="Z29" i="3"/>
  <c r="O30" i="3"/>
  <c r="P30" i="3"/>
  <c r="Q30" i="3"/>
  <c r="R30" i="3"/>
  <c r="S30" i="3"/>
  <c r="T30" i="3"/>
  <c r="U30" i="3"/>
  <c r="V30" i="3"/>
  <c r="W30" i="3"/>
  <c r="X30" i="3"/>
  <c r="Y30" i="3"/>
  <c r="Z30" i="3"/>
  <c r="O31" i="3"/>
  <c r="P31" i="3"/>
  <c r="Q31" i="3"/>
  <c r="R31" i="3"/>
  <c r="S31" i="3"/>
  <c r="T31" i="3"/>
  <c r="U31" i="3"/>
  <c r="V31" i="3"/>
  <c r="W31" i="3"/>
  <c r="X31" i="3"/>
  <c r="Y31" i="3"/>
  <c r="Z31" i="3"/>
  <c r="O32" i="3"/>
  <c r="P32" i="3"/>
  <c r="Q32" i="3"/>
  <c r="R32" i="3"/>
  <c r="S32" i="3"/>
  <c r="T32" i="3"/>
  <c r="U32" i="3"/>
  <c r="V32" i="3"/>
  <c r="W32" i="3"/>
  <c r="X32" i="3"/>
  <c r="Y32" i="3"/>
  <c r="Z32" i="3"/>
  <c r="O33" i="3"/>
  <c r="P33" i="3"/>
  <c r="Q33" i="3"/>
  <c r="R33" i="3"/>
  <c r="S33" i="3"/>
  <c r="T33" i="3"/>
  <c r="U33" i="3"/>
  <c r="V33" i="3"/>
  <c r="W33" i="3"/>
  <c r="X33" i="3"/>
  <c r="Y33" i="3"/>
  <c r="Z33" i="3"/>
  <c r="O34" i="3"/>
  <c r="P34" i="3"/>
  <c r="Q34" i="3"/>
  <c r="R34" i="3"/>
  <c r="S34" i="3"/>
  <c r="T34" i="3"/>
  <c r="U34" i="3"/>
  <c r="V34" i="3"/>
  <c r="W34" i="3"/>
  <c r="X34" i="3"/>
  <c r="Y34" i="3"/>
  <c r="Z34" i="3"/>
  <c r="O35" i="3"/>
  <c r="P35" i="3"/>
  <c r="Q35" i="3"/>
  <c r="R35" i="3"/>
  <c r="S35" i="3"/>
  <c r="T35" i="3"/>
  <c r="U35" i="3"/>
  <c r="V35" i="3"/>
  <c r="W35" i="3"/>
  <c r="X35" i="3"/>
  <c r="Y35" i="3"/>
  <c r="Z35" i="3"/>
  <c r="O36" i="3"/>
  <c r="P36" i="3"/>
  <c r="Q36" i="3"/>
  <c r="R36" i="3"/>
  <c r="S36" i="3"/>
  <c r="T36" i="3"/>
  <c r="U36" i="3"/>
  <c r="V36" i="3"/>
  <c r="W36" i="3"/>
  <c r="X36" i="3"/>
  <c r="Y36" i="3"/>
  <c r="Z36" i="3"/>
  <c r="O37" i="3"/>
  <c r="P37" i="3"/>
  <c r="Q37" i="3"/>
  <c r="R37" i="3"/>
  <c r="S37" i="3"/>
  <c r="T37" i="3"/>
  <c r="U37" i="3"/>
  <c r="V37" i="3"/>
  <c r="W37" i="3"/>
  <c r="X37" i="3"/>
  <c r="Y37" i="3"/>
  <c r="Z37" i="3"/>
  <c r="C38" i="3"/>
  <c r="D38" i="3"/>
  <c r="E38" i="3"/>
  <c r="F38" i="3"/>
  <c r="G38" i="3"/>
  <c r="H38" i="3"/>
  <c r="I38" i="3"/>
  <c r="J38" i="3"/>
  <c r="K38" i="3"/>
  <c r="L38" i="3"/>
  <c r="M38" i="3"/>
  <c r="B38" i="3"/>
  <c r="N37" i="3"/>
  <c r="I34" i="3"/>
  <c r="Z50" i="2" l="1"/>
  <c r="Z3" i="2"/>
  <c r="Z51" i="2" s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Y3" i="2"/>
  <c r="Y51" i="2" s="1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51" i="2" s="1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U3" i="2"/>
  <c r="U4" i="2"/>
  <c r="U5" i="2"/>
  <c r="U6" i="2"/>
  <c r="U7" i="2"/>
  <c r="U8" i="2"/>
  <c r="U9" i="2"/>
  <c r="U10" i="2"/>
  <c r="U11" i="2"/>
  <c r="U12" i="2"/>
  <c r="U13" i="2"/>
  <c r="U51" i="2" s="1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T3" i="2"/>
  <c r="T4" i="2"/>
  <c r="T5" i="2"/>
  <c r="T6" i="2"/>
  <c r="T51" i="2" s="1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S3" i="2"/>
  <c r="S4" i="2"/>
  <c r="S5" i="2"/>
  <c r="S6" i="2"/>
  <c r="S7" i="2"/>
  <c r="S8" i="2"/>
  <c r="S51" i="2" s="1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R3" i="2"/>
  <c r="R4" i="2"/>
  <c r="R5" i="2"/>
  <c r="R6" i="2"/>
  <c r="R51" i="2" s="1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O51" i="2"/>
  <c r="O50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V51" i="2" l="1"/>
  <c r="W51" i="2"/>
  <c r="AA50" i="2"/>
  <c r="Q51" i="2"/>
  <c r="P51" i="2"/>
  <c r="M25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2" i="2"/>
  <c r="M22" i="2"/>
  <c r="L5" i="2"/>
  <c r="K36" i="2"/>
  <c r="J27" i="2"/>
  <c r="J36" i="2"/>
  <c r="H25" i="2"/>
  <c r="C51" i="2"/>
  <c r="D51" i="2"/>
  <c r="E51" i="2"/>
  <c r="F51" i="2"/>
  <c r="G51" i="2"/>
  <c r="H51" i="2"/>
  <c r="I51" i="2"/>
  <c r="J51" i="2"/>
  <c r="K51" i="2"/>
  <c r="L51" i="2"/>
  <c r="M51" i="2"/>
  <c r="B51" i="2"/>
  <c r="N51" i="2" l="1"/>
  <c r="N4" i="5" l="1"/>
  <c r="N5" i="5"/>
  <c r="N6" i="5"/>
  <c r="N7" i="5"/>
  <c r="N8" i="5"/>
  <c r="N9" i="5"/>
  <c r="N10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C41" i="4"/>
  <c r="C39" i="4"/>
  <c r="C38" i="4"/>
  <c r="C35" i="4"/>
  <c r="C22" i="4"/>
  <c r="C17" i="4"/>
  <c r="C9" i="4"/>
  <c r="C4" i="4"/>
  <c r="C2" i="4"/>
  <c r="L41" i="4" l="1"/>
  <c r="L38" i="4"/>
  <c r="L35" i="4"/>
  <c r="L22" i="4"/>
  <c r="L6" i="4"/>
  <c r="K52" i="5" l="1"/>
  <c r="X54" i="5" s="1"/>
  <c r="K53" i="4"/>
  <c r="K18" i="4"/>
  <c r="J33" i="4" l="1"/>
  <c r="J6" i="4"/>
  <c r="J53" i="4" l="1"/>
  <c r="I35" i="4" l="1"/>
  <c r="I18" i="4" l="1"/>
  <c r="I53" i="4" s="1"/>
  <c r="H53" i="4" l="1"/>
  <c r="G21" i="4" l="1"/>
  <c r="G35" i="4"/>
  <c r="G52" i="5" l="1"/>
  <c r="F38" i="4" l="1"/>
  <c r="F35" i="4"/>
  <c r="F22" i="4"/>
  <c r="F53" i="4" l="1"/>
  <c r="E21" i="4" l="1"/>
  <c r="E38" i="4"/>
  <c r="E35" i="4"/>
  <c r="E33" i="4"/>
  <c r="E4" i="4"/>
  <c r="E52" i="5" l="1"/>
  <c r="D21" i="4" l="1"/>
  <c r="D9" i="4"/>
  <c r="D2" i="4"/>
  <c r="D31" i="4" l="1"/>
  <c r="C52" i="5"/>
  <c r="B31" i="4" l="1"/>
  <c r="C53" i="4" l="1"/>
  <c r="B5" i="5"/>
  <c r="B52" i="5" s="1"/>
  <c r="B33" i="4"/>
  <c r="B21" i="4"/>
  <c r="B39" i="4" l="1"/>
  <c r="B35" i="4"/>
  <c r="B18" i="4"/>
  <c r="B53" i="4" l="1"/>
  <c r="AE3" i="3" l="1"/>
  <c r="AE4" i="3"/>
  <c r="AE5" i="3"/>
  <c r="AE6" i="3"/>
  <c r="AE7" i="3"/>
  <c r="AE8" i="3"/>
  <c r="AE9" i="3"/>
  <c r="AE10" i="3"/>
  <c r="AE11" i="3"/>
  <c r="AE12" i="3"/>
  <c r="AE13" i="3"/>
  <c r="AE14" i="3"/>
  <c r="AE15" i="3"/>
  <c r="AE22" i="3"/>
  <c r="AE23" i="3"/>
  <c r="AE24" i="3"/>
  <c r="AE25" i="3"/>
  <c r="AE27" i="3"/>
  <c r="AE28" i="3"/>
  <c r="AE29" i="3"/>
  <c r="AE30" i="3"/>
  <c r="AE31" i="3"/>
  <c r="AE32" i="3"/>
  <c r="AE33" i="3"/>
  <c r="AE34" i="3"/>
  <c r="AE35" i="3"/>
  <c r="AE36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5" i="3"/>
  <c r="AA36" i="3"/>
  <c r="AA34" i="3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R2" i="1"/>
  <c r="Q2" i="1"/>
  <c r="P2" i="1"/>
  <c r="O2" i="1"/>
  <c r="P2" i="2"/>
  <c r="O2" i="2"/>
  <c r="P2" i="3"/>
  <c r="Q2" i="3"/>
  <c r="R2" i="3"/>
  <c r="S2" i="3"/>
  <c r="T2" i="3"/>
  <c r="U2" i="3"/>
  <c r="V2" i="3"/>
  <c r="W2" i="3"/>
  <c r="X2" i="3"/>
  <c r="Y2" i="3"/>
  <c r="Z2" i="3"/>
  <c r="N40" i="3"/>
  <c r="N3" i="3" l="1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O55" i="2" l="1"/>
  <c r="AA14" i="2"/>
  <c r="AA42" i="2"/>
  <c r="AA3" i="2"/>
  <c r="AA4" i="2"/>
  <c r="AA6" i="2"/>
  <c r="AA7" i="2"/>
  <c r="AA8" i="2"/>
  <c r="AA9" i="2"/>
  <c r="AA10" i="2"/>
  <c r="AA11" i="2"/>
  <c r="AA12" i="2"/>
  <c r="AA13" i="2"/>
  <c r="AA15" i="2"/>
  <c r="AA16" i="2"/>
  <c r="AA17" i="2"/>
  <c r="AA18" i="2"/>
  <c r="AA19" i="2"/>
  <c r="AA20" i="2"/>
  <c r="AA21" i="2"/>
  <c r="AA22" i="2"/>
  <c r="AA23" i="2"/>
  <c r="AA24" i="2"/>
  <c r="AA26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3" i="2"/>
  <c r="AA44" i="2"/>
  <c r="AA45" i="2"/>
  <c r="AA46" i="2"/>
  <c r="AA47" i="2"/>
  <c r="AA48" i="2"/>
  <c r="AA49" i="2"/>
  <c r="AA5" i="2" l="1"/>
  <c r="AA27" i="2"/>
  <c r="AA25" i="2"/>
  <c r="AA51" i="2" l="1"/>
  <c r="C45" i="1"/>
  <c r="D45" i="1"/>
  <c r="D49" i="1" s="1"/>
  <c r="E45" i="1"/>
  <c r="E49" i="1" s="1"/>
  <c r="F45" i="1"/>
  <c r="F49" i="1" s="1"/>
  <c r="G45" i="1"/>
  <c r="H45" i="1"/>
  <c r="I45" i="1"/>
  <c r="J45" i="1"/>
  <c r="K45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7" i="1"/>
  <c r="N18" i="1"/>
  <c r="N19" i="1"/>
  <c r="N20" i="1"/>
  <c r="N21" i="1"/>
  <c r="N22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G49" i="1"/>
  <c r="H49" i="1"/>
  <c r="C49" i="1"/>
  <c r="B49" i="1"/>
  <c r="N2" i="1"/>
  <c r="P47" i="1" l="1"/>
  <c r="R47" i="1"/>
  <c r="S47" i="1"/>
  <c r="T47" i="1"/>
  <c r="U47" i="1"/>
  <c r="AA3" i="1" l="1"/>
  <c r="AA6" i="1"/>
  <c r="AA8" i="1"/>
  <c r="AA20" i="1"/>
  <c r="AA22" i="1"/>
  <c r="AA31" i="1"/>
  <c r="AA34" i="1"/>
  <c r="AA36" i="1"/>
  <c r="AA15" i="1" l="1"/>
  <c r="AA43" i="1"/>
  <c r="AA32" i="1"/>
  <c r="AA18" i="1"/>
  <c r="AA29" i="1"/>
  <c r="AA7" i="1"/>
  <c r="AA21" i="1"/>
  <c r="AA35" i="1"/>
  <c r="AA13" i="1"/>
  <c r="AA4" i="1"/>
  <c r="AA41" i="1"/>
  <c r="AA27" i="1"/>
  <c r="AA38" i="1"/>
  <c r="AA24" i="1"/>
  <c r="AA40" i="1"/>
  <c r="AA19" i="1"/>
  <c r="AA42" i="1"/>
  <c r="AA28" i="1"/>
  <c r="AA26" i="1"/>
  <c r="AA39" i="1"/>
  <c r="AA10" i="1"/>
  <c r="AA33" i="1"/>
  <c r="AA5" i="1"/>
  <c r="AA30" i="1"/>
  <c r="AA14" i="1"/>
  <c r="AA12" i="1"/>
  <c r="AA25" i="1"/>
  <c r="AA11" i="1"/>
  <c r="AA37" i="1"/>
  <c r="AA9" i="1"/>
  <c r="M7" i="16" l="1"/>
  <c r="M8" i="16"/>
  <c r="M9" i="16"/>
  <c r="M10" i="16"/>
  <c r="M11" i="16"/>
  <c r="M12" i="16"/>
  <c r="M13" i="16"/>
  <c r="M14" i="16"/>
  <c r="M15" i="16"/>
  <c r="V18" i="16"/>
  <c r="W18" i="16" s="1"/>
  <c r="V19" i="16"/>
  <c r="W19" i="16" s="1"/>
  <c r="V20" i="16"/>
  <c r="W20" i="16" s="1"/>
  <c r="V21" i="16"/>
  <c r="W21" i="16" s="1"/>
  <c r="V22" i="16"/>
  <c r="W22" i="16" s="1"/>
  <c r="V23" i="16"/>
  <c r="W23" i="16" s="1"/>
  <c r="V24" i="16"/>
  <c r="W24" i="16" s="1"/>
  <c r="V25" i="16"/>
  <c r="W25" i="16" s="1"/>
  <c r="V26" i="16"/>
  <c r="W26" i="16" s="1"/>
  <c r="V17" i="16"/>
  <c r="W17" i="16" s="1"/>
  <c r="U4" i="16" l="1"/>
  <c r="U6" i="16"/>
  <c r="U7" i="16"/>
  <c r="U8" i="16"/>
  <c r="U9" i="16"/>
  <c r="U10" i="16"/>
  <c r="U11" i="16"/>
  <c r="U12" i="16"/>
  <c r="U3" i="16"/>
  <c r="V3" i="16" s="1"/>
  <c r="W3" i="16" s="1"/>
  <c r="V5" i="16"/>
  <c r="W5" i="16" s="1"/>
  <c r="V12" i="16" l="1"/>
  <c r="W12" i="16" s="1"/>
  <c r="V11" i="16"/>
  <c r="W11" i="16" s="1"/>
  <c r="V9" i="16"/>
  <c r="W9" i="16" s="1"/>
  <c r="V8" i="16"/>
  <c r="W8" i="16" s="1"/>
  <c r="V7" i="16"/>
  <c r="W7" i="16" s="1"/>
  <c r="V6" i="16"/>
  <c r="W6" i="16" s="1"/>
  <c r="V4" i="16"/>
  <c r="W4" i="16" s="1"/>
  <c r="V10" i="16"/>
  <c r="W10" i="16" s="1"/>
  <c r="I59" i="16"/>
  <c r="T3" i="5" l="1"/>
  <c r="AA20" i="5" l="1"/>
  <c r="AA23" i="5"/>
  <c r="AA32" i="5"/>
  <c r="AA46" i="5"/>
  <c r="AA28" i="5"/>
  <c r="AA47" i="5"/>
  <c r="AA11" i="5"/>
  <c r="AA15" i="5"/>
  <c r="AA17" i="5"/>
  <c r="AA25" i="5"/>
  <c r="AA39" i="5"/>
  <c r="AA31" i="5"/>
  <c r="AA37" i="5"/>
  <c r="AA45" i="5"/>
  <c r="AA19" i="5"/>
  <c r="AA41" i="5"/>
  <c r="AA27" i="5"/>
  <c r="AA13" i="5"/>
  <c r="AA49" i="5"/>
  <c r="AA33" i="5"/>
  <c r="AA18" i="5"/>
  <c r="AA44" i="5"/>
  <c r="AA42" i="5"/>
  <c r="AA26" i="5"/>
  <c r="AA40" i="5"/>
  <c r="AA30" i="5"/>
  <c r="AA21" i="5"/>
  <c r="AA48" i="5"/>
  <c r="AA36" i="5"/>
  <c r="AA16" i="5"/>
  <c r="AA34" i="5"/>
  <c r="AA22" i="5"/>
  <c r="AA35" i="5"/>
  <c r="AA29" i="5"/>
  <c r="AA43" i="5"/>
  <c r="AA38" i="5"/>
  <c r="AA24" i="5"/>
  <c r="AA12" i="5"/>
  <c r="AA14" i="5"/>
  <c r="P2" i="14"/>
  <c r="Q2" i="14"/>
  <c r="R2" i="14"/>
  <c r="S2" i="14"/>
  <c r="T2" i="14"/>
  <c r="U2" i="14"/>
  <c r="V2" i="14"/>
  <c r="W2" i="14"/>
  <c r="X2" i="14"/>
  <c r="Y2" i="14"/>
  <c r="Z2" i="14"/>
  <c r="O2" i="14"/>
  <c r="N2" i="14"/>
  <c r="AE2" i="3" l="1"/>
  <c r="Q2" i="2"/>
  <c r="R2" i="2"/>
  <c r="S2" i="2"/>
  <c r="T2" i="2"/>
  <c r="U2" i="2"/>
  <c r="V2" i="2"/>
  <c r="W2" i="2"/>
  <c r="X2" i="2"/>
  <c r="Y2" i="2"/>
  <c r="Z2" i="2"/>
  <c r="U2" i="1" l="1"/>
  <c r="S2" i="1"/>
  <c r="T2" i="1"/>
  <c r="V2" i="1"/>
  <c r="W2" i="1"/>
  <c r="X2" i="1"/>
  <c r="Y2" i="1"/>
  <c r="Z2" i="1"/>
  <c r="U45" i="1"/>
  <c r="S45" i="1" l="1"/>
  <c r="P45" i="1"/>
  <c r="Q45" i="1"/>
  <c r="R45" i="1"/>
  <c r="T45" i="1"/>
  <c r="H52" i="5" l="1"/>
  <c r="U54" i="5" l="1"/>
  <c r="N52" i="5"/>
  <c r="T2" i="4"/>
  <c r="D53" i="4" l="1"/>
  <c r="F52" i="5" l="1"/>
  <c r="D52" i="5" l="1"/>
  <c r="P52" i="5" l="1"/>
  <c r="D3" i="15" l="1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38" i="15" s="1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2" i="15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2" i="15"/>
  <c r="B38" i="15"/>
  <c r="P55" i="2" l="1"/>
  <c r="Q55" i="2"/>
  <c r="R55" i="2"/>
  <c r="S55" i="2"/>
  <c r="T55" i="2"/>
  <c r="U55" i="2"/>
  <c r="V55" i="2"/>
  <c r="W55" i="2"/>
  <c r="X55" i="2"/>
  <c r="Y55" i="2"/>
  <c r="Z55" i="2"/>
  <c r="G53" i="4" l="1"/>
  <c r="AF2" i="3" l="1"/>
  <c r="AF3" i="3" l="1"/>
  <c r="AF4" i="3"/>
  <c r="AF5" i="3"/>
  <c r="AF6" i="3"/>
  <c r="AF7" i="3"/>
  <c r="AF8" i="3"/>
  <c r="AF9" i="3"/>
  <c r="AF10" i="3"/>
  <c r="AF11" i="3"/>
  <c r="AF12" i="3"/>
  <c r="AF13" i="3"/>
  <c r="AF14" i="3"/>
  <c r="AF15" i="3"/>
  <c r="AF22" i="3"/>
  <c r="AF23" i="3"/>
  <c r="AF24" i="3"/>
  <c r="AF25" i="3"/>
  <c r="AF27" i="3"/>
  <c r="AF28" i="3"/>
  <c r="AF29" i="3"/>
  <c r="AF30" i="3"/>
  <c r="AF31" i="3"/>
  <c r="AF32" i="3"/>
  <c r="AF33" i="3"/>
  <c r="AF34" i="3"/>
  <c r="AF35" i="3"/>
  <c r="AF36" i="3"/>
  <c r="AA2" i="2"/>
  <c r="N2" i="3" l="1"/>
  <c r="C5" i="8"/>
  <c r="X3" i="5"/>
  <c r="W3" i="5"/>
  <c r="B12" i="8"/>
  <c r="P40" i="3" l="1"/>
  <c r="Q40" i="3"/>
  <c r="R40" i="3"/>
  <c r="S40" i="3"/>
  <c r="T40" i="3"/>
  <c r="U40" i="3"/>
  <c r="V40" i="3"/>
  <c r="W40" i="3"/>
  <c r="X40" i="3"/>
  <c r="Y40" i="3"/>
  <c r="Z40" i="3"/>
  <c r="O40" i="3"/>
  <c r="D7" i="8" l="1"/>
  <c r="C8" i="8"/>
  <c r="B11" i="8" l="1"/>
  <c r="B14" i="8" s="1"/>
  <c r="N3" i="5" l="1"/>
  <c r="N2" i="4"/>
  <c r="Z2" i="4" l="1"/>
  <c r="Y2" i="4"/>
  <c r="X2" i="4"/>
  <c r="W2" i="4"/>
  <c r="V2" i="4"/>
  <c r="U2" i="4"/>
  <c r="S2" i="4"/>
  <c r="Q3" i="5"/>
  <c r="Q52" i="5" s="1"/>
  <c r="Z3" i="5"/>
  <c r="Y3" i="5"/>
  <c r="V3" i="5"/>
  <c r="U3" i="5"/>
  <c r="S3" i="5"/>
  <c r="R3" i="5"/>
  <c r="Y53" i="4" l="1"/>
  <c r="W53" i="4"/>
  <c r="X53" i="4"/>
  <c r="S53" i="4"/>
  <c r="U53" i="4"/>
  <c r="Z53" i="4"/>
  <c r="V53" i="4"/>
  <c r="T53" i="4"/>
  <c r="M57" i="4" l="1"/>
  <c r="L53" i="4"/>
  <c r="L57" i="4" s="1"/>
  <c r="K57" i="4"/>
  <c r="J57" i="4"/>
  <c r="I57" i="4"/>
  <c r="H57" i="4" l="1"/>
  <c r="G57" i="4" l="1"/>
  <c r="F57" i="4" l="1"/>
  <c r="M52" i="5" l="1"/>
  <c r="M56" i="5" s="1"/>
  <c r="L52" i="5"/>
  <c r="L56" i="5" s="1"/>
  <c r="K56" i="5"/>
  <c r="J52" i="5"/>
  <c r="J56" i="5" s="1"/>
  <c r="I52" i="5"/>
  <c r="I56" i="5" s="1"/>
  <c r="H56" i="5"/>
  <c r="G56" i="5" l="1"/>
  <c r="Y52" i="5" l="1"/>
  <c r="R52" i="5"/>
  <c r="U52" i="5"/>
  <c r="X52" i="5"/>
  <c r="Z52" i="5"/>
  <c r="W52" i="5" l="1"/>
  <c r="F56" i="5" l="1"/>
  <c r="M42" i="3"/>
  <c r="L42" i="3"/>
  <c r="G42" i="3" l="1"/>
  <c r="H42" i="3"/>
  <c r="I42" i="3"/>
  <c r="K42" i="3"/>
  <c r="J42" i="3"/>
  <c r="F42" i="3"/>
  <c r="U38" i="3"/>
  <c r="U42" i="3" s="1"/>
  <c r="V38" i="3"/>
  <c r="V42" i="3" s="1"/>
  <c r="W38" i="3"/>
  <c r="W42" i="3" s="1"/>
  <c r="X38" i="3"/>
  <c r="X42" i="3" s="1"/>
  <c r="Y38" i="3"/>
  <c r="S38" i="3"/>
  <c r="S42" i="3" s="1"/>
  <c r="Z38" i="3"/>
  <c r="Z42" i="3" s="1"/>
  <c r="T38" i="3"/>
  <c r="T42" i="3" s="1"/>
  <c r="Y42" i="3" l="1"/>
  <c r="Z57" i="2"/>
  <c r="Y57" i="2"/>
  <c r="M59" i="2" l="1"/>
  <c r="M61" i="2" s="1"/>
  <c r="O57" i="2"/>
  <c r="T57" i="2"/>
  <c r="V57" i="2"/>
  <c r="W57" i="2"/>
  <c r="S57" i="2"/>
  <c r="X57" i="2"/>
  <c r="R57" i="2"/>
  <c r="P57" i="2"/>
  <c r="Q57" i="2"/>
  <c r="U57" i="2"/>
  <c r="O45" i="1"/>
  <c r="AA2" i="1" l="1"/>
  <c r="B2" i="8"/>
  <c r="D2" i="8" s="1"/>
  <c r="E56" i="5" l="1"/>
  <c r="D56" i="5"/>
  <c r="R2" i="4"/>
  <c r="E53" i="4"/>
  <c r="Q2" i="4"/>
  <c r="E57" i="4" l="1"/>
  <c r="N53" i="4"/>
  <c r="N60" i="4" s="1"/>
  <c r="N62" i="4" s="1"/>
  <c r="D57" i="4"/>
  <c r="V52" i="5"/>
  <c r="R53" i="4"/>
  <c r="Q53" i="4"/>
  <c r="E42" i="3" l="1"/>
  <c r="T52" i="5"/>
  <c r="S52" i="5"/>
  <c r="Q38" i="3"/>
  <c r="Q42" i="3" s="1"/>
  <c r="R38" i="3"/>
  <c r="R42" i="3" s="1"/>
  <c r="D42" i="3" l="1"/>
  <c r="P3" i="5"/>
  <c r="P2" i="4"/>
  <c r="C57" i="4"/>
  <c r="C56" i="5" l="1"/>
  <c r="P53" i="4"/>
  <c r="C42" i="3" l="1"/>
  <c r="P38" i="3"/>
  <c r="P42" i="3" s="1"/>
  <c r="O3" i="5" l="1"/>
  <c r="O2" i="4"/>
  <c r="AA2" i="4" s="1"/>
  <c r="O2" i="3"/>
  <c r="B42" i="3"/>
  <c r="AA3" i="5" l="1"/>
  <c r="O60" i="5" s="1"/>
  <c r="O62" i="5" s="1"/>
  <c r="O52" i="5"/>
  <c r="AA2" i="3"/>
  <c r="AA38" i="3" s="1"/>
  <c r="B4" i="8" s="1"/>
  <c r="D4" i="8" s="1"/>
  <c r="B57" i="4"/>
  <c r="N60" i="5"/>
  <c r="N62" i="5" s="1"/>
  <c r="B56" i="5"/>
  <c r="M46" i="3"/>
  <c r="O53" i="4"/>
  <c r="O38" i="3"/>
  <c r="AA53" i="4" l="1"/>
  <c r="O60" i="4" s="1"/>
  <c r="O62" i="4" s="1"/>
  <c r="M48" i="3"/>
  <c r="B6" i="8"/>
  <c r="D6" i="8" s="1"/>
  <c r="B5" i="8"/>
  <c r="D5" i="8" s="1"/>
  <c r="O42" i="3"/>
  <c r="O46" i="3"/>
  <c r="O48" i="3" s="1"/>
  <c r="U49" i="1" l="1"/>
  <c r="O47" i="1" l="1"/>
  <c r="O49" i="1" s="1"/>
  <c r="P49" i="1"/>
  <c r="S49" i="1"/>
  <c r="R49" i="1"/>
  <c r="T49" i="1"/>
  <c r="Q47" i="1"/>
  <c r="Q49" i="1" s="1"/>
  <c r="W45" i="1" l="1"/>
  <c r="I49" i="1"/>
  <c r="V47" i="1"/>
  <c r="X45" i="1"/>
  <c r="K49" i="1"/>
  <c r="X47" i="1"/>
  <c r="V45" i="1"/>
  <c r="W47" i="1"/>
  <c r="J49" i="1"/>
  <c r="AA17" i="1"/>
  <c r="X49" i="1" l="1"/>
  <c r="V49" i="1"/>
  <c r="W49" i="1"/>
  <c r="N16" i="1"/>
  <c r="Y45" i="1"/>
  <c r="AA16" i="1"/>
  <c r="L45" i="1"/>
  <c r="Y47" i="1" s="1"/>
  <c r="Y49" i="1" l="1"/>
  <c r="L49" i="1"/>
  <c r="L54" i="1"/>
  <c r="L56" i="1" s="1"/>
  <c r="N23" i="1"/>
  <c r="N45" i="1" s="1"/>
  <c r="Z47" i="1"/>
  <c r="M45" i="1"/>
  <c r="M49" i="1" s="1"/>
  <c r="AA23" i="1"/>
  <c r="AA45" i="1" l="1"/>
  <c r="B3" i="8" s="1"/>
  <c r="D3" i="8" s="1"/>
  <c r="D8" i="8" s="1"/>
  <c r="Z45" i="1"/>
  <c r="B8" i="8" l="1"/>
  <c r="Z49" i="1"/>
  <c r="M54" i="1"/>
  <c r="M56" i="1" s="1"/>
  <c r="L55" i="2"/>
  <c r="G55" i="2"/>
  <c r="M55" i="2"/>
  <c r="J55" i="2"/>
  <c r="F55" i="2"/>
  <c r="I55" i="2"/>
  <c r="E55" i="2"/>
  <c r="K55" i="2"/>
  <c r="H55" i="2"/>
  <c r="D55" i="2"/>
  <c r="C55" i="2" l="1"/>
  <c r="L59" i="2"/>
  <c r="L61" i="2" s="1"/>
  <c r="B55" i="2"/>
</calcChain>
</file>

<file path=xl/sharedStrings.xml><?xml version="1.0" encoding="utf-8"?>
<sst xmlns="http://schemas.openxmlformats.org/spreadsheetml/2006/main" count="1921" uniqueCount="217">
  <si>
    <t>Revenue Type</t>
  </si>
  <si>
    <t>Amount</t>
  </si>
  <si>
    <t>BPC</t>
  </si>
  <si>
    <t>Variance</t>
  </si>
  <si>
    <t>Maintenance</t>
  </si>
  <si>
    <t>3rd Party Maint</t>
  </si>
  <si>
    <t>Hosting</t>
  </si>
  <si>
    <t xml:space="preserve">PS </t>
  </si>
  <si>
    <t>License</t>
  </si>
  <si>
    <t>Hardware/Flowthrough</t>
  </si>
  <si>
    <t>Total Revs 2021</t>
  </si>
  <si>
    <t xml:space="preserve">Ireland </t>
  </si>
  <si>
    <t>UK</t>
  </si>
  <si>
    <t>Total</t>
  </si>
  <si>
    <t>Customer</t>
  </si>
  <si>
    <t>Glanbia</t>
  </si>
  <si>
    <t>Heat Merchants</t>
  </si>
  <si>
    <t>Aurivo Co-Op Society</t>
  </si>
  <si>
    <t>Arrabawn Co-Op Society</t>
  </si>
  <si>
    <t>East Coast Viners</t>
  </si>
  <si>
    <t>Dairygold Co-Op</t>
  </si>
  <si>
    <t>Lakeland Dairies</t>
  </si>
  <si>
    <t>Drinagh Co-Op</t>
  </si>
  <si>
    <t>Bandon Co-Op</t>
  </si>
  <si>
    <t>Lisavaird Co-Op</t>
  </si>
  <si>
    <t>North Cork Co-Op</t>
  </si>
  <si>
    <t>M.D O'Shea</t>
  </si>
  <si>
    <t>Barryroe Co-Op</t>
  </si>
  <si>
    <t>Richard Boyle &amp; Sons</t>
  </si>
  <si>
    <t>Irish International Traders</t>
  </si>
  <si>
    <t>J.McKenna</t>
  </si>
  <si>
    <t>Kerry Agribusiness</t>
  </si>
  <si>
    <t>Denis Brinicombe</t>
  </si>
  <si>
    <t>Peter Curran</t>
  </si>
  <si>
    <t>Wallaces Homevalue</t>
  </si>
  <si>
    <t>Lee Strand Dairies</t>
  </si>
  <si>
    <t>Centenary Thurles Stores</t>
  </si>
  <si>
    <t>Centenary Thurles Co-Op</t>
  </si>
  <si>
    <t>Brett Brothers</t>
  </si>
  <si>
    <t>McDonnell Bros</t>
  </si>
  <si>
    <t>Lacpatrick Dairies</t>
  </si>
  <si>
    <t xml:space="preserve">Morris DIY </t>
  </si>
  <si>
    <t>Carbery</t>
  </si>
  <si>
    <t>OMSCO</t>
  </si>
  <si>
    <t>Dan O'Connor Feeds</t>
  </si>
  <si>
    <t>ICMSA</t>
  </si>
  <si>
    <t>Drinagh Dairies</t>
  </si>
  <si>
    <t>McDonagh Trade Centre</t>
  </si>
  <si>
    <t>Strathroy Dairies</t>
  </si>
  <si>
    <t>Callan Co-Op</t>
  </si>
  <si>
    <t>T&amp;A Building</t>
  </si>
  <si>
    <t>John McCarthy</t>
  </si>
  <si>
    <t>Hopkins Homevalue</t>
  </si>
  <si>
    <t>Smiths Building</t>
  </si>
  <si>
    <t>BallyJamesDuff Co-Op</t>
  </si>
  <si>
    <t>Centenary Thurles Feed &amp; Grain</t>
  </si>
  <si>
    <t>Bandon Vale Cheese</t>
  </si>
  <si>
    <t>Kellihers Mills</t>
  </si>
  <si>
    <t>Centenary Thurles Fresh Milk</t>
  </si>
  <si>
    <t>Smiths Tools</t>
  </si>
  <si>
    <t>Newmarket Co-Op</t>
  </si>
  <si>
    <t>Row Labels</t>
  </si>
  <si>
    <t>Sum of Amount</t>
  </si>
  <si>
    <t>Clona Dairies</t>
  </si>
  <si>
    <t>Joyce Hardware</t>
  </si>
  <si>
    <t>Misc Credits</t>
  </si>
  <si>
    <t>Grand Total</t>
  </si>
  <si>
    <t xml:space="preserve"> Maintenance</t>
  </si>
  <si>
    <t>Sum of Consolidated Eur</t>
  </si>
  <si>
    <t>Sum of Cons EUR</t>
  </si>
  <si>
    <t>Sum of Consildated Eur</t>
  </si>
  <si>
    <t>Arrabawn</t>
  </si>
  <si>
    <t>(blank)</t>
  </si>
  <si>
    <t>Aurivo</t>
  </si>
  <si>
    <t xml:space="preserve">Aurivo </t>
  </si>
  <si>
    <t>BallyJamesDuff</t>
  </si>
  <si>
    <t>Adj</t>
  </si>
  <si>
    <t>Aurivo NI</t>
  </si>
  <si>
    <t>Barryroe Co-op</t>
  </si>
  <si>
    <t>Dan O'Connor</t>
  </si>
  <si>
    <t xml:space="preserve">Carbery </t>
  </si>
  <si>
    <t>Hopkins</t>
  </si>
  <si>
    <t>Kelliher Mills</t>
  </si>
  <si>
    <t>ECV</t>
  </si>
  <si>
    <t>Kerry</t>
  </si>
  <si>
    <t>Lakeland Dairies NI</t>
  </si>
  <si>
    <t>Lee Strand</t>
  </si>
  <si>
    <t>Brett Brother</t>
  </si>
  <si>
    <t>Lisavaird</t>
  </si>
  <si>
    <t>McDonnell</t>
  </si>
  <si>
    <t>McDonogh</t>
  </si>
  <si>
    <t>North Cork</t>
  </si>
  <si>
    <t>Organic Herd</t>
  </si>
  <si>
    <t>Lacpatrick Dairies NI</t>
  </si>
  <si>
    <t>Morris DIY</t>
  </si>
  <si>
    <t>Richard Boyle</t>
  </si>
  <si>
    <t>Strathroy Dairy</t>
  </si>
  <si>
    <t>Tirlan</t>
  </si>
  <si>
    <t>Wallaces Homevalue Hardware</t>
  </si>
  <si>
    <t>Wallaces</t>
  </si>
  <si>
    <t>Kiernan Milling</t>
  </si>
  <si>
    <t>Revenue</t>
  </si>
  <si>
    <t>Hosting Revenue</t>
  </si>
  <si>
    <t xml:space="preserve">% </t>
  </si>
  <si>
    <t>Hosting COGs</t>
  </si>
  <si>
    <t>Sum of Revenue</t>
  </si>
  <si>
    <t>Country</t>
  </si>
  <si>
    <t>3rd Party COGS</t>
  </si>
  <si>
    <t>Hosting COGS</t>
  </si>
  <si>
    <t>Net Revenue</t>
  </si>
  <si>
    <t>Aurivo Co-Op</t>
  </si>
  <si>
    <t>Denis Brinicombe Group</t>
  </si>
  <si>
    <t xml:space="preserve">AIB Merchant Services </t>
  </si>
  <si>
    <t>Ireland</t>
  </si>
  <si>
    <t>Heat Merchants Group</t>
  </si>
  <si>
    <t>J. McKenna Ltd</t>
  </si>
  <si>
    <t>John R. McCarthy</t>
  </si>
  <si>
    <t>M.D O'Shea &amp; Sons Ltd</t>
  </si>
  <si>
    <t>McDonnell Bros Ltd</t>
  </si>
  <si>
    <t>Peter Curran Electrical</t>
  </si>
  <si>
    <t>Smith's Tool Hire</t>
  </si>
  <si>
    <t>Carbery Group</t>
  </si>
  <si>
    <t>Richard Boyle &amp; Sons Ltd</t>
  </si>
  <si>
    <t>Hopkins Homevalue Hardware</t>
  </si>
  <si>
    <t>Morris DIY &amp; Building</t>
  </si>
  <si>
    <t>McDonogh Trade Centre Ltd</t>
  </si>
  <si>
    <t>Smith's Building supplies</t>
  </si>
  <si>
    <t xml:space="preserve">Mole Avon Town </t>
  </si>
  <si>
    <t>NewMarket Co-Op Creameries Ltd</t>
  </si>
  <si>
    <t>Wolseley</t>
  </si>
  <si>
    <t>PS</t>
  </si>
  <si>
    <t>Sum of Consol USD</t>
  </si>
  <si>
    <t>Sum of CONSOL USD</t>
  </si>
  <si>
    <t>Kiernan</t>
  </si>
  <si>
    <t>Lacpatrick</t>
  </si>
  <si>
    <t>Lakeland</t>
  </si>
  <si>
    <t>Discount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</si>
  <si>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</si>
  <si>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</si>
  <si>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</si>
  <si>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</si>
  <si>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</si>
  <si>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</si>
  <si>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</si>
  <si>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</si>
  <si>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</si>
  <si>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</si>
  <si>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</si>
  <si>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</si>
  <si>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Cons EUR</t>
  </si>
  <si>
    <t>USD January</t>
  </si>
  <si>
    <t>USD February</t>
  </si>
  <si>
    <t>USD March</t>
  </si>
  <si>
    <t>USD April</t>
  </si>
  <si>
    <t>USD May</t>
  </si>
  <si>
    <t>USD June</t>
  </si>
  <si>
    <t>USD July</t>
  </si>
  <si>
    <t>USD August</t>
  </si>
  <si>
    <t>USD September</t>
  </si>
  <si>
    <t>USD October</t>
  </si>
  <si>
    <t>USD November</t>
  </si>
  <si>
    <t>USD December</t>
  </si>
  <si>
    <t>Consol USD</t>
  </si>
  <si>
    <t>GP CHECK</t>
  </si>
  <si>
    <t>Monthly Avg Rate 25</t>
  </si>
  <si>
    <t>Consildated Eur</t>
  </si>
  <si>
    <t xml:space="preserve"> Jan USD</t>
  </si>
  <si>
    <t>Feb USD</t>
  </si>
  <si>
    <t>March USD</t>
  </si>
  <si>
    <t>Apr USD</t>
  </si>
  <si>
    <t>May USD</t>
  </si>
  <si>
    <t>June USD</t>
  </si>
  <si>
    <t>July USD</t>
  </si>
  <si>
    <t>August USD</t>
  </si>
  <si>
    <t>Sept USD</t>
  </si>
  <si>
    <t>Oct USD</t>
  </si>
  <si>
    <t>Nov USD</t>
  </si>
  <si>
    <t>Dec USD</t>
  </si>
  <si>
    <t xml:space="preserve">June </t>
  </si>
  <si>
    <t>Consolidated Eur</t>
  </si>
  <si>
    <t xml:space="preserve">Jan USD </t>
  </si>
  <si>
    <t>April USD</t>
  </si>
  <si>
    <t>September USD</t>
  </si>
  <si>
    <t>October USD</t>
  </si>
  <si>
    <t>November USD</t>
  </si>
  <si>
    <t>December USD</t>
  </si>
  <si>
    <t>Percentage</t>
  </si>
  <si>
    <t>Hosting Costs</t>
  </si>
  <si>
    <t>Arrabawn Co-Op</t>
  </si>
  <si>
    <t>IITC</t>
  </si>
  <si>
    <t>Kellihers</t>
  </si>
  <si>
    <t xml:space="preserve">Kerry </t>
  </si>
  <si>
    <t>Lakeland NI</t>
  </si>
  <si>
    <t>Lakeland ROI</t>
  </si>
  <si>
    <t>McDonnells Bros</t>
  </si>
  <si>
    <t>McDonogh Trade</t>
  </si>
  <si>
    <t>Smith Building</t>
  </si>
  <si>
    <t>Strathroy</t>
  </si>
  <si>
    <t>Consol Eur</t>
  </si>
  <si>
    <t>Jan USD</t>
  </si>
  <si>
    <t>GP Balance</t>
  </si>
  <si>
    <r>
      <t xml:space="preserve">Consol </t>
    </r>
    <r>
      <rPr>
        <u/>
        <sz val="10"/>
        <rFont val="Arial"/>
        <family val="2"/>
      </rPr>
      <t>EUR</t>
    </r>
  </si>
  <si>
    <t>JAN USD</t>
  </si>
  <si>
    <t>FEB USD</t>
  </si>
  <si>
    <t>MAR USD</t>
  </si>
  <si>
    <t>APR USD</t>
  </si>
  <si>
    <t>MAY USD</t>
  </si>
  <si>
    <t>JUNE USD</t>
  </si>
  <si>
    <t>JULY USD</t>
  </si>
  <si>
    <t>AUG USD</t>
  </si>
  <si>
    <t>SEPT USD</t>
  </si>
  <si>
    <t>OCT USD</t>
  </si>
  <si>
    <t>NOV USD</t>
  </si>
  <si>
    <t>DEC USD</t>
  </si>
  <si>
    <t>CONSOL USD</t>
  </si>
  <si>
    <t xml:space="preserve">August </t>
  </si>
  <si>
    <t>Kiernan's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</si>
</sst>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&quot;€&quot;* #,##0.00_-;\-&quot;€&quot;* #,##0.00_-;_-&quot;€&quot;* &quot;-&quot;??_-;_-@_-"/>
    <numFmt numFmtId="165" formatCode="&quot;€&quot;#,##0.00"/>
    <numFmt numFmtId="166" formatCode="_-[$$-409]* #,##0.00_ ;_-[$$-409]* \-#,##0.00\ ;_-[$$-409]* &quot;-&quot;??_ ;_-@_ "/>
    <numFmt numFmtId="167" formatCode="_-[$€-2]\ * #,##0.00_-;\-[$€-2]\ * #,##0.00_-;_-[$€-2]\ * &quot;-&quot;??_-;_-@_-"/>
    <numFmt numFmtId="168" formatCode="_-[$€-1809]* #,##0.00_-;\-[$€-1809]* #,##0.00_-;_-[$€-1809]* &quot;-&quot;??_-;_-@_-"/>
    <numFmt numFmtId="169" formatCode="&quot;€&quot;#,##0.00;[Red]&quot;€&quot;#,##0.00"/>
    <numFmt numFmtId="170" formatCode="[$€-2]\ #,##0.00;[Red][$€-2]\ #,##0.00"/>
    <numFmt numFmtId="171" formatCode="[$$-1009]#,##0.00;[Red][$$-1009]#,##0.00"/>
    <numFmt numFmtId="172" formatCode="[$$-1009]#,##0.00"/>
    <numFmt numFmtId="173" formatCode="#,##0.00_ ;[Red]\-#,##0.00\ "/>
    <numFmt numFmtId="174" formatCode="0.00000"/>
    <numFmt numFmtId="175" formatCode="[$$-409]#,##0.00"/>
    <numFmt numFmtId="176" formatCode="[$€-2]\ #,##0.00000;[Red][$€-2]\ #,##0.00000"/>
    <numFmt numFmtId="177" formatCode="#,##0.00_ ;\-#,##0.00\ 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rgb="FF9C6500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0"/>
      <name val="Arial"/>
      <family val="2"/>
    </font>
    <font>
      <b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87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5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1" applyNumberFormat="0" applyAlignment="0" applyProtection="0"/>
    <xf numFmtId="0" fontId="10" fillId="22" borderId="2" applyNumberFormat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8" borderId="1" applyNumberFormat="0" applyAlignment="0" applyProtection="0"/>
    <xf numFmtId="0" fontId="17" fillId="0" borderId="6" applyNumberFormat="0" applyFill="0" applyAlignment="0" applyProtection="0"/>
    <xf numFmtId="0" fontId="18" fillId="23" borderId="0" applyNumberFormat="0" applyBorder="0" applyAlignment="0" applyProtection="0"/>
    <xf numFmtId="0" fontId="1" fillId="0" borderId="0"/>
    <xf numFmtId="0" fontId="5" fillId="24" borderId="7" applyNumberFormat="0" applyFont="0" applyAlignment="0" applyProtection="0"/>
    <xf numFmtId="0" fontId="19" fillId="21" borderId="8" applyNumberFormat="0" applyAlignment="0" applyProtection="0"/>
    <xf numFmtId="9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1" fillId="0" borderId="0"/>
    <xf numFmtId="0" fontId="1" fillId="0" borderId="0"/>
    <xf numFmtId="0" fontId="23" fillId="2" borderId="0" applyNumberFormat="0" applyBorder="0" applyAlignment="0" applyProtection="0"/>
    <xf numFmtId="9" fontId="5" fillId="0" borderId="0" applyFont="0" applyFill="0" applyBorder="0" applyAlignment="0" applyProtection="0"/>
    <xf numFmtId="0" fontId="26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24" borderId="7" applyNumberFormat="0" applyFon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3" fillId="0" borderId="0" applyNumberFormat="0" applyFill="0" applyBorder="0" applyAlignment="0" applyProtection="0"/>
  </cellStyleXfs>
  <cellXfs count="109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/>
    <xf numFmtId="165" fontId="0" fillId="0" borderId="0" xfId="0" applyNumberFormat="1"/>
    <xf numFmtId="166" fontId="0" fillId="0" borderId="0" xfId="0" applyNumberFormat="1"/>
    <xf numFmtId="43" fontId="0" fillId="0" borderId="0" xfId="1" applyFont="1"/>
    <xf numFmtId="166" fontId="0" fillId="0" borderId="0" xfId="1" applyNumberFormat="1" applyFont="1"/>
    <xf numFmtId="43" fontId="3" fillId="0" borderId="0" xfId="1" applyFont="1" applyAlignment="1">
      <alignment horizontal="center"/>
    </xf>
    <xf numFmtId="167" fontId="0" fillId="0" borderId="0" xfId="0" applyNumberFormat="1"/>
    <xf numFmtId="168" fontId="0" fillId="0" borderId="0" xfId="1" applyNumberFormat="1" applyFont="1"/>
    <xf numFmtId="164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1" applyNumberFormat="1" applyFont="1"/>
    <xf numFmtId="170" fontId="0" fillId="0" borderId="0" xfId="0" applyNumberFormat="1"/>
    <xf numFmtId="0" fontId="27" fillId="0" borderId="0" xfId="0" applyFont="1"/>
    <xf numFmtId="169" fontId="3" fillId="0" borderId="0" xfId="0" applyNumberFormat="1" applyFont="1" applyAlignment="1">
      <alignment horizontal="center"/>
    </xf>
    <xf numFmtId="169" fontId="3" fillId="0" borderId="0" xfId="0" applyNumberFormat="1" applyFont="1" applyAlignment="1">
      <alignment horizontal="center" wrapText="1"/>
    </xf>
    <xf numFmtId="171" fontId="0" fillId="0" borderId="0" xfId="0" applyNumberFormat="1"/>
    <xf numFmtId="172" fontId="0" fillId="0" borderId="0" xfId="0" applyNumberFormat="1"/>
    <xf numFmtId="171" fontId="0" fillId="0" borderId="0" xfId="1" applyNumberFormat="1" applyFont="1"/>
    <xf numFmtId="0" fontId="2" fillId="0" borderId="0" xfId="0" applyFont="1" applyAlignment="1">
      <alignment horizontal="right"/>
    </xf>
    <xf numFmtId="2" fontId="0" fillId="0" borderId="0" xfId="0" applyNumberFormat="1"/>
    <xf numFmtId="168" fontId="0" fillId="0" borderId="0" xfId="1" applyNumberFormat="1" applyFont="1" applyFill="1"/>
    <xf numFmtId="164" fontId="0" fillId="0" borderId="0" xfId="1" applyNumberFormat="1" applyFont="1"/>
    <xf numFmtId="164" fontId="1" fillId="0" borderId="0" xfId="1" applyNumberFormat="1" applyFont="1"/>
    <xf numFmtId="43" fontId="0" fillId="0" borderId="0" xfId="1" applyFont="1" applyFill="1"/>
    <xf numFmtId="43" fontId="2" fillId="0" borderId="0" xfId="1" applyFont="1"/>
    <xf numFmtId="0" fontId="4" fillId="0" borderId="10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1" xfId="0" applyBorder="1"/>
    <xf numFmtId="43" fontId="0" fillId="0" borderId="11" xfId="1" applyFont="1" applyBorder="1"/>
    <xf numFmtId="40" fontId="0" fillId="0" borderId="0" xfId="0" applyNumberFormat="1"/>
    <xf numFmtId="173" fontId="0" fillId="0" borderId="0" xfId="0" applyNumberFormat="1"/>
    <xf numFmtId="43" fontId="0" fillId="0" borderId="0" xfId="0" applyNumberFormat="1"/>
    <xf numFmtId="3" fontId="0" fillId="0" borderId="0" xfId="0" applyNumberFormat="1"/>
    <xf numFmtId="168" fontId="1" fillId="0" borderId="0" xfId="1" applyNumberFormat="1" applyFont="1" applyFill="1"/>
    <xf numFmtId="174" fontId="27" fillId="0" borderId="0" xfId="0" applyNumberFormat="1" applyFont="1"/>
    <xf numFmtId="174" fontId="27" fillId="0" borderId="0" xfId="1" applyNumberFormat="1" applyFont="1"/>
    <xf numFmtId="0" fontId="4" fillId="0" borderId="0" xfId="0" applyFont="1" applyAlignment="1">
      <alignment horizontal="center"/>
    </xf>
    <xf numFmtId="0" fontId="4" fillId="25" borderId="10" xfId="0" applyFont="1" applyFill="1" applyBorder="1"/>
    <xf numFmtId="0" fontId="4" fillId="25" borderId="10" xfId="0" applyFont="1" applyFill="1" applyBorder="1" applyAlignment="1">
      <alignment horizontal="left"/>
    </xf>
    <xf numFmtId="0" fontId="0" fillId="25" borderId="0" xfId="0" applyFill="1"/>
    <xf numFmtId="167" fontId="4" fillId="25" borderId="0" xfId="1" applyNumberFormat="1" applyFont="1" applyFill="1" applyBorder="1" applyAlignment="1">
      <alignment horizontal="center"/>
    </xf>
    <xf numFmtId="170" fontId="2" fillId="0" borderId="0" xfId="1" applyNumberFormat="1" applyFont="1"/>
    <xf numFmtId="168" fontId="2" fillId="0" borderId="0" xfId="1" applyNumberFormat="1" applyFont="1"/>
    <xf numFmtId="165" fontId="2" fillId="0" borderId="0" xfId="0" applyNumberFormat="1" applyFont="1"/>
    <xf numFmtId="168" fontId="2" fillId="0" borderId="0" xfId="0" applyNumberFormat="1" applyFont="1"/>
    <xf numFmtId="166" fontId="2" fillId="0" borderId="0" xfId="0" applyNumberFormat="1" applyFont="1"/>
    <xf numFmtId="170" fontId="2" fillId="25" borderId="0" xfId="1" applyNumberFormat="1" applyFont="1" applyFill="1"/>
    <xf numFmtId="3" fontId="0" fillId="26" borderId="0" xfId="0" applyNumberFormat="1" applyFill="1"/>
    <xf numFmtId="2" fontId="0" fillId="0" borderId="0" xfId="1" applyNumberFormat="1" applyFont="1"/>
    <xf numFmtId="2" fontId="24" fillId="0" borderId="0" xfId="36" applyNumberFormat="1" applyFont="1" applyFill="1" applyBorder="1" applyAlignment="1">
      <alignment horizontal="center"/>
    </xf>
    <xf numFmtId="2" fontId="25" fillId="0" borderId="0" xfId="0" applyNumberFormat="1" applyFont="1"/>
    <xf numFmtId="43" fontId="2" fillId="26" borderId="0" xfId="1" applyFont="1" applyFill="1"/>
    <xf numFmtId="0" fontId="0" fillId="0" borderId="0" xfId="1" applyNumberFormat="1" applyFont="1"/>
    <xf numFmtId="0" fontId="27" fillId="0" borderId="0" xfId="1" applyNumberFormat="1" applyFont="1"/>
    <xf numFmtId="43" fontId="0" fillId="26" borderId="0" xfId="1" applyFont="1" applyFill="1"/>
    <xf numFmtId="169" fontId="0" fillId="25" borderId="0" xfId="0" applyNumberFormat="1" applyFill="1"/>
    <xf numFmtId="43" fontId="0" fillId="25" borderId="0" xfId="1" applyFont="1" applyFill="1"/>
    <xf numFmtId="167" fontId="0" fillId="0" borderId="0" xfId="1" applyNumberFormat="1" applyFont="1"/>
    <xf numFmtId="167" fontId="4" fillId="0" borderId="0" xfId="63" applyNumberFormat="1" applyFont="1" applyFill="1" applyBorder="1" applyAlignment="1">
      <alignment horizontal="center"/>
    </xf>
    <xf numFmtId="170" fontId="0" fillId="25" borderId="0" xfId="0" applyNumberFormat="1" applyFill="1"/>
    <xf numFmtId="168" fontId="0" fillId="27" borderId="0" xfId="1" applyNumberFormat="1" applyFont="1" applyFill="1"/>
    <xf numFmtId="165" fontId="0" fillId="27" borderId="0" xfId="0" applyNumberFormat="1" applyFill="1"/>
    <xf numFmtId="168" fontId="0" fillId="27" borderId="0" xfId="0" applyNumberFormat="1" applyFill="1"/>
    <xf numFmtId="169" fontId="0" fillId="27" borderId="0" xfId="0" applyNumberFormat="1" applyFill="1"/>
    <xf numFmtId="43" fontId="0" fillId="27" borderId="0" xfId="1" applyFont="1" applyFill="1"/>
    <xf numFmtId="2" fontId="0" fillId="0" borderId="0" xfId="1" applyNumberFormat="1" applyFont="1" applyFill="1"/>
    <xf numFmtId="43" fontId="0" fillId="28" borderId="0" xfId="1" applyFont="1" applyFill="1"/>
    <xf numFmtId="174" fontId="1" fillId="0" borderId="0" xfId="1" applyNumberFormat="1" applyFont="1"/>
    <xf numFmtId="174" fontId="1" fillId="0" borderId="0" xfId="0" applyNumberFormat="1" applyFont="1"/>
    <xf numFmtId="0" fontId="4" fillId="0" borderId="10" xfId="0" applyFont="1" applyBorder="1" applyAlignment="1">
      <alignment horizontal="left"/>
    </xf>
    <xf numFmtId="0" fontId="31" fillId="0" borderId="0" xfId="0" applyFont="1" applyAlignment="1">
      <alignment horizontal="center"/>
    </xf>
    <xf numFmtId="9" fontId="0" fillId="0" borderId="0" xfId="85" applyFont="1"/>
    <xf numFmtId="43" fontId="31" fillId="0" borderId="0" xfId="1" applyFont="1" applyAlignment="1">
      <alignment horizontal="center"/>
    </xf>
    <xf numFmtId="167" fontId="0" fillId="0" borderId="0" xfId="1" applyNumberFormat="1" applyFont="1" applyFill="1"/>
    <xf numFmtId="164" fontId="0" fillId="0" borderId="0" xfId="1" applyNumberFormat="1" applyFont="1" applyFill="1"/>
    <xf numFmtId="169" fontId="2" fillId="0" borderId="0" xfId="0" applyNumberFormat="1" applyFont="1"/>
    <xf numFmtId="168" fontId="28" fillId="0" borderId="0" xfId="1" applyNumberFormat="1" applyFont="1"/>
    <xf numFmtId="168" fontId="28" fillId="0" borderId="0" xfId="0" applyNumberFormat="1" applyFont="1"/>
    <xf numFmtId="164" fontId="28" fillId="0" borderId="0" xfId="1" applyNumberFormat="1" applyFont="1"/>
    <xf numFmtId="43" fontId="28" fillId="0" borderId="0" xfId="1" applyFont="1"/>
    <xf numFmtId="175" fontId="0" fillId="0" borderId="0" xfId="0" applyNumberFormat="1"/>
    <xf numFmtId="0" fontId="31" fillId="0" borderId="0" xfId="0" applyFont="1"/>
    <xf numFmtId="43" fontId="31" fillId="0" borderId="0" xfId="1" applyFont="1"/>
    <xf numFmtId="0" fontId="0" fillId="29" borderId="0" xfId="0" applyFill="1" applyAlignment="1">
      <alignment horizontal="left"/>
    </xf>
    <xf numFmtId="170" fontId="2" fillId="26" borderId="0" xfId="1" applyNumberFormat="1" applyFont="1" applyFill="1"/>
    <xf numFmtId="2" fontId="0" fillId="25" borderId="0" xfId="1" applyNumberFormat="1" applyFont="1" applyFill="1"/>
    <xf numFmtId="0" fontId="4" fillId="25" borderId="10" xfId="0" applyFont="1" applyFill="1" applyBorder="1" applyAlignment="1">
      <alignment horizontal="center"/>
    </xf>
    <xf numFmtId="0" fontId="4" fillId="25" borderId="0" xfId="0" applyFont="1" applyFill="1" applyAlignment="1">
      <alignment horizontal="center"/>
    </xf>
    <xf numFmtId="168" fontId="0" fillId="25" borderId="0" xfId="1" applyNumberFormat="1" applyFont="1" applyFill="1"/>
    <xf numFmtId="168" fontId="32" fillId="0" borderId="0" xfId="1" applyNumberFormat="1" applyFont="1"/>
    <xf numFmtId="169" fontId="0" fillId="30" borderId="0" xfId="0" applyNumberFormat="1" applyFill="1"/>
    <xf numFmtId="43" fontId="0" fillId="30" borderId="0" xfId="1" applyFont="1" applyFill="1"/>
    <xf numFmtId="167" fontId="28" fillId="0" borderId="0" xfId="0" applyNumberFormat="1" applyFont="1"/>
    <xf numFmtId="2" fontId="28" fillId="0" borderId="0" xfId="0" applyNumberFormat="1" applyFont="1"/>
    <xf numFmtId="166" fontId="28" fillId="0" borderId="0" xfId="1" applyNumberFormat="1" applyFont="1"/>
    <xf numFmtId="176" fontId="0" fillId="0" borderId="0" xfId="1" applyNumberFormat="1" applyFont="1"/>
    <xf numFmtId="166" fontId="0" fillId="30" borderId="0" xfId="0" applyNumberFormat="1" applyFill="1"/>
    <xf numFmtId="0" fontId="34" fillId="0" borderId="0" xfId="86" applyFont="1" applyAlignment="1">
      <alignment vertical="center"/>
    </xf>
    <xf numFmtId="2" fontId="0" fillId="25" borderId="0" xfId="0" applyNumberFormat="1" applyFill="1"/>
    <xf numFmtId="0" fontId="28" fillId="25" borderId="0" xfId="0" applyFont="1" applyFill="1"/>
    <xf numFmtId="168" fontId="0" fillId="31" borderId="0" xfId="0" applyNumberFormat="1" applyFill="1"/>
    <xf numFmtId="169" fontId="0" fillId="31" borderId="0" xfId="0" applyNumberFormat="1" applyFill="1"/>
    <xf numFmtId="177" fontId="0" fillId="0" borderId="0" xfId="0" applyNumberFormat="1"/>
    <xf numFmtId="177" fontId="0" fillId="0" borderId="0" xfId="1" applyNumberFormat="1" applyFont="1"/>
    <xf numFmtId="43" fontId="30" fillId="0" borderId="0" xfId="1" applyFont="1" applyAlignment="1">
      <alignment horizontal="center"/>
    </xf>
  </cellXfs>
  <cellStyles count="87">
    <cellStyle name="20% - Accent1 2" xfId="9" xr:uid="{B8466992-F22D-424D-85D0-A74BDB7FC1DF}"/>
    <cellStyle name="20% - Accent2 2" xfId="10" xr:uid="{916C9661-37BA-46FD-9325-13D32ECBC47C}"/>
    <cellStyle name="20% - Accent3 2" xfId="11" xr:uid="{DC6C0177-BE2F-496C-BB85-95FCAE8DD9F3}"/>
    <cellStyle name="20% - Accent4 2" xfId="12" xr:uid="{6B3C05D5-FDA2-4293-AD61-C33013272B65}"/>
    <cellStyle name="20% - Accent5 2" xfId="13" xr:uid="{FDE3CB69-C982-44CB-BC0F-F6D2FFB3B315}"/>
    <cellStyle name="20% - Accent6 2" xfId="14" xr:uid="{6FCD8F9A-543E-424D-BBC5-478BE0271E9F}"/>
    <cellStyle name="40% - Accent1 2" xfId="15" xr:uid="{E02FF02F-DD94-464B-A22D-465DED9BB564}"/>
    <cellStyle name="40% - Accent2 2" xfId="16" xr:uid="{88F1F2EB-4163-4892-B234-B44747355B5C}"/>
    <cellStyle name="40% - Accent3 2" xfId="17" xr:uid="{94AADE80-0B5B-46AA-BCB2-3D4A84E900A1}"/>
    <cellStyle name="40% - Accent4 2" xfId="18" xr:uid="{DEA74E7D-DB9C-482A-9F10-E0E8BE1DB7C5}"/>
    <cellStyle name="40% - Accent5 2" xfId="19" xr:uid="{1D99875D-F63A-4BCC-9DA1-82AF1C4591D1}"/>
    <cellStyle name="40% - Accent6 2" xfId="20" xr:uid="{D6F6AB40-D286-485F-A6CA-30D3D28510FA}"/>
    <cellStyle name="60% - Accent1 2" xfId="21" xr:uid="{AF26E669-3A0C-4B8B-B5FB-8069002AFDC4}"/>
    <cellStyle name="60% - Accent2 2" xfId="22" xr:uid="{C1EC4BEC-C5E8-4CA5-84C6-04BE9241AE9F}"/>
    <cellStyle name="60% - Accent3 2" xfId="23" xr:uid="{BC79D5B0-E83F-4400-AB5E-0876056C49EB}"/>
    <cellStyle name="60% - Accent4 2" xfId="24" xr:uid="{B58FD4AB-5E49-42D5-BA08-1D66753A9559}"/>
    <cellStyle name="60% - Accent5 2" xfId="25" xr:uid="{5DBD37E4-1AFF-437A-B73E-549050CA270B}"/>
    <cellStyle name="60% - Accent6 2" xfId="26" xr:uid="{384F954D-26F6-439B-B5BB-A8793D7D2C16}"/>
    <cellStyle name="Accent1 2" xfId="27" xr:uid="{4B395C2E-5E22-439A-911B-82B1F99C5FE2}"/>
    <cellStyle name="Accent2 2" xfId="28" xr:uid="{EF45BA13-7E79-441A-BCDC-91D56C608054}"/>
    <cellStyle name="Accent3 2" xfId="29" xr:uid="{EBB7D507-24AC-4E37-B32E-73924688ED10}"/>
    <cellStyle name="Accent4 2" xfId="30" xr:uid="{05FAF54E-60D4-4263-8F55-8FF7337B8757}"/>
    <cellStyle name="Accent5 2" xfId="31" xr:uid="{5DBD3D75-C098-4868-B6FE-5C360F05EC6D}"/>
    <cellStyle name="Accent6 2" xfId="32" xr:uid="{D95A7FD4-F47B-4F8E-A810-5340C089A8B9}"/>
    <cellStyle name="Bad 2" xfId="33" xr:uid="{16F5FE37-FDA4-4238-BB7A-BA8EF93AB32F}"/>
    <cellStyle name="Calculation 2" xfId="34" xr:uid="{37B7BC91-FAA6-44A4-B84B-36396D8112BD}"/>
    <cellStyle name="Check Cell 2" xfId="35" xr:uid="{130A7D03-B637-44BC-9B42-F13C8CF04702}"/>
    <cellStyle name="Comma" xfId="1" builtinId="3"/>
    <cellStyle name="Comma 2" xfId="37" xr:uid="{01A99F0A-6DAB-4DA9-9276-2CCD53F59DC5}"/>
    <cellStyle name="Comma 2 2" xfId="64" xr:uid="{7DAC372A-EFEC-4734-B8CC-494E28CEAD1F}"/>
    <cellStyle name="Comma 2 2 2" xfId="79" xr:uid="{9381A7EA-2E43-46D5-A923-8D032D0F4CB1}"/>
    <cellStyle name="Comma 2 3" xfId="71" xr:uid="{FFD486B9-1EDE-4F79-BEE8-518A6FCF6E49}"/>
    <cellStyle name="Comma 3" xfId="36" xr:uid="{B72ABAB1-F9DE-4F30-AE9F-00CD272E30B9}"/>
    <cellStyle name="Comma 3 2" xfId="63" xr:uid="{5B56918F-AED6-4B64-9959-F410FAAE4D3A}"/>
    <cellStyle name="Comma 3 2 2" xfId="78" xr:uid="{A2D05F74-EE31-40CE-A476-E0BCA68910E7}"/>
    <cellStyle name="Comma 3 3" xfId="70" xr:uid="{FD1F41BC-1085-4D17-9938-85BB0C5CD9AA}"/>
    <cellStyle name="Comma 4" xfId="3" xr:uid="{F66550F1-E0DB-43F0-A12B-91ED72A7AAE4}"/>
    <cellStyle name="Comma 4 2" xfId="73" xr:uid="{56CBE36F-9324-4952-883B-A4A0715FD7AB}"/>
    <cellStyle name="Comma 5" xfId="60" xr:uid="{CC31EEC5-2432-4629-B130-DFBA99E6097D}"/>
    <cellStyle name="Comma 5 2" xfId="74" xr:uid="{E53BC993-477B-469B-BBBC-D63011AD855F}"/>
    <cellStyle name="Comma 6" xfId="84" xr:uid="{C2226DEC-A650-43B2-A19B-B55F9A96CCF7}"/>
    <cellStyle name="Comma 7" xfId="69" xr:uid="{562A219D-671C-4578-852F-7CBF8AABB507}"/>
    <cellStyle name="Currency 2" xfId="6" xr:uid="{CAF660FD-9E94-441F-9748-41E369BEC68D}"/>
    <cellStyle name="Currency 2 2" xfId="38" xr:uid="{F46F9F77-9714-4431-8768-7DC6946A6D9D}"/>
    <cellStyle name="Currency 2 2 2" xfId="65" xr:uid="{5A52E150-87DA-42B0-9A0F-6D9C8B53B097}"/>
    <cellStyle name="Currency 2 3" xfId="76" xr:uid="{333BA14E-3F59-434D-99BC-69E96284BA7D}"/>
    <cellStyle name="Currency 3" xfId="4" xr:uid="{AC7F3202-5958-4DB1-A009-AA5323A7D1F4}"/>
    <cellStyle name="Currency 4" xfId="61" xr:uid="{2DC0DFB1-7AED-4ECC-A833-FA3D27F553B6}"/>
    <cellStyle name="Explanatory Text 2" xfId="39" xr:uid="{2F742181-1041-4BA6-AC3B-47181D0B1325}"/>
    <cellStyle name="Good 2" xfId="40" xr:uid="{6109A6AA-2232-4689-883D-C18590B204B4}"/>
    <cellStyle name="Heading 1 2" xfId="41" xr:uid="{2ED5E03E-5E77-483C-8855-1CF6B1915FB4}"/>
    <cellStyle name="Heading 2 2" xfId="42" xr:uid="{4EE51DE6-0AEE-45E3-A97A-06A4B315577E}"/>
    <cellStyle name="Heading 3 2" xfId="43" xr:uid="{B70A79B3-7A25-45B0-A6FA-5F13483DB81C}"/>
    <cellStyle name="Heading 4 2" xfId="44" xr:uid="{C68578B0-B149-4B78-BD7B-68AE71180E82}"/>
    <cellStyle name="Hyperlink" xfId="86" builtinId="8"/>
    <cellStyle name="Input 2" xfId="45" xr:uid="{FB7AB91C-04C2-4550-80EE-F20D0E8872FF}"/>
    <cellStyle name="Linked Cell 2" xfId="46" xr:uid="{91B5EA55-8A31-4C74-9227-EBF6C8459D10}"/>
    <cellStyle name="Neutral 2" xfId="47" xr:uid="{BCA8F510-9EF6-4B86-B4F7-282D9E370565}"/>
    <cellStyle name="Neutral 3" xfId="57" xr:uid="{E9D9230D-E2E1-4107-93DA-62B627E13E78}"/>
    <cellStyle name="Normal" xfId="0" builtinId="0"/>
    <cellStyle name="Normal 2" xfId="5" xr:uid="{132209D1-F371-426E-AC95-EE43F3DF4A62}"/>
    <cellStyle name="Normal 2 2" xfId="48" xr:uid="{84EF409E-9805-49D2-9A20-F89FB95B098E}"/>
    <cellStyle name="Normal 2 2 2" xfId="80" xr:uid="{9E07DD96-95C8-412A-9A18-56D186485E52}"/>
    <cellStyle name="Normal 2 3" xfId="75" xr:uid="{0D04C827-2BBF-4975-A8D8-C0A139FE40D2}"/>
    <cellStyle name="Normal 3" xfId="8" xr:uid="{55EBA1DE-2CD2-4387-B0C0-EAB8662132F6}"/>
    <cellStyle name="Normal 3 2" xfId="62" xr:uid="{64FF5A59-F7EF-4968-B9EB-F28B47190221}"/>
    <cellStyle name="Normal 4" xfId="7" xr:uid="{4ED145A4-49F6-415F-9579-1E290A04D437}"/>
    <cellStyle name="Normal 4 2" xfId="77" xr:uid="{26F07C31-EB7E-4933-BC06-F64F6749A308}"/>
    <cellStyle name="Normal 5" xfId="55" xr:uid="{AF32A8AB-C6F6-4C72-A01E-670DAFD06E49}"/>
    <cellStyle name="Normal 5 2" xfId="81" xr:uid="{A24785A4-855C-4A4C-90F0-985A43F650D4}"/>
    <cellStyle name="Normal 6" xfId="56" xr:uid="{0D2B927D-6F3A-4F6A-86E0-2238592E826A}"/>
    <cellStyle name="Normal 6 2" xfId="82" xr:uid="{7F20A853-932B-4901-B63D-30CAB90E6E2B}"/>
    <cellStyle name="Normal 7" xfId="2" xr:uid="{E72C4A9B-030B-4491-A7C0-ADDC1D3DBE0A}"/>
    <cellStyle name="Normal 7 2" xfId="72" xr:uid="{A0C908AE-AEDE-4644-A4CA-2BFF854AD29B}"/>
    <cellStyle name="Normal 8" xfId="59" xr:uid="{74EAB78C-2820-4879-B229-3AB7F65131BB}"/>
    <cellStyle name="Normal 8 2" xfId="83" xr:uid="{6C0D2E78-DF5A-4733-BBA8-FA1EDEFF3A91}"/>
    <cellStyle name="Note 2" xfId="49" xr:uid="{1B9695FC-5230-4CAA-85EA-212C157967A6}"/>
    <cellStyle name="Note 2 2" xfId="66" xr:uid="{B7C40F8A-1916-4B5B-AA65-8208D0A0FD53}"/>
    <cellStyle name="Output 2" xfId="50" xr:uid="{621296A5-694A-4050-86B3-3880DB2AFA08}"/>
    <cellStyle name="Per cent" xfId="85" builtinId="5"/>
    <cellStyle name="Percent 2" xfId="51" xr:uid="{C4652EE9-BB02-4891-AB98-C3296F688704}"/>
    <cellStyle name="Percent 2 2" xfId="67" xr:uid="{B566511A-92C0-48FD-81CC-F30B3410A0B6}"/>
    <cellStyle name="Percent 3" xfId="58" xr:uid="{C961A9A3-5FB9-46A4-929F-61A46B155630}"/>
    <cellStyle name="Percent 4" xfId="68" xr:uid="{524DEAE9-65B5-4E79-B5CB-7D76772E9BB2}"/>
    <cellStyle name="Title 2" xfId="52" xr:uid="{560B39B7-4B67-4522-B594-675933878462}"/>
    <cellStyle name="Total 2" xfId="53" xr:uid="{344B7BAF-5059-467C-8DA7-EDBA9293D267}"/>
    <cellStyle name="Warning Text 2" xfId="54" xr:uid="{2D2E78F5-51B4-4846-A843-7F8FFBC68E0F}"/>
  </cellStyles>
  <dxfs count="22">
    <dxf>
      <numFmt numFmtId="35" formatCode="_-* #,##0.00_-;\-* #,##0.00_-;_-* &quot;-&quot;??_-;_-@_-"/>
    </dxf>
    <dxf>
      <fill>
        <patternFill patternType="solid">
          <bgColor rgb="FFFFFF00"/>
        </patternFill>
      </fill>
    </dxf>
    <dxf>
      <fill>
        <patternFill>
          <bgColor theme="4" tint="0.79998168889431442"/>
        </patternFill>
      </fill>
    </dxf>
    <dxf>
      <numFmt numFmtId="2" formatCode="0.00"/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pivotCacheDefinition" Target="pivotCache/pivotCacheDefinition1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pivotCacheDefinition" Target="pivotCache/pivotCacheDefinition6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0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pivotCacheDefinition" Target="pivotCache/pivotCacheDefinition9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8.xml"/><Relationship Id="rId27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ia Marshall" refreshedDate="46036.665391087961" createdVersion="8" refreshedVersion="8" minRefreshableVersion="3" recordCount="222" xr:uid="{024DE253-FD55-45EB-B08E-AD681F73F456}">
  <cacheSource type="worksheet">
    <worksheetSource ref="A1:B223" sheet="Revenue Consolidated"/>
  </cacheSource>
  <cacheFields count="2">
    <cacheField name="Customer" numFmtId="0">
      <sharedItems count="50">
        <s v="Bandon Co-Op"/>
        <s v="Barryroe Co-op"/>
        <s v="Callan Co-Op"/>
        <s v="Centenary Thurles Stores"/>
        <s v="Denis Brinicombe Group"/>
        <s v="Drinagh Co-Op"/>
        <s v="Heat Merchants Group"/>
        <s v="J. McKenna Ltd"/>
        <s v="John R. McCarthy"/>
        <s v="M.D O'Shea &amp; Sons Ltd"/>
        <s v="McDonnell Bros Ltd"/>
        <s v="Peter Curran Electrical"/>
        <s v="Smith's Tool Hire"/>
        <s v="T&amp;A Building"/>
        <s v="BallyJamesDuff Co-Op"/>
        <s v="Centenary Thurles Co-Op"/>
        <s v="Dan O'Connor Feeds"/>
        <s v="East Coast Viners"/>
        <s v="Hopkins Homevalue Hardware"/>
        <s v="Lee Strand Dairies"/>
        <s v="Lisavaird Co-Op"/>
        <s v="Morris DIY &amp; Building"/>
        <s v="North Cork Co-Op"/>
        <s v="Richard Boyle &amp; Sons Ltd"/>
        <s v="Wallaces Homevalue Hardware"/>
        <s v="Arrabawn Co-Op Society"/>
        <s v="Aurivo Co-Op"/>
        <s v="Bandon Vale Cheese"/>
        <s v="Carbery Group"/>
        <s v="Irish International Traders"/>
        <s v="Kellihers Mills"/>
        <s v="Lacpatrick Dairies"/>
        <s v="Lakeland Dairies"/>
        <s v="McDonogh Trade Centre Ltd"/>
        <s v="Organic Herd"/>
        <s v="Smith's Building supplies"/>
        <s v="Strathroy Dairies"/>
        <s v="Tirlan"/>
        <s v="Brett Brothers"/>
        <s v="Kiernan Milling"/>
        <s v="Centenary Thurles Feed &amp; Grain"/>
        <s v="Centenary Thurles Fresh Milk"/>
        <s v="Drinagh Dairies"/>
        <s v="ICMSA"/>
        <s v="Kerry Agribusiness"/>
        <s v="Joyce Hardware"/>
        <s v="Mole Avon Town "/>
        <s v="Wolseley"/>
        <s v="AIB Merchant Services "/>
        <s v="NewMarket Co-Op Creameries Ltd"/>
      </sharedItems>
    </cacheField>
    <cacheField name="Revenue" numFmtId="0">
      <sharedItems containsString="0" containsBlank="1" containsNumber="1" minValue="-1846.4042467995398" maxValue="395033.158458990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ia Marshall" refreshedDate="46036.665391087961" createdVersion="8" refreshedVersion="8" minRefreshableVersion="3" recordCount="48" xr:uid="{2C96C37C-E578-4E10-9400-26CFB6B426E1}">
  <cacheSource type="worksheet">
    <worksheetSource ref="A2:AA50" sheet="Licence"/>
  </cacheSource>
  <cacheFields count="27">
    <cacheField name="Customer" numFmtId="0">
      <sharedItems count="53">
        <s v="Arrabawn Co-Op Society"/>
        <s v="AIB Merchant Services "/>
        <s v="Aurivo Co-Op"/>
        <s v="BallyJamesDuff Co-Op"/>
        <s v="Bandon Co-Op"/>
        <s v="Bandon Vale Cheese"/>
        <s v="Barryroe Co-Op"/>
        <s v="Brett Brothers"/>
        <s v="Callan Co-Op"/>
        <s v="Carbery Group"/>
        <s v="Centenary Thurles Fresh Milk"/>
        <s v="Centenary Thurles Co-Op"/>
        <s v="Centenary Thurles Stores"/>
        <s v="Centenary Thurles Feed &amp; Grain"/>
        <s v="Dan O'Connor Feeds"/>
        <s v="Denis Brinicombe Group"/>
        <s v="Drinagh Co-Op"/>
        <s v="Drinagh Dairies"/>
        <s v="East Coast Viners"/>
        <s v="Tirlan"/>
        <s v="Heat Merchants Group"/>
        <s v="Hopkins Homevalue Hardware"/>
        <s v="ICMSA"/>
        <s v="Irish International Traders"/>
        <s v="John R. McCarthy"/>
        <s v="J. McKenna Ltd"/>
        <s v="Kellihers Mills"/>
        <s v="Kerry Agribusiness"/>
        <s v="Kiernan"/>
        <s v="Lacpatrick"/>
        <s v="Lakeland"/>
        <s v="Lee Strand Dairies"/>
        <s v="Lisavaird Co-Op"/>
        <s v="McDonnell Bros Ltd"/>
        <s v="McDonogh Trade Centre Ltd"/>
        <s v="M.D O'Shea &amp; Sons Ltd"/>
        <s v="Morris DIY &amp; Building"/>
        <s v="NewMarket Co-Op Creameries Ltd"/>
        <s v="North Cork Co-Op"/>
        <s v="Organic Herd"/>
        <s v="Peter Curran Electrical"/>
        <s v="Richard Boyle &amp; Sons Ltd"/>
        <s v="Smith's Building supplies"/>
        <s v="Smith's Tool Hire"/>
        <s v="Strathroy Dairies"/>
        <s v="T&amp;A Building"/>
        <s v="Wallaces Homevalue Hardware"/>
        <s v="Discount"/>
        <s v="T &amp; A Building Supplies Ltd" u="1"/>
        <s v="Clona Dairies" u="1"/>
        <s v="Dairygold Co-Op" u="1"/>
        <s v="Glanbia" u="1"/>
        <s v="Joyce Hardware" u="1"/>
      </sharedItems>
    </cacheField>
    <cacheField name="January" numFmtId="0">
      <sharedItems containsString="0" containsBlank="1" containsNumber="1" minValue="149.11000000000001" maxValue="13500"/>
    </cacheField>
    <cacheField name="February" numFmtId="0">
      <sharedItems containsString="0" containsBlank="1" containsNumber="1" minValue="139.78" maxValue="9588.67"/>
    </cacheField>
    <cacheField name="March" numFmtId="0">
      <sharedItems containsString="0" containsBlank="1" containsNumber="1" minValue="-0.79" maxValue="8063.33"/>
    </cacheField>
    <cacheField name="April" numFmtId="0">
      <sharedItems containsString="0" containsBlank="1" containsNumber="1" minValue="471.54" maxValue="35160"/>
    </cacheField>
    <cacheField name="May" numFmtId="0">
      <sharedItems containsString="0" containsBlank="1" containsNumber="1" minValue="180" maxValue="4550"/>
    </cacheField>
    <cacheField name="June" numFmtId="0">
      <sharedItems containsString="0" containsBlank="1" containsNumber="1" minValue="2100" maxValue="14800"/>
    </cacheField>
    <cacheField name="July" numFmtId="164">
      <sharedItems containsString="0" containsBlank="1" containsNumber="1" minValue="-0.31" maxValue="1552.03"/>
    </cacheField>
    <cacheField name="August" numFmtId="164">
      <sharedItems containsString="0" containsBlank="1" containsNumber="1" minValue="666.67" maxValue="2850"/>
    </cacheField>
    <cacheField name="September" numFmtId="164">
      <sharedItems containsString="0" containsBlank="1" containsNumber="1" minValue="157.49" maxValue="30070"/>
    </cacheField>
    <cacheField name="October" numFmtId="164">
      <sharedItems containsString="0" containsBlank="1" containsNumber="1" minValue="180" maxValue="3082.23"/>
    </cacheField>
    <cacheField name="November" numFmtId="164">
      <sharedItems containsString="0" containsBlank="1" containsNumber="1" minValue="84.71" maxValue="10422.219999999999"/>
    </cacheField>
    <cacheField name="December" numFmtId="164">
      <sharedItems containsString="0" containsBlank="1" containsNumber="1" minValue="-66.67" maxValue="12077.78"/>
    </cacheField>
    <cacheField name="Consol EUR" numFmtId="164">
      <sharedItems containsString="0" containsBlank="1" containsNumber="1" minValue="0" maxValue="63415"/>
    </cacheField>
    <cacheField name="JAN USD" numFmtId="0">
      <sharedItems containsString="0" containsBlank="1" containsNumber="1" minValue="0" maxValue="13967.491955759262"/>
    </cacheField>
    <cacheField name="FEB USD" numFmtId="166">
      <sharedItems containsString="0" containsBlank="1" containsNumber="1" minValue="0" maxValue="9982.6866417498677"/>
    </cacheField>
    <cacheField name="MAR USD" numFmtId="166">
      <sharedItems containsString="0" containsBlank="1" containsNumber="1" minValue="-0.85192654020769765" maxValue="8695.3985182948527"/>
    </cacheField>
    <cacheField name="APR USD" numFmtId="166">
      <sharedItems containsString="0" containsBlank="1" containsNumber="1" minValue="0" maxValue="39498.073401709786"/>
    </cacheField>
    <cacheField name="MAY USD" numFmtId="166">
      <sharedItems containsString="0" containsBlank="1" containsNumber="1" minValue="0" maxValue="5131.5596557907684"/>
    </cacheField>
    <cacheField name="JUNE USD" numFmtId="166">
      <sharedItems containsString="0" containsBlank="1" containsNumber="1" minValue="0" maxValue="17049.316299376776"/>
    </cacheField>
    <cacheField name="JULY USD" numFmtId="166">
      <sharedItems containsString="0" containsBlank="1" containsNumber="1" minValue="-0.36227649877293444" maxValue="1813.7548206147014"/>
    </cacheField>
    <cacheField name="AUG USD" numFmtId="166">
      <sharedItems containsString="0" containsBlank="1" containsNumber="1" minValue="0" maxValue="3319.4730773262518"/>
    </cacheField>
    <cacheField name="SEPT USD" numFmtId="166">
      <sharedItems containsString="0" containsBlank="1" containsNumber="1" minValue="0" maxValue="35273.554804804808"/>
    </cacheField>
    <cacheField name="OCT USD" numFmtId="166">
      <sharedItems containsString="0" containsBlank="1" containsNumber="1" minValue="0" maxValue="3588.9126941617569"/>
    </cacheField>
    <cacheField name="NOV USD" numFmtId="166">
      <sharedItems containsString="0" containsBlank="1" containsNumber="1" minValue="0" maxValue="12048.530669811102"/>
    </cacheField>
    <cacheField name="DEC USD" numFmtId="166">
      <sharedItems containsString="0" containsBlank="1" containsNumber="1" minValue="-78.088032045726067" maxValue="14146.24376303029"/>
    </cacheField>
    <cacheField name="CONSOL USD" numFmtId="166">
      <sharedItems containsString="0" containsBlank="1" containsNumber="1" minValue="0" maxValue="72322.4975171804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ia Marshall" refreshedDate="46036.665391203707" createdVersion="8" refreshedVersion="8" minRefreshableVersion="3" recordCount="52" xr:uid="{4295827F-9C01-430A-8215-4558C389E61E}">
  <cacheSource type="worksheet">
    <worksheetSource ref="H5:J57" sheet="Revenue Consolidated"/>
  </cacheSource>
  <cacheFields count="3">
    <cacheField name="Customer" numFmtId="0">
      <sharedItems containsBlank="1"/>
    </cacheField>
    <cacheField name="Amount" numFmtId="43">
      <sharedItems containsString="0" containsBlank="1" containsNumber="1" minValue="0" maxValue="601656.03094588255"/>
    </cacheField>
    <cacheField name="Country" numFmtId="43">
      <sharedItems containsBlank="1" count="3">
        <s v="Ireland"/>
        <s v="U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ia Marshall" refreshedDate="46036.665391203707" createdVersion="8" refreshedVersion="8" minRefreshableVersion="3" recordCount="50" xr:uid="{B6199F8D-CA6E-46F6-BCE4-B90B606C5253}">
  <cacheSource type="worksheet">
    <worksheetSource ref="A1:AA51" sheet="PS"/>
  </cacheSource>
  <cacheFields count="27">
    <cacheField name="Customer" numFmtId="0">
      <sharedItems count="56">
        <s v="Arrabawn Co-Op Society"/>
        <s v="AIB Merchant Services "/>
        <s v="Aurivo Co-Op"/>
        <s v="BallyJamesDuff Co-Op"/>
        <s v="Bandon Co-Op"/>
        <s v="Bandon Vale Cheese"/>
        <s v="Barryroe Co-Op"/>
        <s v="Brett Brothers"/>
        <s v="Callan Co-Op"/>
        <s v="Carbery Group"/>
        <s v="Centenary Thurles Fresh Milk"/>
        <s v="Centenary Thurles Co-Op"/>
        <s v="Centenary Thurles Stores"/>
        <s v="Centenary Thurles Feed &amp; Grain"/>
        <s v="Dan O'Connor Feeds"/>
        <s v="Denis Brinicombe Group"/>
        <s v="Drinagh Co-Op"/>
        <s v="Drinagh Dairies"/>
        <s v="East Coast Viners"/>
        <s v="Tirlan"/>
        <s v="Heat Merchants Group"/>
        <s v="Hopkins Homevalue Hardware"/>
        <s v="ICMSA"/>
        <s v="Irish International Traders"/>
        <s v="John R. McCarthy"/>
        <s v="J. McKenna Ltd"/>
        <s v="Joyce Hardware"/>
        <s v="Kellihers Mills"/>
        <s v="Kerry Agribusiness"/>
        <s v="Kiernan"/>
        <s v="Lacpatrick"/>
        <s v="Lakeland"/>
        <s v="Lee Strand Dairies"/>
        <s v="Lisavaird Co-Op"/>
        <s v="McDonnell Bros Ltd"/>
        <s v="McDonogh Trade Centre Ltd"/>
        <s v="M.D O'Shea &amp; Sons Ltd"/>
        <s v="Morris DIY &amp; Building"/>
        <s v="Mole Avon Town "/>
        <s v="North Cork Co-Op"/>
        <s v="Organic Herd"/>
        <s v="Peter Curran Electrical"/>
        <s v="Richard Boyle &amp; Sons Ltd"/>
        <s v="Smith's Building supplies"/>
        <s v="Smith's Tool Hire"/>
        <s v="Strathroy Dairies"/>
        <s v="T&amp;A Building"/>
        <s v="Wallaces Homevalue Hardware"/>
        <s v="Wolseley"/>
        <s v="Adj"/>
        <s v="T &amp; A Building Supplies Ltd" u="1"/>
        <s v="Clona Dairies" u="1"/>
        <s v="Dairygold Co-Op" u="1"/>
        <s v="Glanbia" u="1"/>
        <s v="NewMarket Co-Op Creameries Ltd" u="1"/>
        <s v="Discount" u="1"/>
      </sharedItems>
    </cacheField>
    <cacheField name="January" numFmtId="0">
      <sharedItems containsString="0" containsBlank="1" containsNumber="1" minValue="70" maxValue="19411.5"/>
    </cacheField>
    <cacheField name="February" numFmtId="0">
      <sharedItems containsString="0" containsBlank="1" containsNumber="1" minValue="63.35" maxValue="22176"/>
    </cacheField>
    <cacheField name="March" numFmtId="0">
      <sharedItems containsString="0" containsBlank="1" containsNumber="1" minValue="140" maxValue="28888.95"/>
    </cacheField>
    <cacheField name="April" numFmtId="0">
      <sharedItems containsString="0" containsBlank="1" containsNumber="1" minValue="315" maxValue="15155"/>
    </cacheField>
    <cacheField name="May" numFmtId="0">
      <sharedItems containsString="0" containsBlank="1" containsNumber="1" minValue="70" maxValue="13895"/>
    </cacheField>
    <cacheField name="June" numFmtId="0">
      <sharedItems containsString="0" containsBlank="1" containsNumber="1" minValue="490" maxValue="21455"/>
    </cacheField>
    <cacheField name="July" numFmtId="0">
      <sharedItems containsString="0" containsBlank="1" containsNumber="1" minValue="70" maxValue="11480"/>
    </cacheField>
    <cacheField name="August" numFmtId="43">
      <sharedItems containsString="0" containsBlank="1" containsNumber="1" minValue="-1050" maxValue="16636.640000000003"/>
    </cacheField>
    <cacheField name="September" numFmtId="0">
      <sharedItems containsString="0" containsBlank="1" containsNumber="1" minValue="-1965.04" maxValue="11315.03"/>
    </cacheField>
    <cacheField name="October" numFmtId="0">
      <sharedItems containsString="0" containsBlank="1" containsNumber="1" minValue="70" maxValue="11347"/>
    </cacheField>
    <cacheField name="November" numFmtId="43">
      <sharedItems containsString="0" containsBlank="1" containsNumber="1" minValue="70" maxValue="19495"/>
    </cacheField>
    <cacheField name="December" numFmtId="43">
      <sharedItems containsString="0" containsBlank="1" containsNumber="1" minValue="-4714.5" maxValue="17883.329999999998"/>
    </cacheField>
    <cacheField name="Consol Eur" numFmtId="168">
      <sharedItems containsSemiMixedTypes="0" containsString="0" containsNumber="1" minValue="-1521.71" maxValue="160280.53999999998"/>
    </cacheField>
    <cacheField name="Jan USD" numFmtId="166">
      <sharedItems containsSemiMixedTypes="0" containsString="0" containsNumber="1" minValue="0" maxValue="20083.701488831179"/>
    </cacheField>
    <cacheField name="Feb USD" numFmtId="166">
      <sharedItems containsSemiMixedTypes="0" containsString="0" containsNumber="1" minValue="0" maxValue="23087.253911902804"/>
    </cacheField>
    <cacheField name="March USD" numFmtId="166">
      <sharedItems containsSemiMixedTypes="0" containsString="0" containsNumber="1" minValue="0" maxValue="31153.497751560968"/>
    </cacheField>
    <cacheField name="Apr USD" numFmtId="166">
      <sharedItems containsSemiMixedTypes="0" containsString="0" containsNumber="1" minValue="0" maxValue="17024.837952301245"/>
    </cacheField>
    <cacheField name="May2" numFmtId="166">
      <sharedItems containsSemiMixedTypes="0" containsString="0" containsNumber="1" minValue="0" maxValue="15670.99371806873"/>
    </cacheField>
    <cacheField name="June2" numFmtId="166">
      <sharedItems containsSemiMixedTypes="0" containsString="0" containsNumber="1" minValue="0" maxValue="24715.748729941133"/>
    </cacheField>
    <cacheField name="July2" numFmtId="166">
      <sharedItems containsSemiMixedTypes="0" containsString="0" containsNumber="1" minValue="0" maxValue="13415.916793268669"/>
    </cacheField>
    <cacheField name="August2" numFmtId="166">
      <sharedItems containsSemiMixedTypes="0" containsString="0" containsNumber="1" minValue="-1222.9637653307243" maxValue="19377.150377954044"/>
    </cacheField>
    <cacheField name="September2" numFmtId="166">
      <sharedItems containsSemiMixedTypes="0" containsString="0" containsNumber="1" minValue="-2305.0863363363364" maxValue="13273.073855105105"/>
    </cacheField>
    <cacheField name="October2" numFmtId="166">
      <sharedItems containsSemiMixedTypes="0" containsString="0" containsNumber="1" minValue="0" maxValue="13212.314571155772"/>
    </cacheField>
    <cacheField name="November2" numFmtId="166">
      <sharedItems containsSemiMixedTypes="0" containsString="0" containsNumber="1" minValue="0" maxValue="22537.051166447018"/>
    </cacheField>
    <cacheField name="December2" numFmtId="166">
      <sharedItems containsSemiMixedTypes="0" containsString="0" containsNumber="1" minValue="-5521.9143104781097" maxValue="20946.06338869498"/>
    </cacheField>
    <cacheField name="Consol USD" numFmtId="166">
      <sharedItems containsSemiMixedTypes="0" containsString="0" containsNumber="1" minValue="-1846.4042467995398" maxValue="178240.556031673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ia Marshall" refreshedDate="46036.665391319446" createdVersion="8" refreshedVersion="8" minRefreshableVersion="3" recordCount="36" xr:uid="{2CE7A75A-8056-4D12-A2A7-FC145DE73EAC}">
  <cacheSource type="worksheet">
    <worksheetSource ref="A1:AA37" sheet="Hosting"/>
  </cacheSource>
  <cacheFields count="27">
    <cacheField name="Customer" numFmtId="0">
      <sharedItems containsBlank="1" count="38">
        <s v="Arrabawn"/>
        <s v="BallyJamesDuff"/>
        <s v="Bandon Co-Op"/>
        <s v="Barryroe Co-Op"/>
        <s v="Brett Brothers"/>
        <s v="Callan Co-Op"/>
        <s v="Carbery"/>
        <s v="Centenary Thurles Co-Op"/>
        <s v="Dan O'Connor"/>
        <s v="Denis Brinicombe"/>
        <s v="Drinagh Co-Op"/>
        <s v="Drinagh Dairies"/>
        <s v="Heat Merchants"/>
        <s v="Hopkins"/>
        <s v="ICMSA"/>
        <s v="J.McKenna"/>
        <s v="John McCarthy"/>
        <s v="Kelliher Mills"/>
        <s v="Kerry"/>
        <s v="Lakeland Dairies"/>
        <s v="Lakeland Dairies NI"/>
        <s v="Lee Strand"/>
        <s v="Lisavaird"/>
        <s v="M.D O'Shea"/>
        <s v="McDonnell"/>
        <s v="McDonogh"/>
        <s v="North Cork"/>
        <s v="Organic Herd"/>
        <s v="Peter Curran"/>
        <s v="Richard Boyle"/>
        <s v="Smiths Building"/>
        <s v="Strathroy Dairy"/>
        <s v="T&amp;A Building"/>
        <s v="Tirlan"/>
        <s v="Wallaces Homevalue Hardware"/>
        <m/>
        <s v="Adj" u="1"/>
        <s v="Wallaces" u="1"/>
      </sharedItems>
    </cacheField>
    <cacheField name="January" numFmtId="0">
      <sharedItems containsString="0" containsBlank="1" containsNumber="1" minValue="139.88304109589041" maxValue="10448.268876712329"/>
    </cacheField>
    <cacheField name="February" numFmtId="0">
      <sharedItems containsString="0" containsBlank="1" containsNumber="1" minValue="126.34597260273972" maxValue="9437.1460821917808"/>
    </cacheField>
    <cacheField name="March" numFmtId="167">
      <sharedItems containsString="0" containsBlank="1" containsNumber="1" minValue="-11.66" maxValue="10448.268876712329"/>
    </cacheField>
    <cacheField name="April" numFmtId="0">
      <sharedItems containsString="0" containsBlank="1" containsNumber="1" minValue="135.37068493150684" maxValue="10111.227945205479"/>
    </cacheField>
    <cacheField name="May" numFmtId="0">
      <sharedItems containsString="0" containsBlank="1" containsNumber="1" minValue="139.88304109589041" maxValue="10448.268876712329"/>
    </cacheField>
    <cacheField name="June" numFmtId="0">
      <sharedItems containsString="0" containsBlank="1" containsNumber="1" minValue="135.37068493150684" maxValue="10111.227945205479"/>
    </cacheField>
    <cacheField name="July" numFmtId="0">
      <sharedItems containsString="0" containsBlank="1" containsNumber="1" minValue="-679.48731506849299" maxValue="10448.268876712329"/>
    </cacheField>
    <cacheField name="August" numFmtId="0">
      <sharedItems containsString="0" containsBlank="1" containsNumber="1" minValue="139.88304109589041" maxValue="10982.334465753425"/>
    </cacheField>
    <cacheField name="September" numFmtId="0">
      <sharedItems containsString="0" containsBlank="1" containsNumber="1" minValue="135.37068493150684" maxValue="9979.9010958904109"/>
    </cacheField>
    <cacheField name="October" numFmtId="0">
      <sharedItems containsString="0" containsBlank="1" containsNumber="1" minValue="139.88304109589041" maxValue="10312.564465753425"/>
    </cacheField>
    <cacheField name="November" numFmtId="0">
      <sharedItems containsString="0" containsBlank="1" containsNumber="1" minValue="135.37068493150684" maxValue="9979.9010958904109"/>
    </cacheField>
    <cacheField name="December" numFmtId="0">
      <sharedItems containsString="0" containsBlank="1" containsNumber="1" minValue="139.88304109589058" maxValue="10312.561397260264"/>
    </cacheField>
    <cacheField name="Consildated Eur" numFmtId="2">
      <sharedItems containsSemiMixedTypes="0" containsString="0" containsNumber="1" minValue="0" maxValue="123019.93999999999"/>
    </cacheField>
    <cacheField name=" Jan USD" numFmtId="166">
      <sharedItems containsSemiMixedTypes="0" containsString="0" containsNumber="1" minValue="0" maxValue="10810.082332376987"/>
    </cacheField>
    <cacheField name="Feb USD" numFmtId="166">
      <sharedItems containsSemiMixedTypes="0" containsString="0" containsNumber="1" minValue="0" maxValue="9824.9363186904939"/>
    </cacheField>
    <cacheField name="March USD" numFmtId="166">
      <sharedItems containsSemiMixedTypes="0" containsString="0" containsNumber="1" minValue="-12.574004378255385" maxValue="11267.288044680128"/>
    </cacheField>
    <cacheField name="Apr USD" numFmtId="166">
      <sharedItems containsSemiMixedTypes="0" containsString="0" containsNumber="1" minValue="0" maxValue="11358.760624605949"/>
    </cacheField>
    <cacheField name="May USD" numFmtId="166">
      <sharedItems containsSemiMixedTypes="0" containsString="0" containsNumber="1" minValue="0" maxValue="11783.717591338751"/>
    </cacheField>
    <cacheField name="June USD" numFmtId="166">
      <sharedItems containsSemiMixedTypes="0" containsString="0" containsNumber="1" minValue="0" maxValue="11647.940771142279"/>
    </cacheField>
    <cacheField name="July USD" numFmtId="166">
      <sharedItems containsSemiMixedTypes="0" containsString="0" containsNumber="1" minValue="-794.07188859237226" maxValue="12210.200860946978"/>
    </cacheField>
    <cacheField name="August USD" numFmtId="166">
      <sharedItems containsSemiMixedTypes="0" containsString="0" containsNumber="1" minValue="0" maxValue="12791.425819389711"/>
    </cacheField>
    <cacheField name="Sept USD" numFmtId="166">
      <sharedItems containsSemiMixedTypes="0" containsString="0" containsNumber="1" minValue="0" maxValue="11706.903500246823"/>
    </cacheField>
    <cacheField name="Oct USD" numFmtId="166">
      <sharedItems containsSemiMixedTypes="0" containsString="0" containsNumber="1" minValue="0" maxValue="12007.829889561754"/>
    </cacheField>
    <cacheField name="Nov USD" numFmtId="166">
      <sharedItems containsSemiMixedTypes="0" containsString="0" containsNumber="1" minValue="0" maxValue="11537.191158459238"/>
    </cacheField>
    <cacheField name="Dec USD" numFmtId="166">
      <sharedItems containsSemiMixedTypes="0" containsString="0" containsNumber="1" minValue="0" maxValue="12078.710437419786"/>
    </cacheField>
    <cacheField name="Consol USD" numFmtId="0">
      <sharedItems containsString="0" containsBlank="1" containsNumber="1" minValue="511.21835169530527" maxValue="139024.987348858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ia Marshall" refreshedDate="46036.665391666669" createdVersion="8" refreshedVersion="8" minRefreshableVersion="3" recordCount="49" xr:uid="{24544107-F51C-4683-94DA-AE5AE9EAC195}">
  <cacheSource type="worksheet">
    <worksheetSource ref="A1:AA50" sheet="Deferred Maintenance"/>
  </cacheSource>
  <cacheFields count="27">
    <cacheField name="Customer" numFmtId="0">
      <sharedItems count="49">
        <s v="Arrabawn"/>
        <s v="Aurivo "/>
        <s v="Aurivo NI"/>
        <s v="BallyJamesDuff"/>
        <s v="Bandon Co-Op"/>
        <s v="Bandon Vale Cheese"/>
        <s v="Barryroe Co-Op"/>
        <s v="Brett Brothers"/>
        <s v="Callan Co-Op"/>
        <s v="Carbery "/>
        <s v="Centenary Thurles Co-Op"/>
        <s v="Centenary Thurles Feed &amp; Grain"/>
        <s v="Centenary Thurles Fresh Milk"/>
        <s v="Centenary Thurles Stores"/>
        <s v="Dan O'Connor"/>
        <s v="Denis Brinicombe"/>
        <s v="Drinagh Co-Op"/>
        <s v="Drinagh Dairies"/>
        <s v="Heat Merchants"/>
        <s v="ECV"/>
        <s v="Hopkins"/>
        <s v="ICMSA"/>
        <s v="Irish International Traders"/>
        <s v="J.McKenna"/>
        <s v="John McCarthy"/>
        <s v="Kelliher Mills"/>
        <s v="Kerry"/>
        <s v="Kiernan Milling"/>
        <s v="Lacpatrick Dairies"/>
        <s v="Lakeland Dairies"/>
        <s v="Lacpatrick Dairies NI"/>
        <s v="Lakeland Dairies NI"/>
        <s v="Lee Strand"/>
        <s v="Lisavaird"/>
        <s v="M.D O'Shea"/>
        <s v="McDonnell"/>
        <s v="McDonogh"/>
        <s v="Morris DIY"/>
        <s v="North Cork"/>
        <s v="Organic Herd"/>
        <s v="Peter Curran"/>
        <s v="Richard Boyle"/>
        <s v="Smiths Building"/>
        <s v="Smiths Tools"/>
        <s v="Strathroy Dairy"/>
        <s v="T&amp;A Building"/>
        <s v="Tirlan"/>
        <s v="Wallaces"/>
        <s v="Adj"/>
      </sharedItems>
    </cacheField>
    <cacheField name="January" numFmtId="0">
      <sharedItems containsString="0" containsBlank="1" containsNumber="1" minValue="0" maxValue="29942.105303867404"/>
    </cacheField>
    <cacheField name="February" numFmtId="0">
      <sharedItems containsString="0" containsBlank="1" containsNumber="1" minValue="249.13019178082195" maxValue="27044.482209944799"/>
    </cacheField>
    <cacheField name="March" numFmtId="0">
      <sharedItems containsString="0" containsBlank="1" containsNumber="1" minValue="275.82271232876718" maxValue="29942.105303867404"/>
    </cacheField>
    <cacheField name="April" numFmtId="0">
      <sharedItems containsString="0" containsBlank="1" containsNumber="1" minValue="0" maxValue="28976.23093922652"/>
    </cacheField>
    <cacheField name="May" numFmtId="0">
      <sharedItems containsString="0" containsBlank="1" containsNumber="1" minValue="0" maxValue="29942.105303867404"/>
    </cacheField>
    <cacheField name="June" numFmtId="0">
      <sharedItems containsString="0" containsBlank="1" containsNumber="1" minValue="-961.38010989010991" maxValue="28976.23093922652"/>
    </cacheField>
    <cacheField name="July" numFmtId="0">
      <sharedItems containsString="0" containsBlank="1" containsNumber="1" minValue="0" maxValue="29453.918804347828"/>
    </cacheField>
    <cacheField name="August" numFmtId="0">
      <sharedItems containsString="0" containsBlank="1" containsNumber="1" minValue="0" maxValue="29453.928804347797"/>
    </cacheField>
    <cacheField name="September" numFmtId="0">
      <sharedItems containsString="0" containsBlank="1" containsNumber="1" minValue="0" maxValue="28503.792391304301"/>
    </cacheField>
    <cacheField name="October" numFmtId="0">
      <sharedItems containsString="0" containsBlank="1" containsNumber="1" minValue="0" maxValue="29453.918804347828"/>
    </cacheField>
    <cacheField name="November" numFmtId="0">
      <sharedItems containsString="0" containsBlank="1" containsNumber="1" minValue="0" maxValue="28503.792391304349"/>
    </cacheField>
    <cacheField name="December" numFmtId="0">
      <sharedItems containsSemiMixedTypes="0" containsString="0" containsNumber="1" minValue="0" maxValue="29453.918804347806"/>
    </cacheField>
    <cacheField name="Cons EUR" numFmtId="169">
      <sharedItems containsSemiMixedTypes="0" containsString="0" containsNumber="1" minValue="0" maxValue="349646.52999999991"/>
    </cacheField>
    <cacheField name="USD January" numFmtId="171">
      <sharedItems containsSemiMixedTypes="0" containsString="0" containsNumber="1" minValue="0" maxValue="30978.971479278865"/>
    </cacheField>
    <cacheField name="USD February" numFmtId="171">
      <sharedItems containsSemiMixedTypes="0" containsString="0" containsNumber="1" minValue="0" maxValue="28155.791292249902"/>
    </cacheField>
    <cacheField name="USD March" numFmtId="171">
      <sharedItems containsSemiMixedTypes="0" containsString="0" containsNumber="1" minValue="0" maxValue="32289.207820326974"/>
    </cacheField>
    <cacheField name="USD April" numFmtId="171">
      <sharedItems containsSemiMixedTypes="0" containsString="0" containsNumber="1" minValue="0" maxValue="32551.345180388598"/>
    </cacheField>
    <cacheField name="USD May" numFmtId="171">
      <sharedItems containsSemiMixedTypes="0" containsString="0" containsNumber="1" minValue="0" maxValue="33769.1647443439"/>
    </cacheField>
    <cacheField name="USD June" numFmtId="171">
      <sharedItems containsSemiMixedTypes="0" containsString="0" containsNumber="1" minValue="-1107.4914579355466" maxValue="33380.062597747325"/>
    </cacheField>
    <cacheField name="USD July" numFmtId="171">
      <sharedItems containsSemiMixedTypes="0" containsString="0" containsNumber="1" minValue="0" maxValue="34420.847030907826"/>
    </cacheField>
    <cacheField name="USD August" numFmtId="171">
      <sharedItems containsSemiMixedTypes="0" containsString="0" containsNumber="1" minValue="0" maxValue="34305.797785093579"/>
    </cacheField>
    <cacheField name="USD September" numFmtId="171">
      <sharedItems containsSemiMixedTypes="0" containsString="0" containsNumber="1" minValue="0" maxValue="33436.318026586312"/>
    </cacheField>
    <cacheField name="USD October" numFmtId="171">
      <sharedItems containsSemiMixedTypes="0" containsString="0" containsNumber="1" minValue="0" maxValue="34295.799823417976"/>
    </cacheField>
    <cacheField name="USD November" numFmtId="171">
      <sharedItems containsSemiMixedTypes="0" containsString="0" containsNumber="1" minValue="0" maxValue="32951.599259328512"/>
    </cacheField>
    <cacheField name="USD December" numFmtId="2">
      <sharedItems containsSemiMixedTypes="0" containsString="0" containsNumber="1" minValue="0" maxValue="34498.253419320907"/>
    </cacheField>
    <cacheField name="Consol USD" numFmtId="171">
      <sharedItems containsSemiMixedTypes="0" containsString="0" containsNumber="1" minValue="0" maxValue="395033.158458990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ia Marshall" refreshedDate="46036.665391782408" createdVersion="8" refreshedVersion="8" minRefreshableVersion="3" recordCount="42" xr:uid="{FCA37B4F-70FB-47F8-9C31-444D2FE04D9C}">
  <cacheSource type="worksheet">
    <worksheetSource ref="A1:AA43" sheet="3rd Party Maintenance"/>
  </cacheSource>
  <cacheFields count="27">
    <cacheField name="Customer" numFmtId="0">
      <sharedItems count="57">
        <s v="Arrabawn"/>
        <s v="Aurivo"/>
        <s v="Aurivo NI"/>
        <s v="BallyJamesDuff"/>
        <s v="Bandon Co-Op"/>
        <s v="Bandon Vale Cheese"/>
        <s v="Barryroe Co-op"/>
        <s v="Brett Brother"/>
        <s v="Callan Co-Op"/>
        <s v="Carbery"/>
        <s v="Centenary Thurles Co-Op"/>
        <s v="Centenary Thurles Stores"/>
        <s v="Dan O'Connor"/>
        <s v="Denis Brinicombe"/>
        <s v="Drinagh Co-Op"/>
        <s v="East Coast Viners"/>
        <s v="Heat Merchants"/>
        <s v="Hopkins"/>
        <s v="Irish International Traders"/>
        <s v="J.McKenna"/>
        <s v="John McCarthy"/>
        <s v="Kiernan Milling"/>
        <s v="Kelliher Mills"/>
        <s v="Lacpatrick Dairies"/>
        <s v="Lakeland Dairies"/>
        <s v="Lakeland Dairies NI"/>
        <s v="Lee Strand"/>
        <s v="Lisavaird"/>
        <s v="M.D O'Shea"/>
        <s v="McDonnell Bros"/>
        <s v="McDonogh"/>
        <s v="Morris DIY"/>
        <s v="North Cork"/>
        <s v="Organic Herd"/>
        <s v="Peter Curran"/>
        <s v="Richard Boyle"/>
        <s v="Smiths Building"/>
        <s v="Smiths Tools"/>
        <s v="Strathroy Dairy"/>
        <s v="T&amp;A Building"/>
        <s v="Tirlan"/>
        <s v="Wallaces"/>
        <s v="Brett Brothers" u="1"/>
        <s v="ECV" u="1"/>
        <s v="Arrabawn Co-Op" u="1"/>
        <s v="Aurivo Co-Op" u="1"/>
        <s v="Bandon Vale" u="1"/>
        <s v="Carbery Group" u="1"/>
        <s v="Glanbia" u="1"/>
        <s v="IITC" u="1"/>
        <s v="Kellihers" u="1"/>
        <s v="Lacpatrick" u="1"/>
        <s v="Lakeland" u="1"/>
        <s v="McDonogh Trade" u="1"/>
        <s v="OMSCO" u="1"/>
        <s v="Smith Building" u="1"/>
        <s v="Strathroy" u="1"/>
      </sharedItems>
    </cacheField>
    <cacheField name="January" numFmtId="167">
      <sharedItems containsString="0" containsBlank="1" containsNumber="1" minValue="7.5325753424657531" maxValue="2822.7020273972603"/>
    </cacheField>
    <cacheField name="February" numFmtId="167">
      <sharedItems containsString="0" containsBlank="1" containsNumber="1" minValue="6.8036164383561646" maxValue="2549.5373150684932"/>
    </cacheField>
    <cacheField name="March" numFmtId="167">
      <sharedItems containsString="0" containsBlank="1" containsNumber="1" minValue="7.5325753424657531" maxValue="2822.7020273972603"/>
    </cacheField>
    <cacheField name="April" numFmtId="167">
      <sharedItems containsString="0" containsBlank="1" containsNumber="1" minValue="7.2895890410958906" maxValue="2731.6471232876715"/>
    </cacheField>
    <cacheField name="May" numFmtId="167">
      <sharedItems containsString="0" containsBlank="1" containsNumber="1" minValue="7.5325753424657531" maxValue="2822.7020273972603"/>
    </cacheField>
    <cacheField name="June " numFmtId="167">
      <sharedItems containsString="0" containsBlank="1" containsNumber="1" minValue="7.2895890410958906" maxValue="2731.6471232876715"/>
    </cacheField>
    <cacheField name="July" numFmtId="167">
      <sharedItems containsString="0" containsBlank="1" containsNumber="1" minValue="7.5325753424657531" maxValue="2822.7020273972603"/>
    </cacheField>
    <cacheField name="August" numFmtId="167">
      <sharedItems containsString="0" containsBlank="1" containsNumber="1" minValue="7.5325753424657531" maxValue="2822.7020273972603"/>
    </cacheField>
    <cacheField name="September" numFmtId="167">
      <sharedItems containsSemiMixedTypes="0" containsString="0" containsNumber="1" minValue="7.2895890410958906" maxValue="2731.6471232876715"/>
    </cacheField>
    <cacheField name="October" numFmtId="167">
      <sharedItems containsSemiMixedTypes="0" containsString="0" containsNumber="1" minValue="7.5325753424657531" maxValue="2822.7020273972603"/>
    </cacheField>
    <cacheField name="November" numFmtId="167">
      <sharedItems containsSemiMixedTypes="0" containsString="0" containsNumber="1" minValue="7.2895890410958906" maxValue="2731.6471232876715"/>
    </cacheField>
    <cacheField name="December" numFmtId="167">
      <sharedItems containsSemiMixedTypes="0" containsString="0" containsNumber="1" minValue="7.5325753424657478" maxValue="2822.702027397263"/>
    </cacheField>
    <cacheField name="Consolidated Eur" numFmtId="167">
      <sharedItems containsSemiMixedTypes="0" containsString="0" containsNumber="1" minValue="88.69" maxValue="33235.040000000001"/>
    </cacheField>
    <cacheField name="Jan USD " numFmtId="166">
      <sharedItems containsSemiMixedTypes="0" containsString="0" containsNumber="1" minValue="0" maxValue="2920.4494711982661"/>
    </cacheField>
    <cacheField name="Feb USD" numFmtId="166">
      <sharedItems containsSemiMixedTypes="0" containsString="0" containsNumber="1" minValue="0" maxValue="2654.3026402803589"/>
    </cacheField>
    <cacheField name="March USD" numFmtId="166">
      <sharedItems containsSemiMixedTypes="0" containsString="0" containsNumber="1" minValue="0" maxValue="3043.9680661237994"/>
    </cacheField>
    <cacheField name="April USD" numFmtId="166">
      <sharedItems containsSemiMixedTypes="0" containsString="0" containsNumber="1" minValue="0" maxValue="3068.6802782476061"/>
    </cacheField>
    <cacheField name="May USD" numFmtId="166">
      <sharedItems containsSemiMixedTypes="0" containsString="0" containsNumber="1" minValue="0" maxValue="3183.4865591451839"/>
    </cacheField>
    <cacheField name="June USD" numFmtId="166">
      <sharedItems containsSemiMixedTypes="0" containsString="0" containsNumber="1" minValue="0" maxValue="3146.8051231901477"/>
    </cacheField>
    <cacheField name="July USD" numFmtId="166">
      <sharedItems containsSemiMixedTypes="0" containsString="0" containsNumber="1" minValue="0" maxValue="3298.7051856927196"/>
    </cacheField>
    <cacheField name="August USD" numFmtId="166">
      <sharedItems containsSemiMixedTypes="0" containsString="0" containsNumber="1" minValue="0" maxValue="3287.6783807927836"/>
    </cacheField>
    <cacheField name="September USD" numFmtId="166">
      <sharedItems containsSemiMixedTypes="0" containsString="0" containsNumber="1" minValue="8.5510381957299764" maxValue="3204.3533259286687"/>
    </cacheField>
    <cacheField name="October USD" numFmtId="166">
      <sharedItems containsSemiMixedTypes="0" containsString="0" containsNumber="1" minValue="8.7708429501708771" maxValue="3286.7213471941272"/>
    </cacheField>
    <cacheField name="November USD" numFmtId="166">
      <sharedItems containsSemiMixedTypes="0" containsString="0" containsNumber="1" minValue="8.4270757220594792" maxValue="3157.9005378923857"/>
    </cacheField>
    <cacheField name="December USD" numFmtId="166">
      <sharedItems containsSemiMixedTypes="0" containsString="0" containsNumber="1" minValue="8.8226186400076685" maxValue="3306.1233893945314"/>
    </cacheField>
    <cacheField name="Consol USD" numFmtId="166">
      <sharedItems containsSemiMixedTypes="0" containsString="0" containsNumber="1" minValue="100.22925108913952" maxValue="37559.1743050805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ia Marshall" refreshedDate="46036.665392013892" createdVersion="8" refreshedVersion="8" minRefreshableVersion="3" recordCount="128" xr:uid="{62066868-0D6F-4D30-94EC-E580785692F8}">
  <cacheSource type="worksheet">
    <worksheetSource ref="K3:L131" sheet="Recurring Revenue Euros"/>
  </cacheSource>
  <cacheFields count="2">
    <cacheField name="Customer" numFmtId="0">
      <sharedItems count="56">
        <s v="(blank)"/>
        <s v="Adj"/>
        <s v="Arrabawn"/>
        <s v="Aurivo"/>
        <s v="BallyJamesDuff"/>
        <s v="Bandon Co-Op"/>
        <s v="Bandon Vale Cheese"/>
        <s v="Barryroe Co-op"/>
        <s v="Brett Brother"/>
        <s v="Brett Brothers"/>
        <s v="Callan Co-Op"/>
        <s v="Carbery"/>
        <s v="Carbery "/>
        <s v="Centenary Thurles Co-Op"/>
        <s v="Centenary Thurles Feed &amp; Grain"/>
        <s v="Centenary Thurles Fresh Milk"/>
        <s v="Centenary Thurles Stores"/>
        <s v="Dan O'Connor"/>
        <s v="Denis Brinicombe"/>
        <s v="Drinagh Co-Op"/>
        <s v="Drinagh Dairies"/>
        <s v="East Coast Viners"/>
        <s v="Heat Merchants"/>
        <s v="Hopkins"/>
        <s v="ICMSA"/>
        <s v="Irish International Traders"/>
        <s v="J.McKenna"/>
        <s v="John McCarthy"/>
        <s v="Kelliher Mills"/>
        <s v="Kerry"/>
        <s v="Kiernan Milling"/>
        <s v="Lacpatrick Dairies"/>
        <s v="Lacpatrick Dairies NI"/>
        <s v="Lakeland Dairies"/>
        <s v="Lakeland Dairies NI"/>
        <s v="Lee Strand"/>
        <s v="Lisavaird"/>
        <s v="M.D O'Shea"/>
        <s v="McDonnell Bros"/>
        <s v="McDonogh"/>
        <s v="Morris DIY"/>
        <s v="North Cork"/>
        <s v="Organic Herd"/>
        <s v="Peter Curran"/>
        <s v="Richard Boyle"/>
        <s v="Smiths Building"/>
        <s v="Smiths Tools"/>
        <s v="Strathroy Dairy"/>
        <s v="T&amp;A Building"/>
        <s v="Tirlan"/>
        <s v="Wallaces Homevalue Hardware"/>
        <s v="Aurivo " u="1"/>
        <s v="Aurivo NI" u="1"/>
        <s v="ECV" u="1"/>
        <s v="McDonnell" u="1"/>
        <s v="Wallaces" u="1"/>
      </sharedItems>
    </cacheField>
    <cacheField name="Amount" numFmtId="0">
      <sharedItems containsSemiMixedTypes="0" containsString="0" containsNumber="1" minValue="-0.5" maxValue="2423519.18805176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ia Marshall" refreshedDate="46036.665392361108" createdVersion="8" refreshedVersion="8" minRefreshableVersion="3" recordCount="50" xr:uid="{0014A87F-D22F-460E-9ECE-5E1932D917F2}">
  <cacheSource type="worksheet">
    <worksheetSource ref="A1:AA51" sheet="Deferred Maintenance"/>
  </cacheSource>
  <cacheFields count="27">
    <cacheField name="Customer" numFmtId="0">
      <sharedItems containsBlank="1" count="51">
        <s v="Arrabawn"/>
        <s v="Aurivo "/>
        <s v="Aurivo NI"/>
        <s v="BallyJamesDuff"/>
        <s v="Bandon Co-Op"/>
        <s v="Bandon Vale Cheese"/>
        <s v="Barryroe Co-Op"/>
        <s v="Brett Brothers"/>
        <s v="Callan Co-Op"/>
        <s v="Carbery "/>
        <s v="Centenary Thurles Co-Op"/>
        <s v="Centenary Thurles Feed &amp; Grain"/>
        <s v="Centenary Thurles Fresh Milk"/>
        <s v="Centenary Thurles Stores"/>
        <s v="Dan O'Connor"/>
        <s v="Denis Brinicombe"/>
        <s v="Drinagh Co-Op"/>
        <s v="Drinagh Dairies"/>
        <s v="Heat Merchants"/>
        <s v="ECV"/>
        <s v="Hopkins"/>
        <s v="ICMSA"/>
        <s v="Irish International Traders"/>
        <s v="J.McKenna"/>
        <s v="John McCarthy"/>
        <s v="Kelliher Mills"/>
        <s v="Kerry"/>
        <s v="Kiernan Milling"/>
        <s v="Lacpatrick Dairies"/>
        <s v="Lakeland Dairies"/>
        <s v="Lacpatrick Dairies NI"/>
        <s v="Lakeland Dairies NI"/>
        <s v="Lee Strand"/>
        <s v="Lisavaird"/>
        <s v="M.D O'Shea"/>
        <s v="McDonnell"/>
        <s v="McDonogh"/>
        <s v="Morris DIY"/>
        <s v="North Cork"/>
        <s v="Organic Herd"/>
        <s v="Peter Curran"/>
        <s v="Richard Boyle"/>
        <s v="Smiths Building"/>
        <s v="Smiths Tools"/>
        <s v="Strathroy Dairy"/>
        <s v="T&amp;A Building"/>
        <s v="Tirlan"/>
        <s v="Wallaces"/>
        <s v="Adj"/>
        <m/>
        <s v="East Coast Viners" u="1"/>
      </sharedItems>
    </cacheField>
    <cacheField name="January" numFmtId="0">
      <sharedItems containsString="0" containsBlank="1" containsNumber="1" minValue="0" maxValue="204296.62928757869"/>
    </cacheField>
    <cacheField name="February" numFmtId="0">
      <sharedItems containsString="0" containsBlank="1" containsNumber="1" minValue="249.13019178082195" maxValue="184699.93004025807"/>
    </cacheField>
    <cacheField name="March" numFmtId="0">
      <sharedItems containsString="0" containsBlank="1" containsNumber="1" minValue="275.82271232876718" maxValue="204221.71956774619"/>
    </cacheField>
    <cacheField name="April" numFmtId="0">
      <sharedItems containsString="0" containsBlank="1" containsNumber="1" minValue="0" maxValue="198647.01831962346"/>
    </cacheField>
    <cacheField name="May" numFmtId="0">
      <sharedItems containsString="0" containsBlank="1" containsNumber="1" minValue="0" maxValue="205941.5626585414"/>
    </cacheField>
    <cacheField name="June" numFmtId="0">
      <sharedItems containsString="0" containsBlank="1" containsNumber="1" minValue="-961.38010989010991" maxValue="198114.21891031667"/>
    </cacheField>
    <cacheField name="July" numFmtId="0">
      <sharedItems containsString="0" containsBlank="1" containsNumber="1" minValue="0" maxValue="204509.12857805888"/>
    </cacheField>
    <cacheField name="August" numFmtId="0">
      <sharedItems containsString="0" containsBlank="1" containsNumber="1" minValue="0" maxValue="204600.58263034641"/>
    </cacheField>
    <cacheField name="September" numFmtId="0">
      <sharedItems containsString="0" containsBlank="1" containsNumber="1" minValue="0" maxValue="201052.90366659657"/>
    </cacheField>
    <cacheField name="October" numFmtId="0">
      <sharedItems containsString="0" containsBlank="1" containsNumber="1" minValue="0" maxValue="207940.89420910628"/>
    </cacheField>
    <cacheField name="November" numFmtId="0">
      <sharedItems containsString="0" containsBlank="1" containsNumber="1" minValue="0" maxValue="201347.43886973272"/>
    </cacheField>
    <cacheField name="December" numFmtId="0">
      <sharedItems containsSemiMixedTypes="0" containsString="0" containsNumber="1" minValue="0" maxValue="208147.15683205714"/>
    </cacheField>
    <cacheField name="Cons EUR" numFmtId="169">
      <sharedItems containsSemiMixedTypes="0" containsString="0" containsNumber="1" minValue="0" maxValue="2423519.1835699631"/>
    </cacheField>
    <cacheField name="USD January" numFmtId="0">
      <sharedItems containsSemiMixedTypes="0" containsString="0" containsNumber="1" minValue="0" maxValue="211371.22416022138"/>
    </cacheField>
    <cacheField name="USD February" numFmtId="0">
      <sharedItems containsSemiMixedTypes="0" containsString="0" containsNumber="1" minValue="0" maxValue="192289.60057495144"/>
    </cacheField>
    <cacheField name="USD March" numFmtId="0">
      <sharedItems containsSemiMixedTypes="0" containsString="0" containsNumber="1" minValue="0" maxValue="220230.25694508446"/>
    </cacheField>
    <cacheField name="USD April" numFmtId="0">
      <sharedItems containsSemiMixedTypes="0" containsString="0" containsNumber="1" minValue="0" maxValue="223156.27163308515"/>
    </cacheField>
    <cacheField name="USD May" numFmtId="0">
      <sharedItems containsSemiMixedTypes="0" containsString="0" containsNumber="1" minValue="0" maxValue="232264.0471184786"/>
    </cacheField>
    <cacheField name="USD June" numFmtId="0">
      <sharedItems containsSemiMixedTypes="0" containsString="0" containsNumber="1" minValue="-1107.4914579355466" maxValue="228223.78254094327"/>
    </cacheField>
    <cacheField name="USD July" numFmtId="0">
      <sharedItems containsSemiMixedTypes="0" containsString="0" containsNumber="1" minValue="0" maxValue="238996.29376891305"/>
    </cacheField>
    <cacheField name="USD August" numFmtId="0">
      <sharedItems containsSemiMixedTypes="0" containsString="0" containsNumber="1" minValue="0" maxValue="238303.90373568429"/>
    </cacheField>
    <cacheField name="USD September" numFmtId="0">
      <sharedItems containsSemiMixedTypes="0" containsString="0" containsNumber="1" minValue="0" maxValue="235844.71620049336"/>
    </cacheField>
    <cacheField name="USD October" numFmtId="0">
      <sharedItems containsSemiMixedTypes="0" containsString="0" containsNumber="1" minValue="0" maxValue="242123.95404055135"/>
    </cacheField>
    <cacheField name="USD November" numFmtId="0">
      <sharedItems containsSemiMixedTypes="0" containsString="0" containsNumber="1" minValue="0" maxValue="232766.22375174297"/>
    </cacheField>
    <cacheField name="USD December" numFmtId="0">
      <sharedItems containsSemiMixedTypes="0" containsString="0" containsNumber="1" minValue="0" maxValue="243794.83805202405"/>
    </cacheField>
    <cacheField name="Consol USD" numFmtId="0">
      <sharedItems containsSemiMixedTypes="0" containsString="0" containsNumber="1" minValue="0" maxValue="2739365.11252217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ia Marshall" refreshedDate="46036.665393171294" createdVersion="8" refreshedVersion="8" minRefreshableVersion="3" recordCount="223" xr:uid="{01D282A6-D97B-4193-BF52-537E6B2CBD08}">
  <cacheSource type="worksheet">
    <worksheetSource ref="A1:B224" sheet="Consolidated Revenue"/>
  </cacheSource>
  <cacheFields count="2">
    <cacheField name="Customer" numFmtId="0">
      <sharedItems containsBlank="1" count="80">
        <s v="Arrabawn Co-Op Society"/>
        <s v="Aurivo Co-Op Society"/>
        <s v="BallyJamesDuff Co-Op"/>
        <s v="Bandon Co-Op"/>
        <s v="Bandon Vale Cheese"/>
        <s v="Barryroe Co-Op"/>
        <s v="Brett Brothers"/>
        <s v="Callan Co-Op"/>
        <s v="Carbery"/>
        <s v="Centenary Thurles Co-Op"/>
        <s v="Centenary Thurles Feed &amp; Grain"/>
        <s v="Centenary Thurles Fresh Milk"/>
        <s v="Centenary Thurles Stores"/>
        <s v="Clona Dairies"/>
        <s v="Dairygold Co-Op"/>
        <s v="Dan O'Connor Feeds"/>
        <s v="Denis Brinicombe"/>
        <s v="Drinagh Co-Op"/>
        <s v="Drinagh Dairies"/>
        <s v="East Coast Viners"/>
        <s v="Glanbia"/>
        <s v="Heat Merchants"/>
        <s v="Hopkins Homevalue"/>
        <s v="Irish International Traders"/>
        <s v="J.McKenna"/>
        <s v="John McCarthy"/>
        <s v="Joyce Hardware"/>
        <s v="Kellihers Mills"/>
        <s v="Kerry Agribusiness"/>
        <s v="Lacpatrick Dairies"/>
        <s v="Lakeland Dairies"/>
        <s v="Lee Strand Dairies"/>
        <s v="Lisavaird Co-Op"/>
        <s v="M.D O'Shea"/>
        <s v="McDonnell Bros"/>
        <s v="McDonagh Trade Centre"/>
        <s v="Morris DIY "/>
        <s v="Newmarket Co-Op"/>
        <s v="North Cork Co-Op"/>
        <s v="OMSCO"/>
        <s v="Peter Curran"/>
        <s v="Richard Boyle &amp; Sons"/>
        <s v="Smiths Building"/>
        <s v="Smiths Tools"/>
        <s v="Strathroy Dairies"/>
        <s v="T&amp;A Building"/>
        <s v="Wallaces Homevalue"/>
        <s v="ICMSA"/>
        <s v="Misc Credits"/>
        <m u="1"/>
        <s v="T &amp; A Building Supplies Ltd" u="1"/>
        <s v="Richard Boyle &amp; Sons Ltd" u="1"/>
        <s v="Centenary Thurles Co-Op " u="1"/>
        <s v="Lakeland Dairies ROI Ltd" u="1"/>
        <s v="Omsco Ltd" u="1"/>
        <s v="Heat Merchants Group" u="1"/>
        <s v="McDonogh Trade Centre Ltd" u="1"/>
        <s v="NewMarket Co-Op Creameries Ltd" u="1"/>
        <s v="Lacpatrick Dairies ROI Ltd" u="1"/>
        <s v="Wallaces Homevalue Hardware" u="1"/>
        <s v="Carbery Group" u="1"/>
        <s v="Smith's Tool Hire" u="1"/>
        <s v="Glanbia Co-Op" u="1"/>
        <s v="Smith's Building supplies" u="1"/>
        <s v="J. McKenna Ltd" u="1"/>
        <s v="Lakeland Dairies (NI)" u="1"/>
        <s v="(blank)" u="1"/>
        <s v="Hopkins Homevalue Hardware" u="1"/>
        <s v="Lacpatrick (NI)" u="1"/>
        <s v="Peter Curran Electrical" u="1"/>
        <s v="Lacpatrick Dairies NI Ltd" u="1"/>
        <s v="Denis Brinicombe Group" u="1"/>
        <s v="Morris DIY &amp; Building" u="1"/>
        <s v="Aurivo " u="1"/>
        <s v="M.D O'Shea &amp; Sons Ltd" u="1"/>
        <s v="Aurivo NI" u="1"/>
        <s v="John R. McCarthy" u="1"/>
        <s v="McDonnell Bros Ltd" u="1"/>
        <s v="Lakeland Dairies NI Ltd" u="1"/>
        <s v="Lacpatrick (ROI)" u="1"/>
      </sharedItems>
    </cacheField>
    <cacheField name="Amount" numFmtId="43">
      <sharedItems containsSemiMixedTypes="0" containsString="0" containsNumber="1" minValue="-0.89442400226436458" maxValue="302823.244908718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ia Marshall" refreshedDate="46036.670159953705" createdVersion="8" refreshedVersion="8" minRefreshableVersion="3" recordCount="125" xr:uid="{9532E1C4-05EB-4B7D-9DB9-6AFBEE48A6D9}">
  <cacheSource type="worksheet">
    <worksheetSource ref="A1:B126" sheet="Recurring Revenue Data"/>
  </cacheSource>
  <cacheFields count="2">
    <cacheField name="Customer" numFmtId="0">
      <sharedItems count="54">
        <s v="Bandon Co-Op"/>
        <s v="Barryroe Co-Op"/>
        <s v="Brett Brothers"/>
        <s v="Callan Co-Op"/>
        <s v="Centenary Thurles Feed &amp; Grain"/>
        <s v="Centenary Thurles Fresh Milk"/>
        <s v="Centenary Thurles Stores"/>
        <s v="Denis Brinicombe"/>
        <s v="Drinagh Co-Op"/>
        <s v="Drinagh Dairies"/>
        <s v="Heat Merchants"/>
        <s v="J.McKenna"/>
        <s v="John McCarthy"/>
        <s v="M.D O'Shea"/>
        <s v="Peter Curran"/>
        <s v="Smiths Tools"/>
        <s v="T&amp;A Building"/>
        <s v="BallyJamesDuff"/>
        <s v="Centenary Thurles Co-Op"/>
        <s v="Dan O'Connor"/>
        <s v="Hopkins"/>
        <s v="ICMSA"/>
        <s v="Lee Strand"/>
        <s v="Lisavaird"/>
        <s v="Morris DIY"/>
        <s v="North Cork"/>
        <s v="Richard Boyle"/>
        <s v="Wallaces"/>
        <s v="Arrabawn"/>
        <s v="Aurivo"/>
        <s v="Bandon Vale Cheese"/>
        <s v="Carbery "/>
        <s v="ECV"/>
        <s v="Irish International Traders"/>
        <s v="Kelliher Mills"/>
        <s v="Kerry"/>
        <s v="Lacpatrick Dairies"/>
        <s v="Lacpatrick Dairies NI"/>
        <s v="Lakeland Dairies"/>
        <s v="McDonnell"/>
        <s v="McDonogh"/>
        <s v="Organic Herd"/>
        <s v="Smiths Building"/>
        <s v="Strathroy Dairy"/>
        <s v="Tirlan"/>
        <s v="Kiernan Milling"/>
        <s v="Carbery"/>
        <s v="Wallaces Homevalue Hardware"/>
        <s v="McDonnell Bros"/>
        <s v="East Coast Viners"/>
        <s v="Brett Brother"/>
        <s v="Aurivo " u="1"/>
        <s v="Aurivo NI" u="1"/>
        <s v="Lakeland Dairies NI" u="1"/>
      </sharedItems>
    </cacheField>
    <cacheField name="Amount" numFmtId="43">
      <sharedItems containsSemiMixedTypes="0" containsString="0" containsNumber="1" minValue="100.22925108913952" maxValue="395033.158458990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2">
  <r>
    <x v="0"/>
    <n v="6574.7744262479273"/>
  </r>
  <r>
    <x v="1"/>
    <n v="4977.932259273588"/>
  </r>
  <r>
    <x v="2"/>
    <n v="722.25182513326274"/>
  </r>
  <r>
    <x v="3"/>
    <n v="5573.0469692018887"/>
  </r>
  <r>
    <x v="4"/>
    <n v="2112.8041342452552"/>
  </r>
  <r>
    <x v="5"/>
    <n v="6647.8782859961066"/>
  </r>
  <r>
    <x v="6"/>
    <n v="15582.953237518852"/>
  </r>
  <r>
    <x v="7"/>
    <n v="1577.3252071557642"/>
  </r>
  <r>
    <x v="8"/>
    <n v="1718.8937975711037"/>
  </r>
  <r>
    <x v="9"/>
    <n v="10723.294303992197"/>
  </r>
  <r>
    <x v="10"/>
    <n v="2705.2126223682922"/>
  </r>
  <r>
    <x v="11"/>
    <n v="2001.2173008644727"/>
  </r>
  <r>
    <x v="12"/>
    <n v="846.17943449660743"/>
  </r>
  <r>
    <x v="13"/>
    <n v="995.83959597743683"/>
  </r>
  <r>
    <x v="14"/>
    <n v="584.20917071294036"/>
  </r>
  <r>
    <x v="15"/>
    <n v="1912.0179008366708"/>
  </r>
  <r>
    <x v="16"/>
    <n v="100.22925108913952"/>
  </r>
  <r>
    <x v="17"/>
    <n v="3621.2949877451292"/>
  </r>
  <r>
    <x v="18"/>
    <n v="406.28262061350694"/>
  </r>
  <r>
    <x v="19"/>
    <n v="895.74595781118262"/>
  </r>
  <r>
    <x v="20"/>
    <n v="3262.2018063499127"/>
  </r>
  <r>
    <x v="21"/>
    <n v="2682.6044319016332"/>
  </r>
  <r>
    <x v="22"/>
    <n v="4615.5971314778944"/>
  </r>
  <r>
    <x v="23"/>
    <n v="4313.3046252896684"/>
  </r>
  <r>
    <x v="24"/>
    <n v="1811.4169959136361"/>
  </r>
  <r>
    <x v="25"/>
    <n v="10930.289263854889"/>
  </r>
  <r>
    <x v="26"/>
    <n v="21620.609122268295"/>
  </r>
  <r>
    <x v="26"/>
    <n v="438.17665491929273"/>
  </r>
  <r>
    <x v="27"/>
    <n v="293.95231143078234"/>
  </r>
  <r>
    <x v="28"/>
    <n v="879.32549306515511"/>
  </r>
  <r>
    <x v="29"/>
    <n v="1280.4120135753196"/>
  </r>
  <r>
    <x v="30"/>
    <n v="541.47979892716569"/>
  </r>
  <r>
    <x v="31"/>
    <n v="3050.318872305108"/>
  </r>
  <r>
    <x v="32"/>
    <n v="1674.1076297882357"/>
  </r>
  <r>
    <x v="32"/>
    <n v="1234.1567057945272"/>
  </r>
  <r>
    <x v="33"/>
    <n v="1639.1646999914583"/>
  </r>
  <r>
    <x v="34"/>
    <n v="1705.434214974739"/>
  </r>
  <r>
    <x v="35"/>
    <n v="1431.7786376691222"/>
  </r>
  <r>
    <x v="36"/>
    <n v="724.86237389880466"/>
  </r>
  <r>
    <x v="37"/>
    <n v="37559.174305080574"/>
  </r>
  <r>
    <x v="38"/>
    <n v="3170.9804704422995"/>
  </r>
  <r>
    <x v="39"/>
    <n v="3737.0849315127994"/>
  </r>
  <r>
    <x v="0"/>
    <n v="111426.78752962446"/>
  </r>
  <r>
    <x v="1"/>
    <n v="82954.447531088299"/>
  </r>
  <r>
    <x v="38"/>
    <n v="54554.246247253381"/>
  </r>
  <r>
    <x v="2"/>
    <n v="33579.615308136163"/>
  </r>
  <r>
    <x v="40"/>
    <n v="19993.022566488773"/>
  </r>
  <r>
    <x v="41"/>
    <n v="11322.06884872027"/>
  </r>
  <r>
    <x v="3"/>
    <n v="46526.973384786514"/>
  </r>
  <r>
    <x v="4"/>
    <n v="35213.124946682801"/>
  </r>
  <r>
    <x v="5"/>
    <n v="126328.55920937254"/>
  </r>
  <r>
    <x v="42"/>
    <n v="37654.623200638016"/>
  </r>
  <r>
    <x v="6"/>
    <n v="182616.20374226049"/>
  </r>
  <r>
    <x v="7"/>
    <n v="38950.358759088864"/>
  </r>
  <r>
    <x v="8"/>
    <n v="24161.494475759617"/>
  </r>
  <r>
    <x v="9"/>
    <n v="111418.84417927418"/>
  </r>
  <r>
    <x v="11"/>
    <n v="35527.939003380285"/>
  </r>
  <r>
    <x v="12"/>
    <n v="1483.0263114282677"/>
  </r>
  <r>
    <x v="13"/>
    <n v="23472.853092197696"/>
  </r>
  <r>
    <x v="14"/>
    <n v="13364.832642817653"/>
  </r>
  <r>
    <x v="15"/>
    <n v="42396.149797479149"/>
  </r>
  <r>
    <x v="16"/>
    <n v="43297.928964971368"/>
  </r>
  <r>
    <x v="18"/>
    <n v="19879.657201384522"/>
  </r>
  <r>
    <x v="43"/>
    <n v="3670.1264352754397"/>
  </r>
  <r>
    <x v="19"/>
    <n v="47235.868320791458"/>
  </r>
  <r>
    <x v="20"/>
    <n v="106593.9658003012"/>
  </r>
  <r>
    <x v="21"/>
    <n v="49655.296470075511"/>
  </r>
  <r>
    <x v="22"/>
    <n v="88460.489740478617"/>
  </r>
  <r>
    <x v="23"/>
    <n v="72984.07471907929"/>
  </r>
  <r>
    <x v="24"/>
    <n v="66174.610977572665"/>
  </r>
  <r>
    <x v="25"/>
    <n v="157459.35466644104"/>
  </r>
  <r>
    <x v="26"/>
    <n v="192467.4415484069"/>
  </r>
  <r>
    <x v="26"/>
    <n v="8663.5185677579502"/>
  </r>
  <r>
    <x v="27"/>
    <n v="16302.300685886989"/>
  </r>
  <r>
    <x v="28"/>
    <n v="19674.496830660344"/>
  </r>
  <r>
    <x v="17"/>
    <n v="35119.209436615383"/>
  </r>
  <r>
    <x v="29"/>
    <n v="11973.253660465718"/>
  </r>
  <r>
    <x v="30"/>
    <n v="5036.8460767416973"/>
  </r>
  <r>
    <x v="44"/>
    <n v="50281.248622488172"/>
  </r>
  <r>
    <x v="31"/>
    <n v="43704.812541217914"/>
  </r>
  <r>
    <x v="31"/>
    <n v="1377.5326972000482"/>
  </r>
  <r>
    <x v="32"/>
    <n v="65443.519272139936"/>
  </r>
  <r>
    <x v="32"/>
    <n v="61204.05588336131"/>
  </r>
  <r>
    <x v="10"/>
    <n v="46142.55693649024"/>
  </r>
  <r>
    <x v="33"/>
    <n v="26741.630626894239"/>
  </r>
  <r>
    <x v="34"/>
    <n v="24156.187501865919"/>
  </r>
  <r>
    <x v="35"/>
    <n v="17567.721449450346"/>
  </r>
  <r>
    <x v="36"/>
    <n v="15774.416082479071"/>
  </r>
  <r>
    <x v="37"/>
    <n v="395033.15845899063"/>
  </r>
  <r>
    <x v="39"/>
    <n v="14344.661570211902"/>
  </r>
  <r>
    <x v="0"/>
    <n v="34507.567110008051"/>
  </r>
  <r>
    <x v="1"/>
    <n v="31898.374473694988"/>
  </r>
  <r>
    <x v="38"/>
    <n v="9471.1500289244123"/>
  </r>
  <r>
    <x v="2"/>
    <n v="6587.2621162302821"/>
  </r>
  <r>
    <x v="28"/>
    <n v="7796.7711732904063"/>
  </r>
  <r>
    <x v="4"/>
    <n v="22010.502782797194"/>
  </r>
  <r>
    <x v="5"/>
    <n v="29357.022202055294"/>
  </r>
  <r>
    <x v="42"/>
    <n v="1861.2986676775702"/>
  </r>
  <r>
    <x v="6"/>
    <n v="139024.98734885888"/>
  </r>
  <r>
    <x v="7"/>
    <n v="8256.0243366414561"/>
  </r>
  <r>
    <x v="8"/>
    <n v="7743.7578215191652"/>
  </r>
  <r>
    <x v="32"/>
    <n v="10351.673436141722"/>
  </r>
  <r>
    <x v="9"/>
    <n v="9083.0710479343306"/>
  </r>
  <r>
    <x v="11"/>
    <n v="10631.951444514902"/>
  </r>
  <r>
    <x v="35"/>
    <n v="13154.419616642817"/>
  </r>
  <r>
    <x v="13"/>
    <n v="10379.203527801508"/>
  </r>
  <r>
    <x v="14"/>
    <n v="9124.7607206446501"/>
  </r>
  <r>
    <x v="15"/>
    <n v="7743.8256279806083"/>
  </r>
  <r>
    <x v="16"/>
    <n v="1879.9115413435773"/>
  </r>
  <r>
    <x v="18"/>
    <n v="7796.7711732904063"/>
  </r>
  <r>
    <x v="43"/>
    <n v="9787.0038274011713"/>
  </r>
  <r>
    <x v="19"/>
    <n v="12569.792306084317"/>
  </r>
  <r>
    <x v="20"/>
    <n v="26472.964773207565"/>
  </r>
  <r>
    <x v="22"/>
    <n v="10132.376038759292"/>
  </r>
  <r>
    <x v="23"/>
    <n v="17916.998554374564"/>
  </r>
  <r>
    <x v="25"/>
    <n v="11942.141795740452"/>
  </r>
  <r>
    <x v="30"/>
    <n v="9201.3933231517512"/>
  </r>
  <r>
    <x v="44"/>
    <n v="25899.412518018031"/>
  </r>
  <r>
    <x v="32"/>
    <n v="10351.673436141722"/>
  </r>
  <r>
    <x v="10"/>
    <n v="13657.419248701281"/>
  </r>
  <r>
    <x v="33"/>
    <n v="12569.792306084317"/>
  </r>
  <r>
    <x v="34"/>
    <n v="24621.464139208456"/>
  </r>
  <r>
    <x v="36"/>
    <n v="6983.2292489015272"/>
  </r>
  <r>
    <x v="37"/>
    <n v="20148.780426297846"/>
  </r>
  <r>
    <x v="24"/>
    <n v="511.21835169530527"/>
  </r>
  <r>
    <x v="25"/>
    <n v="80968.524676433663"/>
  </r>
  <r>
    <x v="26"/>
    <n v="11726.547187169666"/>
  </r>
  <r>
    <x v="14"/>
    <n v="0"/>
  </r>
  <r>
    <x v="0"/>
    <n v="13236.561781084029"/>
  </r>
  <r>
    <x v="27"/>
    <n v="0"/>
  </r>
  <r>
    <x v="1"/>
    <n v="6772.3185918515546"/>
  </r>
  <r>
    <x v="38"/>
    <n v="6091.1639429681418"/>
  </r>
  <r>
    <x v="2"/>
    <n v="18569.588626118686"/>
  </r>
  <r>
    <x v="28"/>
    <n v="3676.2017854950936"/>
  </r>
  <r>
    <x v="15"/>
    <n v="1971.3829084732463"/>
  </r>
  <r>
    <x v="40"/>
    <n v="0"/>
  </r>
  <r>
    <x v="41"/>
    <n v="0"/>
  </r>
  <r>
    <x v="3"/>
    <n v="982.89758207194814"/>
  </r>
  <r>
    <x v="16"/>
    <n v="72.8764328027235"/>
  </r>
  <r>
    <x v="4"/>
    <n v="32689.169254219545"/>
  </r>
  <r>
    <x v="5"/>
    <n v="7087.8046314808589"/>
  </r>
  <r>
    <x v="42"/>
    <n v="0"/>
  </r>
  <r>
    <x v="17"/>
    <n v="21736.824905927788"/>
  </r>
  <r>
    <x v="6"/>
    <n v="62257.045169186109"/>
  </r>
  <r>
    <x v="18"/>
    <n v="0"/>
  </r>
  <r>
    <x v="43"/>
    <n v="0"/>
  </r>
  <r>
    <x v="29"/>
    <n v="437.25859681634097"/>
  </r>
  <r>
    <x v="7"/>
    <n v="0"/>
  </r>
  <r>
    <x v="8"/>
    <n v="0"/>
  </r>
  <r>
    <x v="45"/>
    <n v="0"/>
  </r>
  <r>
    <x v="30"/>
    <n v="-1846.4042467995398"/>
  </r>
  <r>
    <x v="44"/>
    <n v="2750.3008828536749"/>
  </r>
  <r>
    <x v="39"/>
    <n v="178240.55603167333"/>
  </r>
  <r>
    <x v="31"/>
    <n v="524.2154925351515"/>
  </r>
  <r>
    <x v="32"/>
    <n v="10445.188427174151"/>
  </r>
  <r>
    <x v="19"/>
    <n v="377.43580895277739"/>
  </r>
  <r>
    <x v="20"/>
    <n v="31861.995781357957"/>
  </r>
  <r>
    <x v="9"/>
    <n v="9265.8631906309365"/>
  </r>
  <r>
    <x v="10"/>
    <n v="0"/>
  </r>
  <r>
    <x v="33"/>
    <n v="2080.7851014503512"/>
  </r>
  <r>
    <x v="46"/>
    <n v="1741.7959802329269"/>
  </r>
  <r>
    <x v="21"/>
    <n v="2975.0048580082089"/>
  </r>
  <r>
    <x v="22"/>
    <n v="12946.58670874223"/>
  </r>
  <r>
    <x v="34"/>
    <n v="3550.1349694729861"/>
  </r>
  <r>
    <x v="11"/>
    <n v="524.20514624481393"/>
  </r>
  <r>
    <x v="23"/>
    <n v="1692.9509791633839"/>
  </r>
  <r>
    <x v="35"/>
    <n v="0"/>
  </r>
  <r>
    <x v="12"/>
    <n v="0"/>
  </r>
  <r>
    <x v="36"/>
    <n v="0"/>
  </r>
  <r>
    <x v="24"/>
    <n v="34208.722952493692"/>
  </r>
  <r>
    <x v="47"/>
    <n v="1955.4488738062967"/>
  </r>
  <r>
    <x v="48"/>
    <n v="592.10303720662705"/>
  </r>
  <r>
    <x v="37"/>
    <n v="148914.91775551354"/>
  </r>
  <r>
    <x v="25"/>
    <n v="72322.497517180454"/>
  </r>
  <r>
    <x v="14"/>
    <n v="0"/>
  </r>
  <r>
    <x v="0"/>
    <n v="0"/>
  </r>
  <r>
    <x v="27"/>
    <n v="0"/>
  </r>
  <r>
    <x v="1"/>
    <n v="0"/>
  </r>
  <r>
    <x v="38"/>
    <n v="11816.466688154507"/>
  </r>
  <r>
    <x v="2"/>
    <n v="28795.06954546905"/>
  </r>
  <r>
    <x v="28"/>
    <n v="0"/>
  </r>
  <r>
    <x v="15"/>
    <n v="0"/>
  </r>
  <r>
    <x v="40"/>
    <n v="0"/>
  </r>
  <r>
    <x v="41"/>
    <n v="0"/>
  </r>
  <r>
    <x v="3"/>
    <n v="0"/>
  </r>
  <r>
    <x v="16"/>
    <n v="0"/>
  </r>
  <r>
    <x v="4"/>
    <n v="0"/>
  </r>
  <r>
    <x v="5"/>
    <n v="9635.9816385386603"/>
  </r>
  <r>
    <x v="42"/>
    <n v="0"/>
  </r>
  <r>
    <x v="17"/>
    <n v="5581.7695737028725"/>
  </r>
  <r>
    <x v="6"/>
    <n v="0"/>
  </r>
  <r>
    <x v="18"/>
    <n v="0"/>
  </r>
  <r>
    <x v="29"/>
    <n v="0"/>
  </r>
  <r>
    <x v="7"/>
    <n v="0"/>
  </r>
  <r>
    <x v="8"/>
    <n v="0"/>
  </r>
  <r>
    <x v="30"/>
    <n v="0"/>
  </r>
  <r>
    <x v="44"/>
    <n v="0"/>
  </r>
  <r>
    <x v="19"/>
    <n v="0"/>
  </r>
  <r>
    <x v="20"/>
    <n v="16034.977416595715"/>
  </r>
  <r>
    <x v="9"/>
    <n v="24704.8567561616"/>
  </r>
  <r>
    <x v="10"/>
    <n v="3319.4730773262518"/>
  </r>
  <r>
    <x v="33"/>
    <n v="0"/>
  </r>
  <r>
    <x v="21"/>
    <n v="2629.458244744279"/>
  </r>
  <r>
    <x v="49"/>
    <n v="0"/>
  </r>
  <r>
    <x v="22"/>
    <n v="0"/>
  </r>
  <r>
    <x v="11"/>
    <n v="0"/>
  </r>
  <r>
    <x v="23"/>
    <n v="0"/>
  </r>
  <r>
    <x v="35"/>
    <n v="0"/>
  </r>
  <r>
    <x v="12"/>
    <n v="0"/>
  </r>
  <r>
    <x v="36"/>
    <n v="0"/>
  </r>
  <r>
    <x v="24"/>
    <n v="10982.201671398463"/>
  </r>
  <r>
    <x v="26"/>
    <n v="14774.338176075129"/>
  </r>
  <r>
    <x v="31"/>
    <n v="0"/>
  </r>
  <r>
    <x v="32"/>
    <n v="0"/>
  </r>
  <r>
    <x v="43"/>
    <n v="0"/>
  </r>
  <r>
    <x v="39"/>
    <n v="37631.881779903648"/>
  </r>
  <r>
    <x v="34"/>
    <n v="0"/>
  </r>
  <r>
    <x v="48"/>
    <m/>
  </r>
  <r>
    <x v="37"/>
    <n v="0"/>
  </r>
  <r>
    <x v="13"/>
    <n v="0"/>
  </r>
  <r>
    <x v="48"/>
    <n v="3383.4459268950118"/>
  </r>
  <r>
    <x v="39"/>
    <n v="146.0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m/>
    <m/>
    <m/>
    <n v="35160"/>
    <m/>
    <n v="5755"/>
    <m/>
    <m/>
    <m/>
    <m/>
    <n v="10422.219999999999"/>
    <n v="12077.78"/>
    <n v="63415"/>
    <n v="0"/>
    <n v="0"/>
    <n v="0"/>
    <n v="39498.073401709786"/>
    <n v="0"/>
    <n v="6629.6496826292814"/>
    <n v="0"/>
    <n v="0"/>
    <n v="0"/>
    <n v="0"/>
    <n v="12048.530669811102"/>
    <n v="14146.24376303029"/>
    <n v="72322.497517180454"/>
  </r>
  <r>
    <x v="1"/>
    <m/>
    <m/>
    <m/>
    <m/>
    <n v="3000"/>
    <m/>
    <m/>
    <m/>
    <m/>
    <m/>
    <m/>
    <m/>
    <n v="3000"/>
    <n v="0"/>
    <n v="0"/>
    <n v="0"/>
    <n v="0"/>
    <n v="3383.4459268950118"/>
    <n v="0"/>
    <n v="0"/>
    <n v="0"/>
    <n v="0"/>
    <n v="0"/>
    <n v="0"/>
    <n v="0"/>
    <n v="3383.4459268950118"/>
  </r>
  <r>
    <x v="2"/>
    <n v="13500"/>
    <n v="775"/>
    <m/>
    <m/>
    <m/>
    <m/>
    <m/>
    <m/>
    <m/>
    <m/>
    <m/>
    <m/>
    <n v="14275"/>
    <n v="13967.491955759262"/>
    <n v="806.8462203158673"/>
    <n v="0"/>
    <n v="0"/>
    <n v="0"/>
    <n v="0"/>
    <n v="0"/>
    <n v="0"/>
    <n v="0"/>
    <n v="0"/>
    <n v="0"/>
    <n v="0"/>
    <n v="14774.338176075129"/>
  </r>
  <r>
    <x v="3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4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6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7"/>
    <n v="8448"/>
    <n v="800"/>
    <n v="2080"/>
    <m/>
    <m/>
    <m/>
    <m/>
    <m/>
    <m/>
    <m/>
    <m/>
    <m/>
    <n v="11328"/>
    <n v="8740.5460772040187"/>
    <n v="832.87351774541139"/>
    <n v="2243.0470932050771"/>
    <n v="0"/>
    <n v="0"/>
    <n v="0"/>
    <n v="0"/>
    <n v="0"/>
    <n v="0"/>
    <n v="0"/>
    <n v="0"/>
    <n v="0"/>
    <n v="11816.466688154507"/>
  </r>
  <r>
    <x v="8"/>
    <m/>
    <n v="9588.67"/>
    <n v="8063.33"/>
    <n v="3000"/>
    <n v="180"/>
    <n v="3060"/>
    <m/>
    <m/>
    <m/>
    <n v="180"/>
    <n v="2430"/>
    <m/>
    <n v="26502"/>
    <n v="0"/>
    <n v="9982.6866417498677"/>
    <n v="8695.3985182948527"/>
    <n v="3370.1427817158519"/>
    <n v="203.0067556137007"/>
    <n v="3525.0613429792529"/>
    <n v="0"/>
    <n v="0"/>
    <n v="0"/>
    <n v="209.58990242425654"/>
    <n v="2809.1836026912674"/>
    <n v="0"/>
    <n v="28795.06954546905"/>
  </r>
  <r>
    <x v="9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1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11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12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13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14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1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16"/>
    <m/>
    <m/>
    <m/>
    <m/>
    <m/>
    <m/>
    <m/>
    <n v="833.33"/>
    <n v="944.44"/>
    <n v="3082.23"/>
    <n v="900"/>
    <n v="2500"/>
    <n v="8260"/>
    <n v="0"/>
    <n v="0"/>
    <n v="0"/>
    <n v="0"/>
    <n v="0"/>
    <n v="0"/>
    <n v="0"/>
    <n v="970.60228053624053"/>
    <n v="1107.8734984984985"/>
    <n v="3588.9126941617569"/>
    <n v="1040.4383713671359"/>
    <n v="2928.154793975029"/>
    <n v="9635.9816385386603"/>
  </r>
  <r>
    <x v="17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18"/>
    <n v="900"/>
    <m/>
    <m/>
    <m/>
    <m/>
    <n v="2100"/>
    <n v="1110"/>
    <m/>
    <m/>
    <n v="400"/>
    <m/>
    <n v="400"/>
    <n v="4910"/>
    <n v="931.16613038395087"/>
    <n v="0"/>
    <n v="0"/>
    <n v="0"/>
    <n v="0"/>
    <n v="2419.1597451818402"/>
    <n v="1297.1835923805072"/>
    <n v="0"/>
    <n v="0"/>
    <n v="465.75533872057008"/>
    <n v="0"/>
    <n v="468.50476703600458"/>
    <n v="5581.7695737028725"/>
  </r>
  <r>
    <x v="19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2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21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22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23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24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2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26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27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28"/>
    <m/>
    <m/>
    <m/>
    <m/>
    <m/>
    <m/>
    <m/>
    <m/>
    <n v="30070"/>
    <m/>
    <n v="2040"/>
    <m/>
    <n v="32110"/>
    <n v="0"/>
    <n v="0"/>
    <n v="0"/>
    <n v="0"/>
    <n v="0"/>
    <n v="0"/>
    <n v="0"/>
    <n v="0"/>
    <n v="35273.554804804808"/>
    <n v="0"/>
    <n v="2358.3269750988416"/>
    <n v="0"/>
    <n v="37631.881779903648"/>
  </r>
  <r>
    <x v="29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3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31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32"/>
    <m/>
    <m/>
    <n v="2550"/>
    <m/>
    <n v="2550"/>
    <m/>
    <m/>
    <n v="666.67"/>
    <m/>
    <m/>
    <n v="8400"/>
    <n v="-66.67"/>
    <n v="14100"/>
    <n v="0"/>
    <n v="0"/>
    <n v="2749.8894652273784"/>
    <n v="0"/>
    <n v="2875.9290378607602"/>
    <n v="0"/>
    <n v="0"/>
    <n v="776.48881279336558"/>
    <n v="0"/>
    <n v="0"/>
    <n v="9710.7581327599364"/>
    <n v="-78.088032045726067"/>
    <n v="16034.977416595715"/>
  </r>
  <r>
    <x v="33"/>
    <m/>
    <m/>
    <m/>
    <m/>
    <m/>
    <m/>
    <m/>
    <n v="2850"/>
    <m/>
    <m/>
    <m/>
    <m/>
    <n v="2850"/>
    <n v="0"/>
    <n v="0"/>
    <n v="0"/>
    <n v="0"/>
    <n v="0"/>
    <n v="0"/>
    <n v="0"/>
    <n v="3319.4730773262518"/>
    <n v="0"/>
    <n v="0"/>
    <n v="0"/>
    <n v="0"/>
    <n v="3319.4730773262518"/>
  </r>
  <r>
    <x v="34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35"/>
    <n v="149.11000000000001"/>
    <n v="139.78"/>
    <n v="-0.79"/>
    <m/>
    <n v="4550"/>
    <n v="14800"/>
    <n v="-0.31"/>
    <m/>
    <m/>
    <m/>
    <m/>
    <n v="1900"/>
    <n v="21537.789999999997"/>
    <n v="154.27353522394546"/>
    <n v="145.523825388067"/>
    <n v="-0.85192654020769765"/>
    <n v="0"/>
    <n v="5131.5596557907684"/>
    <n v="17049.316299376776"/>
    <n v="-0.36227649877293444"/>
    <n v="0"/>
    <n v="0"/>
    <n v="0"/>
    <n v="0"/>
    <n v="2225.3976434210217"/>
    <n v="24704.8567561616"/>
  </r>
  <r>
    <x v="36"/>
    <m/>
    <m/>
    <m/>
    <m/>
    <m/>
    <m/>
    <m/>
    <n v="900"/>
    <m/>
    <m/>
    <m/>
    <n v="1350"/>
    <n v="2250"/>
    <n v="0"/>
    <n v="0"/>
    <n v="0"/>
    <n v="0"/>
    <n v="0"/>
    <n v="0"/>
    <n v="0"/>
    <n v="1048.2546559977636"/>
    <n v="0"/>
    <n v="0"/>
    <n v="0"/>
    <n v="1581.2035887465156"/>
    <n v="2629.458244744279"/>
  </r>
  <r>
    <x v="37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38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39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4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41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42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43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44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4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46"/>
    <m/>
    <m/>
    <m/>
    <n v="471.54"/>
    <n v="4039.32"/>
    <n v="2910.92"/>
    <n v="1552.03"/>
    <m/>
    <n v="157.49"/>
    <n v="384"/>
    <n v="84.71"/>
    <m/>
    <n v="9600.01"/>
    <n v="0"/>
    <n v="0"/>
    <n v="0"/>
    <n v="529.7190424300976"/>
    <n v="4555.6069338085199"/>
    <n v="3353.3240406879631"/>
    <n v="1813.7548206147014"/>
    <n v="0"/>
    <n v="184.7433370870871"/>
    <n v="447.12512517174724"/>
    <n v="97.92837159834454"/>
    <n v="0"/>
    <n v="10982.201671398463"/>
  </r>
  <r>
    <x v="47"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Tirlan"/>
    <n v="601656.03094588255"/>
    <x v="0"/>
  </r>
  <r>
    <s v="Heat Merchants Group"/>
    <n v="399481.18949782429"/>
    <x v="0"/>
  </r>
  <r>
    <s v="Arrabawn Co-Op Society"/>
    <n v="333622.80791965051"/>
    <x v="0"/>
  </r>
  <r>
    <s v="Aurivo Co-Op"/>
    <n v="249690.63125659723"/>
    <x v="0"/>
  </r>
  <r>
    <s v="Kiernan Milling"/>
    <n v="234100.2543133017"/>
    <x v="0"/>
  </r>
  <r>
    <s v="Lisavaird Co-Op"/>
    <n v="184226.10557781233"/>
    <x v="0"/>
  </r>
  <r>
    <s v="Drinagh Co-Op"/>
    <n v="179057.24596744345"/>
    <x v="0"/>
  </r>
  <r>
    <s v="Bandon Co-Op"/>
    <n v="165745.69084696445"/>
    <x v="0"/>
  </r>
  <r>
    <s v="M.D O'Shea &amp; Sons Ltd"/>
    <n v="165195.92947799325"/>
    <x v="0"/>
  </r>
  <r>
    <s v="Lakeland Dairies"/>
    <n v="160704.37479054159"/>
    <x v="0"/>
  </r>
  <r>
    <s v="Barryroe Co-op"/>
    <n v="126603.07285590842"/>
    <x v="0"/>
  </r>
  <r>
    <s v="North Cork Co-Op"/>
    <n v="116155.04961945803"/>
    <x v="0"/>
  </r>
  <r>
    <s v="Wallaces Homevalue Hardware"/>
    <n v="113688.17094907376"/>
    <x v="0"/>
  </r>
  <r>
    <s v="Richard Boyle &amp; Sons Ltd"/>
    <n v="96907.328877906912"/>
    <x v="0"/>
  </r>
  <r>
    <s v="Denis Brinicombe Group"/>
    <n v="92025.601117944796"/>
    <x v="1"/>
  </r>
  <r>
    <s v="Callan Co-Op"/>
    <n v="88253.787421087443"/>
    <x v="0"/>
  </r>
  <r>
    <s v="Brett Brothers"/>
    <n v="85104.007377742746"/>
    <x v="0"/>
  </r>
  <r>
    <s v="Kerry Agribusiness"/>
    <n v="78930.962023359869"/>
    <x v="0"/>
  </r>
  <r>
    <s v="East Coast Viners"/>
    <n v="66059.09890399118"/>
    <x v="1"/>
  </r>
  <r>
    <s v="McDonnell Bros Ltd"/>
    <n v="65824.661884886067"/>
    <x v="0"/>
  </r>
  <r>
    <s v="Lee Strand Dairies"/>
    <n v="61078.84239363973"/>
    <x v="0"/>
  </r>
  <r>
    <s v="Morris DIY &amp; Building"/>
    <n v="57942.364004729636"/>
    <x v="0"/>
  </r>
  <r>
    <s v="Organic Herd"/>
    <n v="54033.220825522105"/>
    <x v="1"/>
  </r>
  <r>
    <s v="Centenary Thurles Co-Op"/>
    <n v="54023.376234769676"/>
    <x v="0"/>
  </r>
  <r>
    <s v="Centenary Thurles Stores"/>
    <n v="53082.917936060352"/>
    <x v="0"/>
  </r>
  <r>
    <s v="J. McKenna Ltd"/>
    <n v="48783.708302886087"/>
    <x v="0"/>
  </r>
  <r>
    <s v="Peter Curran Electrical"/>
    <n v="48685.312895004477"/>
    <x v="0"/>
  </r>
  <r>
    <s v="Lacpatrick Dairies"/>
    <n v="48656.879603258218"/>
    <x v="0"/>
  </r>
  <r>
    <s v="Dan O'Connor Feeds"/>
    <n v="45350.946190206814"/>
    <x v="0"/>
  </r>
  <r>
    <s v="McDonogh Trade Centre Ltd"/>
    <n v="43031.372734420365"/>
    <x v="0"/>
  </r>
  <r>
    <s v="Drinagh Dairies"/>
    <n v="39515.921868315585"/>
    <x v="0"/>
  </r>
  <r>
    <s v="T&amp;A Building"/>
    <n v="34847.896215976638"/>
    <x v="0"/>
  </r>
  <r>
    <s v="John R. McCarthy"/>
    <n v="33624.146094849886"/>
    <x v="0"/>
  </r>
  <r>
    <s v="Smith's Building supplies"/>
    <n v="32153.919703762287"/>
    <x v="0"/>
  </r>
  <r>
    <s v="Carbery Group"/>
    <n v="32026.795282511001"/>
    <x v="0"/>
  </r>
  <r>
    <s v="Hopkins Homevalue Hardware"/>
    <n v="28082.710995288435"/>
    <x v="0"/>
  </r>
  <r>
    <s v="Strathroy Dairies"/>
    <n v="23482.507705279404"/>
    <x v="1"/>
  </r>
  <r>
    <s v="BallyJamesDuff Co-Op"/>
    <n v="23073.802534175244"/>
    <x v="0"/>
  </r>
  <r>
    <s v="Centenary Thurles Feed &amp; Grain"/>
    <n v="19993.022566488773"/>
    <x v="0"/>
  </r>
  <r>
    <s v="Bandon Vale Cheese"/>
    <n v="16596.25299731777"/>
    <x v="0"/>
  </r>
  <r>
    <s v="Irish International Traders"/>
    <n v="13690.924270857378"/>
    <x v="0"/>
  </r>
  <r>
    <s v="ICMSA"/>
    <n v="13457.130262676612"/>
    <x v="0"/>
  </r>
  <r>
    <s v="Kellihers Mills"/>
    <n v="12933.314952021074"/>
    <x v="0"/>
  </r>
  <r>
    <s v="Centenary Thurles Fresh Milk"/>
    <n v="11322.06884872027"/>
    <x v="0"/>
  </r>
  <r>
    <s v="AIB Merchant Services "/>
    <n v="3975.5489641016388"/>
    <x v="0"/>
  </r>
  <r>
    <s v="Smith's Tool Hire"/>
    <n v="2329.2057459248754"/>
    <x v="0"/>
  </r>
  <r>
    <s v="Wolseley"/>
    <n v="1955.4488738062967"/>
    <x v="1"/>
  </r>
  <r>
    <s v="Mole Avon Town "/>
    <n v="1741.7959802329269"/>
    <x v="1"/>
  </r>
  <r>
    <s v="Joyce Hardware"/>
    <n v="0"/>
    <x v="0"/>
  </r>
  <r>
    <s v="NewMarket Co-Op Creameries Ltd"/>
    <n v="0"/>
    <x v="0"/>
  </r>
  <r>
    <m/>
    <m/>
    <x v="2"/>
  </r>
  <r>
    <m/>
    <m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210"/>
    <n v="9375"/>
    <n v="10605"/>
    <n v="15155"/>
    <n v="13895"/>
    <n v="10885"/>
    <n v="210"/>
    <n v="280"/>
    <n v="280"/>
    <n v="3500"/>
    <n v="6895"/>
    <n v="1172.5"/>
    <n v="72462.5"/>
    <n v="217.27209708958853"/>
    <n v="9760.2365360790391"/>
    <n v="11436.305011269154"/>
    <n v="17024.837952301245"/>
    <n v="15670.99371806873"/>
    <n v="12539.311345859205"/>
    <n v="245.41311207198785"/>
    <n v="326.1236707548598"/>
    <n v="328.45345345345345"/>
    <n v="4075.359213804988"/>
    <n v="7970.913967307114"/>
    <n v="1373.3045983742884"/>
    <n v="80968.524676433663"/>
  </r>
  <r>
    <x v="1"/>
    <m/>
    <m/>
    <m/>
    <m/>
    <n v="525"/>
    <m/>
    <m/>
    <m/>
    <m/>
    <m/>
    <m/>
    <m/>
    <n v="525"/>
    <n v="0"/>
    <n v="0"/>
    <n v="0"/>
    <n v="0"/>
    <n v="592.10303720662705"/>
    <n v="0"/>
    <n v="0"/>
    <n v="0"/>
    <n v="0"/>
    <n v="0"/>
    <n v="0"/>
    <n v="0"/>
    <n v="592.10303720662705"/>
  </r>
  <r>
    <x v="2"/>
    <m/>
    <n v="2086.67"/>
    <n v="2006.67"/>
    <n v="3776.66"/>
    <n v="490.36"/>
    <n v="1050"/>
    <n v="385"/>
    <m/>
    <m/>
    <n v="525"/>
    <n v="280"/>
    <m/>
    <n v="10600.36"/>
    <n v="0"/>
    <n v="2172.4152290922721"/>
    <n v="2163.9688992893425"/>
    <n v="4242.6278126649968"/>
    <n v="553.03551490407938"/>
    <n v="1209.5798725909201"/>
    <n v="449.9240387986444"/>
    <n v="0"/>
    <n v="0"/>
    <n v="611.30388207074827"/>
    <n v="323.69193775866455"/>
    <n v="0"/>
    <n v="11726.547187169666"/>
  </r>
  <r>
    <x v="3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4"/>
    <n v="840"/>
    <n v="2078.33"/>
    <m/>
    <m/>
    <n v="1750"/>
    <n v="1137.5"/>
    <m/>
    <n v="805"/>
    <n v="1575"/>
    <m/>
    <n v="3080"/>
    <n v="490"/>
    <n v="11755.83"/>
    <n v="869.08838835835411"/>
    <n v="2163.7325226697758"/>
    <n v="0"/>
    <n v="0"/>
    <n v="1973.6767906887569"/>
    <n v="1310.3781953068301"/>
    <n v="0"/>
    <n v="937.6055534202219"/>
    <n v="1847.5506756756756"/>
    <n v="0"/>
    <n v="3560.6113153453098"/>
    <n v="573.91833961910561"/>
    <n v="13236.561781084029"/>
  </r>
  <r>
    <x v="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6"/>
    <n v="525"/>
    <n v="980"/>
    <m/>
    <n v="595"/>
    <n v="1960"/>
    <m/>
    <n v="1645"/>
    <m/>
    <m/>
    <n v="350"/>
    <m/>
    <m/>
    <n v="6055"/>
    <n v="543.18024272397133"/>
    <n v="1020.270059238129"/>
    <n v="0"/>
    <n v="668.4116517069773"/>
    <n v="2210.5180055714077"/>
    <n v="0"/>
    <n v="1922.4027112305714"/>
    <n v="0"/>
    <n v="0"/>
    <n v="407.53592138049879"/>
    <n v="0"/>
    <n v="0"/>
    <n v="6772.3185918515546"/>
  </r>
  <r>
    <x v="7"/>
    <m/>
    <n v="1525"/>
    <n v="3648.33"/>
    <n v="506.67"/>
    <m/>
    <m/>
    <m/>
    <m/>
    <m/>
    <m/>
    <m/>
    <m/>
    <n v="5680"/>
    <n v="0"/>
    <n v="1587.6651432021904"/>
    <n v="3934.315385361961"/>
    <n v="569.18341440399024"/>
    <n v="0"/>
    <n v="0"/>
    <n v="0"/>
    <n v="0"/>
    <n v="0"/>
    <n v="0"/>
    <n v="0"/>
    <n v="0"/>
    <n v="6091.1639429681418"/>
  </r>
  <r>
    <x v="8"/>
    <n v="5040"/>
    <n v="4795"/>
    <n v="4340"/>
    <n v="1050"/>
    <n v="70"/>
    <n v="1190"/>
    <n v="70"/>
    <m/>
    <m/>
    <n v="70"/>
    <n v="770"/>
    <m/>
    <n v="17395"/>
    <n v="5214.5303301501244"/>
    <n v="4992.0356469865592"/>
    <n v="4680.2040310144394"/>
    <n v="1179.5499736005481"/>
    <n v="78.947071627550272"/>
    <n v="1370.8571889363761"/>
    <n v="81.804370690662608"/>
    <n v="0"/>
    <n v="0"/>
    <n v="81.507184276099764"/>
    <n v="890.15282883632744"/>
    <n v="0"/>
    <n v="18569.588626118686"/>
  </r>
  <r>
    <x v="9"/>
    <m/>
    <m/>
    <m/>
    <m/>
    <m/>
    <m/>
    <m/>
    <m/>
    <n v="525"/>
    <n v="1680"/>
    <n v="175"/>
    <n v="770"/>
    <n v="3150"/>
    <n v="0"/>
    <n v="0"/>
    <n v="0"/>
    <n v="0"/>
    <n v="0"/>
    <n v="0"/>
    <n v="0"/>
    <n v="0"/>
    <n v="615.85022522522524"/>
    <n v="1956.1724226263943"/>
    <n v="202.30746109916532"/>
    <n v="901.87167654430891"/>
    <n v="3676.2017854950936"/>
  </r>
  <r>
    <x v="1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11"/>
    <n v="1631.65"/>
    <m/>
    <m/>
    <m/>
    <m/>
    <m/>
    <m/>
    <m/>
    <m/>
    <m/>
    <n v="245"/>
    <m/>
    <n v="1876.65"/>
    <n v="1688.1524629344149"/>
    <n v="0"/>
    <n v="0"/>
    <n v="0"/>
    <n v="0"/>
    <n v="0"/>
    <n v="0"/>
    <n v="0"/>
    <n v="0"/>
    <n v="0"/>
    <n v="283.23044553883148"/>
    <n v="0"/>
    <n v="1971.3829084732463"/>
  </r>
  <r>
    <x v="12"/>
    <n v="950"/>
    <m/>
    <m/>
    <m/>
    <m/>
    <m/>
    <m/>
    <m/>
    <m/>
    <m/>
    <m/>
    <m/>
    <n v="950"/>
    <n v="982.89758207194814"/>
    <n v="0"/>
    <n v="0"/>
    <n v="0"/>
    <n v="0"/>
    <n v="0"/>
    <n v="0"/>
    <n v="0"/>
    <n v="0"/>
    <n v="0"/>
    <n v="0"/>
    <n v="0"/>
    <n v="982.89758207194814"/>
  </r>
  <r>
    <x v="13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14"/>
    <m/>
    <n v="70"/>
    <m/>
    <m/>
    <m/>
    <m/>
    <m/>
    <m/>
    <m/>
    <m/>
    <m/>
    <m/>
    <n v="70"/>
    <n v="0"/>
    <n v="72.8764328027235"/>
    <n v="0"/>
    <n v="0"/>
    <n v="0"/>
    <n v="0"/>
    <n v="0"/>
    <n v="0"/>
    <n v="0"/>
    <n v="0"/>
    <n v="0"/>
    <n v="0"/>
    <n v="72.8764328027235"/>
  </r>
  <r>
    <x v="15"/>
    <n v="134.63"/>
    <n v="3079.92"/>
    <n v="6291.13"/>
    <m/>
    <m/>
    <m/>
    <m/>
    <n v="208.04"/>
    <m/>
    <n v="1236.76"/>
    <n v="7180.09"/>
    <n v="10737.349999999999"/>
    <n v="28867.919999999998"/>
    <n v="139.29210681510145"/>
    <n v="3206.4797559680592"/>
    <n v="6784.2792593631048"/>
    <n v="0"/>
    <n v="0"/>
    <n v="0"/>
    <n v="0"/>
    <n v="242.30988737086082"/>
    <n v="0"/>
    <n v="1440.0689317901306"/>
    <n v="8300.490162077178"/>
    <n v="12576.249150835109"/>
    <n v="32689.169254219545"/>
  </r>
  <r>
    <x v="16"/>
    <n v="490.01"/>
    <n v="2438.33"/>
    <n v="4200"/>
    <n v="420"/>
    <m/>
    <m/>
    <m/>
    <n v="-1050"/>
    <n v="1190"/>
    <n v="1470"/>
    <n v="2317"/>
    <n v="-4714.5"/>
    <n v="6760.84"/>
    <n v="506.97857283271082"/>
    <n v="2538.5256056552112"/>
    <n v="4529.2297074333292"/>
    <n v="471.81998944021927"/>
    <n v="0"/>
    <n v="0"/>
    <n v="0"/>
    <n v="-1222.9637653307243"/>
    <n v="1395.9271771771771"/>
    <n v="1711.6508697980951"/>
    <n v="2678.550784952949"/>
    <n v="-5521.9143104781097"/>
    <n v="7087.8046314808589"/>
  </r>
  <r>
    <x v="17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18"/>
    <m/>
    <m/>
    <n v="5635"/>
    <n v="2590"/>
    <n v="175"/>
    <m/>
    <n v="4200"/>
    <m/>
    <m/>
    <m/>
    <n v="1379"/>
    <n v="5166"/>
    <n v="19145"/>
    <n v="0"/>
    <n v="0"/>
    <n v="6076.7165241397161"/>
    <n v="2909.556601548019"/>
    <n v="197.3676790688757"/>
    <n v="0"/>
    <n v="4908.2622414397565"/>
    <n v="0"/>
    <n v="0"/>
    <n v="0"/>
    <n v="1594.1827934614228"/>
    <n v="6050.7390662699991"/>
    <n v="21736.824905927788"/>
  </r>
  <r>
    <x v="19"/>
    <n v="19411.5"/>
    <n v="4168.34"/>
    <n v="7077.5"/>
    <n v="8417"/>
    <n v="4850.6900000000005"/>
    <n v="9439"/>
    <n v="6299.99"/>
    <n v="16636.640000000003"/>
    <n v="11315.03"/>
    <n v="10091.68"/>
    <n v="15873.35"/>
    <n v="17883.329999999998"/>
    <n v="131464.04999999999"/>
    <n v="20083.701488831179"/>
    <n v="4339.624998698635"/>
    <n v="7632.2912510379483"/>
    <n v="9455.4972645674425"/>
    <n v="5470.6824410434556"/>
    <n v="10873.547064176852"/>
    <n v="7362.381675820965"/>
    <n v="19377.150377954044"/>
    <n v="13273.073855105105"/>
    <n v="11750.634591649006"/>
    <n v="18350.269357933921"/>
    <n v="20946.06338869498"/>
    <n v="148914.91775551354"/>
  </r>
  <r>
    <x v="20"/>
    <n v="70"/>
    <n v="4445"/>
    <n v="3360"/>
    <n v="1015"/>
    <n v="2520"/>
    <m/>
    <m/>
    <n v="3780"/>
    <m/>
    <n v="3955"/>
    <n v="19495"/>
    <n v="15715"/>
    <n v="54355"/>
    <n v="72.424032363196176"/>
    <n v="4627.6534829729417"/>
    <n v="3623.3837659466631"/>
    <n v="1140.2316411471966"/>
    <n v="2842.0945785918097"/>
    <n v="0"/>
    <n v="0"/>
    <n v="4402.6695551906078"/>
    <n v="0"/>
    <n v="4605.155911599637"/>
    <n v="22537.051166447018"/>
    <n v="18406.381034927032"/>
    <n v="62257.045169186109"/>
  </r>
  <r>
    <x v="21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22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23"/>
    <m/>
    <n v="420"/>
    <m/>
    <m/>
    <m/>
    <m/>
    <m/>
    <m/>
    <m/>
    <m/>
    <m/>
    <m/>
    <n v="420"/>
    <n v="0"/>
    <n v="437.25859681634097"/>
    <n v="0"/>
    <n v="0"/>
    <n v="0"/>
    <n v="0"/>
    <n v="0"/>
    <n v="0"/>
    <n v="0"/>
    <n v="0"/>
    <n v="0"/>
    <n v="0"/>
    <n v="437.25859681634097"/>
  </r>
  <r>
    <x v="24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2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26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27"/>
    <n v="443.33"/>
    <m/>
    <m/>
    <m/>
    <m/>
    <m/>
    <m/>
    <m/>
    <n v="-1965.04"/>
    <m/>
    <m/>
    <m/>
    <n v="-1521.71"/>
    <n v="458.68208953679658"/>
    <n v="0"/>
    <n v="0"/>
    <n v="0"/>
    <n v="0"/>
    <n v="0"/>
    <n v="0"/>
    <n v="0"/>
    <n v="-2305.0863363363364"/>
    <n v="0"/>
    <n v="0"/>
    <n v="0"/>
    <n v="-1846.4042467995398"/>
  </r>
  <r>
    <x v="28"/>
    <m/>
    <m/>
    <m/>
    <m/>
    <m/>
    <m/>
    <m/>
    <m/>
    <m/>
    <n v="1050"/>
    <n v="630"/>
    <n v="682.5"/>
    <n v="2362.5"/>
    <n v="0"/>
    <n v="0"/>
    <n v="0"/>
    <n v="0"/>
    <n v="0"/>
    <n v="0"/>
    <n v="0"/>
    <n v="0"/>
    <n v="0"/>
    <n v="1222.6077641414965"/>
    <n v="728.30685995699525"/>
    <n v="799.38625875518289"/>
    <n v="2750.3008828536749"/>
  </r>
  <r>
    <x v="29"/>
    <n v="16345"/>
    <n v="22176"/>
    <n v="28888.95"/>
    <n v="10554.09"/>
    <n v="10654"/>
    <n v="21455"/>
    <n v="11480"/>
    <n v="9275"/>
    <n v="7210"/>
    <n v="11347"/>
    <n v="9803.5"/>
    <n v="1092"/>
    <n v="160280.53999999998"/>
    <n v="16911.011556806308"/>
    <n v="23087.253911902804"/>
    <n v="31153.497751560968"/>
    <n v="11856.263410359819"/>
    <n v="12015.744301713152"/>
    <n v="24715.748729941133"/>
    <n v="13415.916793268669"/>
    <n v="10802.846593754732"/>
    <n v="8457.6764264264257"/>
    <n v="13212.314571155772"/>
    <n v="11333.263970775242"/>
    <n v="1279.0180140082925"/>
    <n v="178240.55603167333"/>
  </r>
  <r>
    <x v="30"/>
    <n v="506.67"/>
    <m/>
    <m/>
    <m/>
    <m/>
    <m/>
    <m/>
    <m/>
    <m/>
    <m/>
    <m/>
    <m/>
    <n v="506.67"/>
    <n v="524.2154925351515"/>
    <n v="0"/>
    <n v="0"/>
    <n v="0"/>
    <n v="0"/>
    <n v="0"/>
    <n v="0"/>
    <n v="0"/>
    <n v="0"/>
    <n v="0"/>
    <n v="0"/>
    <n v="0"/>
    <n v="524.2154925351515"/>
  </r>
  <r>
    <x v="31"/>
    <n v="1435"/>
    <n v="700"/>
    <n v="140"/>
    <n v="490"/>
    <m/>
    <n v="490"/>
    <n v="350"/>
    <m/>
    <n v="140"/>
    <n v="210"/>
    <n v="70"/>
    <n v="5180"/>
    <n v="9205"/>
    <n v="1484.6926634455217"/>
    <n v="728.76432802723502"/>
    <n v="150.97432358111095"/>
    <n v="550.45665434692251"/>
    <n v="0"/>
    <n v="564.47060720909599"/>
    <n v="409.02185345331304"/>
    <n v="0"/>
    <n v="164.22672672672672"/>
    <n v="244.52155282829929"/>
    <n v="80.922984439666138"/>
    <n v="6067.1367331162592"/>
    <n v="10445.188427174151"/>
  </r>
  <r>
    <x v="32"/>
    <m/>
    <m/>
    <n v="350"/>
    <m/>
    <m/>
    <m/>
    <m/>
    <m/>
    <m/>
    <m/>
    <m/>
    <m/>
    <n v="350"/>
    <n v="0"/>
    <n v="0"/>
    <n v="377.43580895277739"/>
    <n v="0"/>
    <n v="0"/>
    <n v="0"/>
    <n v="0"/>
    <n v="0"/>
    <n v="0"/>
    <n v="0"/>
    <n v="0"/>
    <n v="0"/>
    <n v="377.43580895277739"/>
  </r>
  <r>
    <x v="33"/>
    <n v="4515"/>
    <n v="1155"/>
    <n v="1155"/>
    <n v="2240"/>
    <n v="2170"/>
    <n v="6195"/>
    <m/>
    <n v="490"/>
    <n v="2485"/>
    <n v="140"/>
    <n v="7035"/>
    <n v="735"/>
    <n v="28315"/>
    <n v="4671.3500874261536"/>
    <n v="1202.4611412449376"/>
    <n v="1245.5381695441654"/>
    <n v="2516.3732770145029"/>
    <n v="2447.3592204540587"/>
    <n v="7136.5212482864281"/>
    <n v="0"/>
    <n v="570.7164238210047"/>
    <n v="2915.0243993993995"/>
    <n v="163.01436855219953"/>
    <n v="8132.7599361864468"/>
    <n v="860.87750942865841"/>
    <n v="31861.995781357957"/>
  </r>
  <r>
    <x v="34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35"/>
    <m/>
    <m/>
    <m/>
    <m/>
    <n v="1050"/>
    <m/>
    <m/>
    <m/>
    <m/>
    <n v="770"/>
    <m/>
    <m/>
    <n v="1820"/>
    <n v="0"/>
    <n v="0"/>
    <n v="0"/>
    <n v="0"/>
    <n v="1184.2060744132541"/>
    <n v="0"/>
    <n v="0"/>
    <n v="0"/>
    <n v="0"/>
    <n v="896.57902703709738"/>
    <n v="0"/>
    <n v="0"/>
    <n v="2080.7851014503512"/>
  </r>
  <r>
    <x v="36"/>
    <n v="117.42"/>
    <n v="1230.08"/>
    <m/>
    <n v="1750"/>
    <n v="1325"/>
    <n v="1680"/>
    <m/>
    <m/>
    <m/>
    <m/>
    <n v="2135"/>
    <m/>
    <n v="8237.5"/>
    <n v="121.48614114409278"/>
    <n v="1280.6263208853445"/>
    <n v="0"/>
    <n v="1965.9166226675802"/>
    <n v="1494.3552843786301"/>
    <n v="1935.3277961454721"/>
    <n v="0"/>
    <n v="0"/>
    <n v="0"/>
    <n v="0"/>
    <n v="2468.1510254098171"/>
    <n v="0"/>
    <n v="9265.8631906309365"/>
  </r>
  <r>
    <x v="37"/>
    <n v="1998.7199999999998"/>
    <n v="556.26"/>
    <m/>
    <m/>
    <m/>
    <m/>
    <m/>
    <m/>
    <m/>
    <m/>
    <m/>
    <n v="280"/>
    <n v="2834.9799999999996"/>
    <n v="2067.9337423566776"/>
    <n v="579.1177787263282"/>
    <n v="0"/>
    <n v="0"/>
    <n v="0"/>
    <n v="0"/>
    <n v="0"/>
    <n v="0"/>
    <n v="0"/>
    <n v="0"/>
    <n v="0"/>
    <n v="327.95333692520325"/>
    <n v="2975.0048580082089"/>
  </r>
  <r>
    <x v="38"/>
    <n v="1120"/>
    <n v="560"/>
    <m/>
    <m/>
    <m/>
    <m/>
    <m/>
    <m/>
    <m/>
    <m/>
    <m/>
    <m/>
    <n v="1680"/>
    <n v="1158.7845178111388"/>
    <n v="583.011462421788"/>
    <n v="0"/>
    <n v="0"/>
    <n v="0"/>
    <n v="0"/>
    <n v="0"/>
    <n v="0"/>
    <n v="0"/>
    <n v="0"/>
    <n v="0"/>
    <n v="0"/>
    <n v="1741.7959802329269"/>
  </r>
  <r>
    <x v="39"/>
    <n v="665"/>
    <n v="6398.33"/>
    <n v="1785"/>
    <n v="315"/>
    <n v="245"/>
    <m/>
    <m/>
    <m/>
    <m/>
    <n v="910"/>
    <n v="1715"/>
    <m/>
    <n v="12033.33"/>
    <n v="688.02830745036363"/>
    <n v="6661.2495184949976"/>
    <n v="1924.9226256591649"/>
    <n v="353.86499208016448"/>
    <n v="276.31475069642596"/>
    <n v="0"/>
    <n v="0"/>
    <n v="0"/>
    <n v="0"/>
    <n v="1059.593395589297"/>
    <n v="1982.6131187718204"/>
    <n v="0"/>
    <n v="12946.58670874223"/>
  </r>
  <r>
    <x v="40"/>
    <m/>
    <m/>
    <m/>
    <n v="560"/>
    <n v="2590"/>
    <m/>
    <m/>
    <m/>
    <m/>
    <m/>
    <m/>
    <m/>
    <n v="3150"/>
    <n v="0"/>
    <n v="0"/>
    <n v="0"/>
    <n v="629.09331925362574"/>
    <n v="2921.0416502193602"/>
    <n v="0"/>
    <n v="0"/>
    <n v="0"/>
    <n v="0"/>
    <n v="0"/>
    <n v="0"/>
    <n v="0"/>
    <n v="3550.1349694729861"/>
  </r>
  <r>
    <x v="41"/>
    <n v="506.66"/>
    <m/>
    <m/>
    <m/>
    <m/>
    <m/>
    <m/>
    <m/>
    <m/>
    <m/>
    <m/>
    <m/>
    <n v="506.66"/>
    <n v="524.20514624481393"/>
    <n v="0"/>
    <n v="0"/>
    <n v="0"/>
    <n v="0"/>
    <n v="0"/>
    <n v="0"/>
    <n v="0"/>
    <n v="0"/>
    <n v="0"/>
    <n v="0"/>
    <n v="0"/>
    <n v="524.20514624481393"/>
  </r>
  <r>
    <x v="42"/>
    <m/>
    <n v="696.66"/>
    <m/>
    <m/>
    <m/>
    <n v="840"/>
    <m/>
    <m/>
    <m/>
    <m/>
    <m/>
    <m/>
    <n v="1536.6599999999999"/>
    <n v="0"/>
    <n v="725.2870810906478"/>
    <n v="0"/>
    <n v="0"/>
    <n v="0"/>
    <n v="967.66389807273606"/>
    <n v="0"/>
    <n v="0"/>
    <n v="0"/>
    <n v="0"/>
    <n v="0"/>
    <n v="0"/>
    <n v="1692.9509791633839"/>
  </r>
  <r>
    <x v="43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44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4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46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  <r>
    <x v="47"/>
    <n v="210"/>
    <n v="63.35"/>
    <m/>
    <n v="665"/>
    <n v="5880"/>
    <n v="9100"/>
    <n v="10080"/>
    <n v="2870"/>
    <n v="455"/>
    <n v="350"/>
    <m/>
    <m/>
    <n v="29673.35"/>
    <n v="217.27209708958853"/>
    <n v="65.953171686464771"/>
    <n v="0"/>
    <n v="747.04831661368053"/>
    <n v="6631.5540167142235"/>
    <n v="10483.025562454641"/>
    <n v="11779.829379455416"/>
    <n v="3342.767625237313"/>
    <n v="533.73686186186183"/>
    <n v="407.53592138049879"/>
    <n v="0"/>
    <n v="0"/>
    <n v="34208.722952493692"/>
  </r>
  <r>
    <x v="48"/>
    <n v="1890"/>
    <m/>
    <m/>
    <m/>
    <m/>
    <m/>
    <m/>
    <m/>
    <m/>
    <m/>
    <m/>
    <m/>
    <n v="1890"/>
    <n v="1955.4488738062967"/>
    <n v="0"/>
    <n v="0"/>
    <n v="0"/>
    <n v="0"/>
    <n v="0"/>
    <n v="0"/>
    <n v="0"/>
    <n v="0"/>
    <n v="0"/>
    <n v="0"/>
    <n v="0"/>
    <n v="1955.4488738062967"/>
  </r>
  <r>
    <x v="49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n v="897.49331506849319"/>
    <n v="810.63912328767128"/>
    <n v="897.49331506849319"/>
    <n v="868.5419178082193"/>
    <n v="897.49331506849319"/>
    <n v="868.5419178082193"/>
    <n v="897.49331506849319"/>
    <n v="897.49331506849319"/>
    <n v="868.5419178082193"/>
    <n v="897.49331506849319"/>
    <n v="868.5419178082193"/>
    <n v="897.49331506849376"/>
    <n v="10567.26"/>
    <n v="928.57264137532536"/>
    <n v="843.94982279332373"/>
    <n v="967.84604400739045"/>
    <n v="975.7034249730043"/>
    <n v="1012.2067004279983"/>
    <n v="1000.5436402688946"/>
    <n v="1048.8410834036381"/>
    <n v="1045.3350513860175"/>
    <n v="1018.8414013328398"/>
    <n v="1045.0307573979335"/>
    <n v="1004.0714871427473"/>
    <n v="1051.1997412313403"/>
    <n v="11942.141795740452"/>
  </r>
  <r>
    <x v="1"/>
    <n v="685.75736986301365"/>
    <n v="619.39375342465758"/>
    <n v="685.75736986301365"/>
    <n v="663.63616438356166"/>
    <n v="685.75736986301365"/>
    <n v="663.63616438356166"/>
    <n v="685.75736986301365"/>
    <n v="685.75736986301365"/>
    <n v="663.63616438356166"/>
    <n v="685.75736986301365"/>
    <n v="663.63616438356166"/>
    <n v="685.75736986301308"/>
    <n v="8074.24"/>
    <n v="709.50448497513128"/>
    <n v="644.84581785541059"/>
    <n v="739.512536113073"/>
    <n v="745.51620969428495"/>
    <n v="773.40765996708319"/>
    <n v="764.49614015409088"/>
    <n v="801.39928697325422"/>
    <n v="798.72039538187175"/>
    <n v="778.47710724423052"/>
    <n v="798.48789020168795"/>
    <n v="767.19170005729541"/>
    <n v="803.20149202723542"/>
    <n v="9124.7607206446501"/>
  </r>
  <r>
    <x v="2"/>
    <n v="2593.3631780821916"/>
    <n v="2342.3925479452055"/>
    <n v="2593.3631780821916"/>
    <n v="2509.706301369863"/>
    <n v="2593.3631780821916"/>
    <n v="2509.706301369863"/>
    <n v="2593.3631780821916"/>
    <n v="2593.3631780821916"/>
    <n v="2509.706301369863"/>
    <n v="2593.3631780821916"/>
    <n v="2509.706301369863"/>
    <n v="2593.3631780821888"/>
    <n v="30534.76"/>
    <n v="2683.1688391277989"/>
    <n v="2438.6459016847007"/>
    <n v="2796.6517972222791"/>
    <n v="2819.3561919294775"/>
    <n v="2924.8346939472312"/>
    <n v="2891.1335507157983"/>
    <n v="3030.6920393621499"/>
    <n v="3020.5611401309052"/>
    <n v="2944.0060779958039"/>
    <n v="3019.6818635828131"/>
    <n v="2901.3274853412208"/>
    <n v="3037.5075289678712"/>
    <n v="34507.567110008051"/>
  </r>
  <r>
    <x v="3"/>
    <n v="2397.273315068493"/>
    <n v="2165.2791232876712"/>
    <n v="2397.273315068493"/>
    <n v="2319.9419178082194"/>
    <n v="2397.273315068493"/>
    <n v="2319.9419178082194"/>
    <n v="2397.273315068493"/>
    <n v="2397.273315068493"/>
    <n v="2319.9419178082194"/>
    <n v="2397.273315068493"/>
    <n v="2319.9419178082194"/>
    <n v="2397.2733150684871"/>
    <n v="28225.96"/>
    <n v="2480.2885736278163"/>
    <n v="2254.2545503916285"/>
    <n v="2585.190837010809"/>
    <n v="2606.1785027671335"/>
    <n v="2703.6815445075317"/>
    <n v="2672.5286184388578"/>
    <n v="2801.5347844670946"/>
    <n v="2792.1699046886019"/>
    <n v="2721.4033382697767"/>
    <n v="2791.3571121637747"/>
    <n v="2681.9517673674823"/>
    <n v="2807.83493999448"/>
    <n v="31898.374473694988"/>
  </r>
  <r>
    <x v="4"/>
    <n v="711.78972602739725"/>
    <n v="642.90684931506848"/>
    <n v="711.78972602739725"/>
    <n v="688.82876712328766"/>
    <n v="711.78972602739725"/>
    <n v="688.82876712328766"/>
    <n v="711.78972602739725"/>
    <n v="711.78972602739725"/>
    <n v="688.82876712328766"/>
    <n v="711.78972602739725"/>
    <n v="688.82876712328766"/>
    <n v="711.78972602739668"/>
    <n v="8380.75"/>
    <n v="736.43831647998229"/>
    <n v="669.32511146457523"/>
    <n v="767.58551727836141"/>
    <n v="773.81709911959251"/>
    <n v="802.76734977770457"/>
    <n v="793.51753559423514"/>
    <n v="831.82158002500557"/>
    <n v="829.04099377732416"/>
    <n v="808.02924071331609"/>
    <n v="828.79966235928043"/>
    <n v="796.31542290731738"/>
    <n v="833.69219942771758"/>
    <n v="9471.1500289244123"/>
  </r>
  <r>
    <x v="5"/>
    <n v="495.05556164383563"/>
    <n v="447.14695890410962"/>
    <n v="495.05556164383563"/>
    <n v="479.0860273972603"/>
    <n v="495.05556164383563"/>
    <n v="479.0860273972603"/>
    <n v="495.05556164383563"/>
    <n v="495.05556164383563"/>
    <n v="479.0860273972603"/>
    <n v="495.05556164383563"/>
    <n v="479.0860273972603"/>
    <n v="495.05556164383597"/>
    <n v="5828.88"/>
    <n v="512.19885740104871"/>
    <n v="465.52107576453585"/>
    <n v="533.86198967317898"/>
    <n v="538.19610568459984"/>
    <n v="558.33124121018602"/>
    <n v="551.89791998025544"/>
    <n v="578.53869538837864"/>
    <n v="576.60477496748729"/>
    <n v="561.99092928544985"/>
    <n v="576.43692699731685"/>
    <n v="553.84387343328513"/>
    <n v="579.83972644455946"/>
    <n v="6587.2621162302821"/>
  </r>
  <r>
    <x v="6"/>
    <n v="585.95435616438363"/>
    <n v="529.24909589041101"/>
    <n v="585.95435616438363"/>
    <n v="567.05260273972601"/>
    <n v="585.95435616438363"/>
    <n v="567.05260273972601"/>
    <n v="585.95435616438363"/>
    <n v="585.95435616438363"/>
    <n v="567.05260273972601"/>
    <n v="585.95435616438363"/>
    <n v="567.05260273972601"/>
    <n v="585.95435616438317"/>
    <n v="6899.14"/>
    <n v="606.24538934578709"/>
    <n v="550.99694532228148"/>
    <n v="631.88616122373708"/>
    <n v="637.01607865882477"/>
    <n v="660.84829323692429"/>
    <n v="653.23372854692138"/>
    <n v="684.76610513542551"/>
    <n v="682.47709116831891"/>
    <n v="665.17994878440084"/>
    <n v="682.27842407534013"/>
    <n v="655.53698497112896"/>
    <n v="686.30602282131599"/>
    <n v="7796.7711732904063"/>
  </r>
  <r>
    <x v="7"/>
    <n v="581.97531506849316"/>
    <n v="525.65512328767124"/>
    <n v="581.97531506849316"/>
    <n v="563.20191780821926"/>
    <n v="581.97531506849316"/>
    <n v="563.20191780821926"/>
    <n v="581.97531506849316"/>
    <n v="581.97531506849316"/>
    <n v="563.20191780821926"/>
    <n v="581.97531506849316"/>
    <n v="563.20191780821926"/>
    <n v="581.97531506849373"/>
    <n v="6852.29"/>
    <n v="602.12855790145488"/>
    <n v="547.25528956687583"/>
    <n v="627.59521095264063"/>
    <n v="632.69029264996493"/>
    <n v="656.36066977397809"/>
    <n v="648.79781331945492"/>
    <n v="680.11606295254546"/>
    <n v="677.84259299590383"/>
    <n v="660.66291034184883"/>
    <n v="677.64527499184135"/>
    <n v="651.08542901692363"/>
    <n v="681.64552351717509"/>
    <n v="7743.8256279806083"/>
  </r>
  <r>
    <x v="8"/>
    <n v="141.28186301369863"/>
    <n v="127.60942465753425"/>
    <n v="141.28186301369863"/>
    <n v="136.72438356164383"/>
    <n v="141.28186301369863"/>
    <n v="136.72438356164383"/>
    <n v="141.28186301369863"/>
    <n v="141.28186301369863"/>
    <n v="136.72438356164383"/>
    <n v="141.28186301369863"/>
    <n v="136.72438356164383"/>
    <n v="141.28186301369874"/>
    <n v="1663.48"/>
    <n v="146.17431741766796"/>
    <n v="132.85313801498575"/>
    <n v="152.35666930551665"/>
    <n v="153.59356478160782"/>
    <n v="159.33984798594588"/>
    <n v="157.50386899863355"/>
    <n v="165.10676991200026"/>
    <n v="164.55485634683092"/>
    <n v="160.38427125755894"/>
    <n v="164.50695490754595"/>
    <n v="158.05921662116927"/>
    <n v="165.47806579411412"/>
    <n v="1879.9115413435773"/>
  </r>
  <r>
    <x v="9"/>
    <n v="2069.4266575342467"/>
    <n v="1869.1595616438358"/>
    <n v="2069.4266575342467"/>
    <n v="2002.6709589041097"/>
    <n v="2069.4266575342467"/>
    <n v="2002.6709589041097"/>
    <n v="-679.48731506849299"/>
    <n v="1667.4628219178085"/>
    <n v="1613.6736986301371"/>
    <n v="1667.4628219178085"/>
    <n v="1613.6736986301371"/>
    <n v="1667.4628219178094"/>
    <n v="19633.030000000002"/>
    <n v="2141.0889031217312"/>
    <n v="1945.9668741672158"/>
    <n v="2231.6449272996588"/>
    <n v="2249.7623587675498"/>
    <n v="2333.931065147402"/>
    <n v="2307.0385555359703"/>
    <n v="-794.07188859237226"/>
    <n v="1942.1396297539029"/>
    <n v="1892.9167823645564"/>
    <n v="1941.5742785657162"/>
    <n v="1865.4755943563582"/>
    <n v="1953.0357023095053"/>
    <n v="22010.502782797194"/>
  </r>
  <r>
    <x v="10"/>
    <n v="2206.2818904109586"/>
    <n v="1992.7707397260274"/>
    <n v="2206.2818904109586"/>
    <n v="2135.111506849315"/>
    <n v="2206.2818904109586"/>
    <n v="2135.111506849315"/>
    <n v="2206.2818904109586"/>
    <n v="2206.2818904109586"/>
    <n v="2135.111506849315"/>
    <n v="2206.2818904109586"/>
    <n v="2135.111506849315"/>
    <n v="2206.2818904109554"/>
    <n v="25977.19"/>
    <n v="2282.6833004779555"/>
    <n v="2074.6574700696774"/>
    <n v="2379.2279716717803"/>
    <n v="2398.543544322225"/>
    <n v="2488.2784918977281"/>
    <n v="2459.6075280211444"/>
    <n v="2578.335737303913"/>
    <n v="2569.7169600742614"/>
    <n v="2504.5883854745157"/>
    <n v="2568.9689229535393"/>
    <n v="2468.2799320817035"/>
    <n v="2584.1339577068511"/>
    <n v="29357.022202055294"/>
  </r>
  <r>
    <x v="11"/>
    <n v="139.88304109589041"/>
    <n v="126.34597260273972"/>
    <n v="139.88304109589041"/>
    <n v="135.37068493150684"/>
    <n v="139.88304109589041"/>
    <n v="135.37068493150684"/>
    <n v="139.88304109589041"/>
    <n v="139.88304109589041"/>
    <n v="135.37068493150684"/>
    <n v="139.88304109589041"/>
    <n v="135.37068493150684"/>
    <n v="139.88304109589058"/>
    <n v="1647.01"/>
    <n v="144.72705564844381"/>
    <n v="131.5377683182615"/>
    <n v="150.84819649943429"/>
    <n v="152.07284555928288"/>
    <n v="157.76223521252598"/>
    <n v="155.94443412571204"/>
    <n v="163.47205924493446"/>
    <n v="162.92561013765959"/>
    <n v="158.7963177218314"/>
    <n v="162.87818296719965"/>
    <n v="156.49428328998965"/>
    <n v="163.83967895229517"/>
    <n v="1861.2986676775702"/>
  </r>
  <r>
    <x v="12"/>
    <n v="10448.268876712329"/>
    <n v="9437.1460821917808"/>
    <n v="10448.268876712329"/>
    <n v="10111.227945205479"/>
    <n v="10448.268876712329"/>
    <n v="10111.227945205479"/>
    <n v="10448.268876712329"/>
    <n v="10982.334465753425"/>
    <n v="9979.9010958904109"/>
    <n v="10312.564465753425"/>
    <n v="9979.9010958904109"/>
    <n v="10312.561397260264"/>
    <n v="123019.93999999999"/>
    <n v="10810.082332376987"/>
    <n v="9824.9363186904939"/>
    <n v="11267.288044680128"/>
    <n v="11358.760624605949"/>
    <n v="11783.717591338751"/>
    <n v="11647.940771142279"/>
    <n v="12210.200860946978"/>
    <n v="12791.425819389711"/>
    <n v="11706.903500246823"/>
    <n v="12007.829889561754"/>
    <n v="11537.191158459238"/>
    <n v="12078.710437419786"/>
    <n v="139024.98734885888"/>
  </r>
  <r>
    <x v="13"/>
    <n v="585.95435616438363"/>
    <n v="529.24909589041101"/>
    <n v="585.95435616438363"/>
    <n v="567.05260273972601"/>
    <n v="585.95435616438363"/>
    <n v="567.05260273972601"/>
    <n v="585.95435616438363"/>
    <n v="585.95435616438363"/>
    <n v="567.05260273972601"/>
    <n v="585.95435616438363"/>
    <n v="567.05260273972601"/>
    <n v="585.95435616438317"/>
    <n v="6899.14"/>
    <n v="606.24538934578709"/>
    <n v="550.99694532228148"/>
    <n v="631.88616122373708"/>
    <n v="637.01607865882477"/>
    <n v="660.84829323692429"/>
    <n v="653.23372854692138"/>
    <n v="684.76610513542551"/>
    <n v="682.47709116831891"/>
    <n v="665.17994878440084"/>
    <n v="682.27842407534013"/>
    <n v="655.53698497112896"/>
    <n v="686.30602282131599"/>
    <n v="7796.7711732904063"/>
  </r>
  <r>
    <x v="14"/>
    <n v="735.52723287671233"/>
    <n v="664.34717808219182"/>
    <n v="735.52723287671233"/>
    <n v="711.80054794520549"/>
    <n v="735.52723287671233"/>
    <n v="711.80054794520549"/>
    <n v="735.52723287671233"/>
    <n v="735.52723287671233"/>
    <n v="711.80054794520549"/>
    <n v="735.52723287671233"/>
    <n v="711.80054794520549"/>
    <n v="735.52723287671142"/>
    <n v="8660.24"/>
    <n v="760.99783025535919"/>
    <n v="691.64646401694051"/>
    <n v="793.1837604217709"/>
    <n v="799.62315955964084"/>
    <n v="829.53887339902371"/>
    <n v="819.98058675591312"/>
    <n v="859.56203444748428"/>
    <n v="856.68871830685009"/>
    <n v="834.97624336665433"/>
    <n v="856.43933871674199"/>
    <n v="822.87178093593843"/>
    <n v="861.49503721885196"/>
    <n v="9787.0038274011713"/>
  </r>
  <r>
    <x v="15"/>
    <n v="620.46882191780821"/>
    <n v="560.42345205479455"/>
    <n v="620.46882191780821"/>
    <n v="600.45369863013696"/>
    <n v="620.46882191780821"/>
    <n v="600.45369863013696"/>
    <n v="620.46882191780821"/>
    <n v="620.46882191780821"/>
    <n v="600.45369863013696"/>
    <n v="620.46882191780821"/>
    <n v="600.45369863013696"/>
    <n v="620.46882191780878"/>
    <n v="7305.52"/>
    <n v="641.95505769899353"/>
    <n v="583.4523149248796"/>
    <n v="669.10614780149922"/>
    <n v="674.53823273098055"/>
    <n v="699.77423609438483"/>
    <n v="691.71115074836928"/>
    <n v="725.10087871661585"/>
    <n v="722.67703497421076"/>
    <n v="704.36103912131307"/>
    <n v="722.46666579470457"/>
    <n v="694.15007587123648"/>
    <n v="726.73150216426802"/>
    <n v="8256.0243366414561"/>
  </r>
  <r>
    <x v="16"/>
    <n v="581.97021917808217"/>
    <n v="525.65052054794523"/>
    <n v="581.97021917808217"/>
    <n v="563.19698630136986"/>
    <n v="581.97021917808217"/>
    <n v="563.19698630136986"/>
    <n v="581.97021917808217"/>
    <n v="581.97021917808217"/>
    <n v="563.19698630136986"/>
    <n v="581.97021917808217"/>
    <n v="563.19698630136986"/>
    <n v="581.97021917808161"/>
    <n v="6852.23"/>
    <n v="602.12328554528278"/>
    <n v="547.25049769184227"/>
    <n v="627.58971560544171"/>
    <n v="632.68475268922771"/>
    <n v="656.35492255075985"/>
    <n v="648.79213231809626"/>
    <n v="680.11010772242867"/>
    <n v="677.83665767273737"/>
    <n v="660.65712544736516"/>
    <n v="677.63934139643015"/>
    <n v="651.07972798475168"/>
    <n v="681.63955489479918"/>
    <n v="7743.7578215191652"/>
  </r>
  <r>
    <x v="17"/>
    <n v="691.51657534246579"/>
    <n v="624.59561643835616"/>
    <n v="691.51657534246579"/>
    <n v="669.20958904109591"/>
    <n v="691.51657534246579"/>
    <n v="669.20958904109591"/>
    <n v="691.51657534246579"/>
    <n v="691.51657534246579"/>
    <n v="669.20958904109591"/>
    <n v="691.51657534246579"/>
    <n v="669.20958904109591"/>
    <n v="691.51657534246624"/>
    <n v="8142.05"/>
    <n v="715.4631261755618"/>
    <n v="650.26143528922171"/>
    <n v="745.72319433896519"/>
    <n v="751.77728865396034"/>
    <n v="779.90298007428453"/>
    <n v="770.91661852281027"/>
    <n v="808.12968954360849"/>
    <n v="805.42829978040902"/>
    <n v="785.01500215969395"/>
    <n v="805.19384194879694"/>
    <n v="773.63481658354249"/>
    <n v="809.94703008089471"/>
    <n v="9201.3933231517512"/>
  </r>
  <r>
    <x v="18"/>
    <n v="1946.4305479452055"/>
    <n v="1758.0663013698631"/>
    <n v="1946.4305479452055"/>
    <n v="1883.6424657534246"/>
    <n v="1946.4305479452055"/>
    <n v="1883.6424657534246"/>
    <n v="1946.4305479452055"/>
    <n v="1946.4305479452055"/>
    <n v="1883.6424657534246"/>
    <n v="1946.4305479452055"/>
    <n v="1883.6424657534246"/>
    <n v="1946.430547945205"/>
    <n v="22917.65"/>
    <n v="2013.833557101389"/>
    <n v="1830.3085810644782"/>
    <n v="2099.00739552599"/>
    <n v="2116.0480197641177"/>
    <n v="2195.2141698097439"/>
    <n v="2169.9200130789277"/>
    <n v="2274.6646581105592"/>
    <n v="2267.0609827331555"/>
    <n v="2209.6031176724669"/>
    <n v="2266.4010478857099"/>
    <n v="2177.5709992294105"/>
    <n v="2279.7799760420776"/>
    <n v="25899.412518018031"/>
  </r>
  <r>
    <x v="19"/>
    <n v="777.96410958904107"/>
    <n v="702.67726027397259"/>
    <n v="777.96410958904107"/>
    <n v="752.86849315068491"/>
    <n v="777.96410958904107"/>
    <n v="752.86849315068491"/>
    <n v="777.96410958904107"/>
    <n v="777.96410958904107"/>
    <n v="752.86849315068491"/>
    <n v="777.96410958904107"/>
    <n v="752.86849315068491"/>
    <n v="777.96410958904198"/>
    <n v="9159.9"/>
    <n v="804.9042550040258"/>
    <n v="731.55160200511443"/>
    <n v="838.94718011133398"/>
    <n v="845.75810592435698"/>
    <n v="877.39983261984855"/>
    <n v="867.29007240278418"/>
    <n v="909.15520578361702"/>
    <n v="906.11611119540748"/>
    <n v="883.15091632728615"/>
    <n v="905.85234343522632"/>
    <n v="870.34807651925382"/>
    <n v="911.19973481346722"/>
    <n v="10351.673436141722"/>
  </r>
  <r>
    <x v="20"/>
    <n v="777.96410958904107"/>
    <n v="702.67726027397259"/>
    <n v="777.96410958904107"/>
    <n v="752.86849315068491"/>
    <n v="777.96410958904107"/>
    <n v="752.86849315068491"/>
    <n v="777.96410958904107"/>
    <n v="777.96410958904107"/>
    <n v="752.86849315068491"/>
    <n v="777.96410958904107"/>
    <n v="752.86849315068491"/>
    <n v="777.96410958904198"/>
    <n v="9159.9"/>
    <n v="804.9042550040258"/>
    <n v="731.55160200511443"/>
    <n v="838.94718011133398"/>
    <n v="845.75810592435698"/>
    <n v="877.39983261984855"/>
    <n v="867.29007240278418"/>
    <n v="909.15520578361702"/>
    <n v="906.11611119540748"/>
    <n v="883.15091632728615"/>
    <n v="905.85234343522632"/>
    <n v="870.34807651925382"/>
    <n v="911.19973481346722"/>
    <n v="10351.673436141722"/>
  </r>
  <r>
    <x v="21"/>
    <n v="944.66342465753428"/>
    <n v="853.24438356164387"/>
    <n v="944.66342465753428"/>
    <n v="914.19041095890407"/>
    <n v="944.66342465753428"/>
    <n v="914.19041095890407"/>
    <n v="944.66342465753428"/>
    <n v="944.66342465753428"/>
    <n v="914.19041095890407"/>
    <n v="944.66342465753428"/>
    <n v="914.19041095890407"/>
    <n v="944.66342465753587"/>
    <n v="11122.65"/>
    <n v="977.3762062817857"/>
    <n v="888.30581404187672"/>
    <n v="1018.7137253534787"/>
    <n v="1026.9840715356663"/>
    <n v="1065.4058721480758"/>
    <n v="1053.1298293442971"/>
    <n v="1103.9656709799394"/>
    <n v="1100.2753702756143"/>
    <n v="1072.3892771195854"/>
    <n v="1099.9550833207591"/>
    <n v="1056.8430914417054"/>
    <n v="1106.4482942415327"/>
    <n v="12569.792306084317"/>
  </r>
  <r>
    <x v="22"/>
    <n v="1989.5349863013698"/>
    <n v="1796.9993424657534"/>
    <n v="1989.5349863013698"/>
    <n v="1925.3564383561643"/>
    <n v="1989.5349863013698"/>
    <n v="1925.3564383561643"/>
    <n v="1989.5349863013698"/>
    <n v="1989.5349863013698"/>
    <n v="1925.3564383561643"/>
    <n v="1989.5349863013698"/>
    <n v="1925.3564383561643"/>
    <n v="1989.5349863013726"/>
    <n v="23425.17"/>
    <n v="2058.4306605085926"/>
    <n v="1870.8414546820541"/>
    <n v="2145.4907056986012"/>
    <n v="2162.9087009853897"/>
    <n v="2243.8280152721645"/>
    <n v="2217.9737099037684"/>
    <n v="2325.0379645919948"/>
    <n v="2317.2659029565089"/>
    <n v="2258.5356118104405"/>
    <n v="2316.591353603048"/>
    <n v="2225.7941300272414"/>
    <n v="2330.2665631677628"/>
    <n v="26472.964773207565"/>
  </r>
  <r>
    <x v="23"/>
    <n v="682.62424657534245"/>
    <n v="616.56383561643838"/>
    <n v="682.62424657534245"/>
    <n v="660.60410958904106"/>
    <n v="682.62424657534245"/>
    <n v="660.60410958904106"/>
    <n v="682.62424657534245"/>
    <n v="682.62424657534245"/>
    <n v="660.60410958904106"/>
    <n v="682.62424657534245"/>
    <n v="660.60410958904106"/>
    <n v="682.62424657534302"/>
    <n v="8037.35"/>
    <n v="706.26286465535725"/>
    <n v="641.89961335558326"/>
    <n v="736.13381347698453"/>
    <n v="742.11005716777811"/>
    <n v="769.87407555837285"/>
    <n v="761.00327115214327"/>
    <n v="797.73781298976564"/>
    <n v="795.07116085507573"/>
    <n v="774.92036128594339"/>
    <n v="794.8397179564314"/>
    <n v="763.68651544362103"/>
    <n v="799.53178403727316"/>
    <n v="9083.0710479343306"/>
  </r>
  <r>
    <x v="24"/>
    <n v="1026.4023561643835"/>
    <n v="927.07309589041097"/>
    <n v="1026.4023561643835"/>
    <n v="993.29260273972602"/>
    <n v="1026.4023561643835"/>
    <n v="993.29260273972602"/>
    <n v="1026.4023561643835"/>
    <n v="1026.4023561643835"/>
    <n v="993.29260273972602"/>
    <n v="1026.4023561643835"/>
    <n v="993.29260273972602"/>
    <n v="1026.4023561643826"/>
    <n v="12085.06"/>
    <n v="1061.9456780072874"/>
    <n v="965.1682882267196"/>
    <n v="1106.8600103141166"/>
    <n v="1115.8459650850129"/>
    <n v="1157.5922904399422"/>
    <n v="1144.2540379689726"/>
    <n v="1199.4885545920106"/>
    <n v="1195.4789430848778"/>
    <n v="1165.1799487844007"/>
    <n v="1195.130942647334"/>
    <n v="1148.2885976506045"/>
    <n v="1202.1859919000008"/>
    <n v="13657.419248701281"/>
  </r>
  <r>
    <x v="25"/>
    <n v="944.66342465753428"/>
    <n v="853.24438356164387"/>
    <n v="944.66342465753428"/>
    <n v="914.19041095890407"/>
    <n v="944.66342465753428"/>
    <n v="914.19041095890407"/>
    <n v="944.66342465753428"/>
    <n v="944.66342465753428"/>
    <n v="914.19041095890407"/>
    <n v="944.66342465753428"/>
    <n v="914.19041095890407"/>
    <n v="944.66342465753587"/>
    <n v="11122.65"/>
    <n v="977.3762062817857"/>
    <n v="888.30581404187672"/>
    <n v="1018.7137253534787"/>
    <n v="1026.9840715356663"/>
    <n v="1065.4058721480758"/>
    <n v="1053.1298293442971"/>
    <n v="1103.9656709799394"/>
    <n v="1100.2753702756143"/>
    <n v="1072.3892771195854"/>
    <n v="1099.9550833207591"/>
    <n v="1056.8430914417054"/>
    <n v="1106.4482942415327"/>
    <n v="12569.792306084317"/>
  </r>
  <r>
    <x v="26"/>
    <n v="761.48315068493162"/>
    <n v="687.79123287671234"/>
    <n v="761.48315068493162"/>
    <n v="736.91917808219182"/>
    <n v="761.48315068493162"/>
    <n v="736.91917808219182"/>
    <n v="761.48315068493162"/>
    <n v="761.48315068493162"/>
    <n v="736.91917808219182"/>
    <n v="761.48315068493162"/>
    <n v="736.91917808219182"/>
    <n v="761.48315068493139"/>
    <n v="8965.85"/>
    <n v="787.85257641762973"/>
    <n v="716.05387950060106"/>
    <n v="821.1743113790767"/>
    <n v="827.84094957389243"/>
    <n v="858.81235486137075"/>
    <n v="848.91676717567918"/>
    <n v="889.89499904748345"/>
    <n v="886.92028685480693"/>
    <n v="864.44160341848703"/>
    <n v="886.66210694316806"/>
    <n v="851.90998830338231"/>
    <n v="891.8962152837164"/>
    <n v="10132.376038759292"/>
  </r>
  <r>
    <x v="27"/>
    <n v="1850.388301369863"/>
    <n v="1671.3184657534248"/>
    <n v="1850.388301369863"/>
    <n v="1790.6983561643835"/>
    <n v="1850.388301369863"/>
    <n v="1790.6983561643835"/>
    <n v="1850.388301369863"/>
    <n v="1850.388301369863"/>
    <n v="1790.6983561643835"/>
    <n v="1850.388301369863"/>
    <n v="1790.6983561643835"/>
    <n v="1850.3883013698651"/>
    <n v="21786.83"/>
    <n v="1914.465460327008"/>
    <n v="1739.9961123061485"/>
    <n v="1995.4365868693997"/>
    <n v="2011.636379752613"/>
    <n v="2086.8962538146807"/>
    <n v="2062.8501804743669"/>
    <n v="2162.42643609894"/>
    <n v="2155.197947016391"/>
    <n v="2100.5752113414783"/>
    <n v="2154.5705751727519"/>
    <n v="2070.1236458860876"/>
    <n v="2167.2893501485923"/>
    <n v="24621.464139208456"/>
  </r>
  <r>
    <x v="28"/>
    <n v="799.02797260273974"/>
    <n v="721.70268493150684"/>
    <n v="799.02797260273974"/>
    <n v="773.25287671232877"/>
    <n v="799.02797260273974"/>
    <n v="773.25287671232877"/>
    <n v="799.02797260273974"/>
    <n v="799.02797260273974"/>
    <n v="773.25287671232877"/>
    <n v="799.02797260273974"/>
    <n v="773.25287671232877"/>
    <n v="799.02797260273837"/>
    <n v="9407.91"/>
    <n v="826.6975392411407"/>
    <n v="751.35881745651545"/>
    <n v="861.66219775775062"/>
    <n v="868.65753363102419"/>
    <n v="901.15597979263964"/>
    <n v="890.77249151834383"/>
    <n v="933.77114947147334"/>
    <n v="930.64976950363939"/>
    <n v="907.06277767493521"/>
    <n v="930.37886006699853"/>
    <n v="893.91329300169798"/>
    <n v="935.87103539874249"/>
    <n v="10631.951444514902"/>
  </r>
  <r>
    <x v="29"/>
    <n v="1346.524493150685"/>
    <n v="1216.2156712328767"/>
    <n v="1346.524493150685"/>
    <n v="1303.0882191780822"/>
    <n v="1346.524493150685"/>
    <n v="1303.0882191780822"/>
    <n v="1346.524493150685"/>
    <n v="1346.524493150685"/>
    <n v="1303.0882191780822"/>
    <n v="1346.524493150685"/>
    <n v="1303.0882191780822"/>
    <n v="1346.5244931506859"/>
    <n v="15854.24"/>
    <n v="1393.1533352825934"/>
    <n v="1266.1922805460285"/>
    <n v="1452.0758895630211"/>
    <n v="1463.8644519339925"/>
    <n v="1518.6309372716851"/>
    <n v="1501.1326496458605"/>
    <n v="1573.594125453646"/>
    <n v="1568.333965955816"/>
    <n v="1528.5850919412565"/>
    <n v="1567.877428507353"/>
    <n v="1506.4255383437171"/>
    <n v="1577.1328599295907"/>
    <n v="17916.998554374564"/>
  </r>
  <r>
    <x v="30"/>
    <n v="988.60019178082189"/>
    <n v="892.92920547945198"/>
    <n v="988.60019178082189"/>
    <n v="956.70986301369862"/>
    <n v="988.60019178082189"/>
    <n v="956.70986301369862"/>
    <n v="988.60019178082189"/>
    <n v="988.60019178082189"/>
    <n v="956.70986301369862"/>
    <n v="988.60019178082189"/>
    <n v="956.70986301369862"/>
    <n v="988.60019178082075"/>
    <n v="11639.97"/>
    <n v="1022.8344611970884"/>
    <n v="929.62136058160809"/>
    <n v="1066.0946089019012"/>
    <n v="1074.7496130106592"/>
    <n v="1114.9584307361497"/>
    <n v="1102.1114230577011"/>
    <n v="1155.3116650471216"/>
    <n v="1151.4497266161429"/>
    <n v="1122.2666373565346"/>
    <n v="1151.114542955243"/>
    <n v="1105.9973908276093"/>
    <n v="1157.9097563550572"/>
    <n v="13154.419616642817"/>
  </r>
  <r>
    <x v="31"/>
    <n v="524.81386301369866"/>
    <n v="474.0254246575343"/>
    <n v="524.81386301369866"/>
    <n v="507.88438356164386"/>
    <n v="524.81386301369866"/>
    <n v="507.88438356164386"/>
    <n v="524.81386301369866"/>
    <n v="524.81386301369866"/>
    <n v="507.88438356164386"/>
    <n v="524.81386301369866"/>
    <n v="507.88438356164386"/>
    <n v="524.81386301369912"/>
    <n v="6179.26"/>
    <n v="542.98765999368743"/>
    <n v="493.50402866910383"/>
    <n v="565.95298553202133"/>
    <n v="570.54762973549305"/>
    <n v="591.89310906391177"/>
    <n v="585.07307424705823"/>
    <n v="613.31525419387481"/>
    <n v="611.26508381809128"/>
    <n v="595.77278477107245"/>
    <n v="611.08714633299019"/>
    <n v="587.13600097297615"/>
    <n v="614.69449157124689"/>
    <n v="6983.2292489015272"/>
  </r>
  <r>
    <x v="32"/>
    <n v="780.11712328767123"/>
    <n v="704.62191780821922"/>
    <n v="780.11712328767123"/>
    <n v="754.95205479452056"/>
    <n v="780.11712328767123"/>
    <n v="754.95205479452056"/>
    <n v="780.11712328767123"/>
    <n v="779.15712328767097"/>
    <n v="754.95205479452056"/>
    <n v="780.11712328767123"/>
    <n v="754.95205479452056"/>
    <n v="780.11712328767135"/>
    <n v="9184.2900000000009"/>
    <n v="807.13182548671148"/>
    <n v="733.5761692068121"/>
    <n v="841.26896430284512"/>
    <n v="848.09873933576796"/>
    <n v="879.82803442957504"/>
    <n v="869.69029547677098"/>
    <n v="911.67129050797155"/>
    <n v="907.50564693347189"/>
    <n v="885.59503424657532"/>
    <n v="908.35928749641505"/>
    <n v="872.75676261187084"/>
    <n v="913.72147776672136"/>
    <n v="10379.203527801508"/>
  </r>
  <r>
    <x v="33"/>
    <n v="1514.2506301369865"/>
    <n v="1367.7102465753426"/>
    <n v="1514.2506301369865"/>
    <n v="1465.4038356164385"/>
    <n v="1514.2506301369865"/>
    <n v="1465.4038356164385"/>
    <n v="1514.2506301369865"/>
    <n v="1514.2506301369865"/>
    <n v="1465.4038356164385"/>
    <n v="1514.2506301369865"/>
    <n v="1465.4038356164385"/>
    <n v="1514.2506301369849"/>
    <n v="17829.080000000002"/>
    <n v="1566.6876663290188"/>
    <n v="1423.9120554020619"/>
    <n v="1632.9497472657326"/>
    <n v="1646.206719633821"/>
    <n v="1707.7950422783974"/>
    <n v="1688.1171283611213"/>
    <n v="1769.6045695185071"/>
    <n v="1763.6891926540484"/>
    <n v="1718.9891089719858"/>
    <n v="1763.175787868222"/>
    <n v="1694.0693112488018"/>
    <n v="1773.5840967661281"/>
    <n v="20148.780426297846"/>
  </r>
  <r>
    <x v="34"/>
    <m/>
    <m/>
    <n v="-11.66"/>
    <m/>
    <m/>
    <m/>
    <m/>
    <m/>
    <m/>
    <n v="151.63043478260869"/>
    <n v="146.7391304347826"/>
    <n v="151.63043478260875"/>
    <n v="438.34000000000003"/>
    <n v="0"/>
    <n v="0"/>
    <n v="-12.574004378255385"/>
    <n v="0"/>
    <n v="0"/>
    <n v="0"/>
    <n v="0"/>
    <n v="0"/>
    <n v="0"/>
    <n v="176.55671128130305"/>
    <n v="169.63669098377216"/>
    <n v="177.5989538084855"/>
    <n v="511.21835169530527"/>
  </r>
  <r>
    <x v="3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n v="11498.216794520549"/>
    <n v="10385.486136986303"/>
    <n v="11498.216794520549"/>
    <n v="11127.306575342467"/>
    <n v="11930.951488398101"/>
    <n v="11546.082085546548"/>
    <n v="11967.595510137231"/>
    <n v="12009.806163732002"/>
    <n v="11622.393061676132"/>
    <n v="12009.806163732002"/>
    <n v="11622.393061676132"/>
    <n v="12009.806163732012"/>
    <n v="139228.06000000006"/>
    <n v="11896.388932077172"/>
    <n v="10812.245465509983"/>
    <n v="12399.539306726499"/>
    <n v="12500.203978276584"/>
    <n v="13455.909739134178"/>
    <n v="13300.865236152094"/>
    <n v="13985.737419816794"/>
    <n v="13988.150254180791"/>
    <n v="13633.625494646363"/>
    <n v="13984.078344393472"/>
    <n v="13435.981898310018"/>
    <n v="14066.628597217095"/>
    <n v="157459.35466644104"/>
  </r>
  <r>
    <x v="1"/>
    <n v="14407.71121092863"/>
    <n v="13188.63"/>
    <n v="14601.7013905693"/>
    <n v="14130.669087647759"/>
    <n v="14601.691390569349"/>
    <n v="14130.669087647759"/>
    <n v="14367.176325412012"/>
    <n v="14367.176325412012"/>
    <n v="13903.71902459227"/>
    <n v="14367.176325412012"/>
    <n v="13903.71902459227"/>
    <n v="14367.176325412009"/>
    <n v="170337.21551819539"/>
    <n v="14906.63632885542"/>
    <n v="13730.575827928331"/>
    <n v="15746.299932675482"/>
    <n v="15874.124142183806"/>
    <n v="16468.01108706661"/>
    <n v="16278.259918725171"/>
    <n v="16789.968827173088"/>
    <n v="16733.84386294887"/>
    <n v="16309.730462406473"/>
    <n v="16728.972689751066"/>
    <n v="16073.291975436718"/>
    <n v="16827.726493255883"/>
    <n v="192467.4415484069"/>
  </r>
  <r>
    <x v="2"/>
    <n v="651.09342465753423"/>
    <n v="588.0843835616439"/>
    <n v="651.09342465753423"/>
    <n v="630.09041095890416"/>
    <n v="651.09342465753423"/>
    <n v="630.09041095890416"/>
    <n v="651.09342465753423"/>
    <n v="651.09342465753423"/>
    <n v="630.09041095890416"/>
    <n v="651.09342465753423"/>
    <n v="630.09041095890416"/>
    <n v="651.09342465753434"/>
    <n v="7666.1"/>
    <n v="673.64016084087848"/>
    <n v="612.2498865851602"/>
    <n v="702.13135268414476"/>
    <n v="707.83155010717519"/>
    <n v="734.3131318952195"/>
    <n v="725.85207524612554"/>
    <n v="760.88982664197056"/>
    <n v="758.34634876309929"/>
    <n v="739.12632666913498"/>
    <n v="758.12559635026457"/>
    <n v="728.41137888014634"/>
    <n v="762.60093309463139"/>
    <n v="8663.5185677579502"/>
  </r>
  <r>
    <x v="3"/>
    <n v="1013.6314917127072"/>
    <n v="915.53812154696129"/>
    <n v="1013.6314917127072"/>
    <n v="980.93370165745853"/>
    <n v="1013.6314917127072"/>
    <n v="974.28"/>
    <n v="997.10489130434792"/>
    <n v="997.10489130434792"/>
    <n v="964.94021739130437"/>
    <n v="997.10489130434792"/>
    <n v="964.44021739130403"/>
    <n v="997.1048913043478"/>
    <n v="11829.44629834254"/>
    <n v="1048.7325708593703"/>
    <n v="953.15931990355455"/>
    <n v="1093.0880630131319"/>
    <n v="1101.962211327565"/>
    <n v="1143.1891140026248"/>
    <n v="1122.3518840646491"/>
    <n v="1165.2505449390533"/>
    <n v="1161.3553831421409"/>
    <n v="1131.9212384939287"/>
    <n v="1161.0173159734843"/>
    <n v="1114.9340100706388"/>
    <n v="1167.8709870275104"/>
    <n v="13364.832642817653"/>
  </r>
  <r>
    <x v="4"/>
    <n v="8374.1089863013694"/>
    <n v="7563.7113424657537"/>
    <n v="8374.1089863013694"/>
    <n v="8103.9764383561651"/>
    <n v="8374.1089863013694"/>
    <n v="8103.9764383561651"/>
    <n v="8374.1089863013694"/>
    <n v="8374.1089863013694"/>
    <n v="8103.9764383561651"/>
    <n v="8374.1089863013694"/>
    <n v="8103.9764383561651"/>
    <n v="8374.1089863013622"/>
    <n v="98598.38"/>
    <n v="8664.0962890974606"/>
    <n v="7874.5185912629004"/>
    <n v="9030.5388557239439"/>
    <n v="9103.8525656404563"/>
    <n v="9444.4483136920953"/>
    <n v="9335.6255121777795"/>
    <n v="9786.2673674200887"/>
    <n v="9753.5541496923597"/>
    <n v="9506.3537424410715"/>
    <n v="9750.7149184944101"/>
    <n v="9368.5422745788128"/>
    <n v="9808.2749494030813"/>
    <n v="111426.78752962446"/>
  </r>
  <r>
    <x v="5"/>
    <n v="1225.1743561643834"/>
    <n v="1106.609095890411"/>
    <n v="1225.1743561643834"/>
    <n v="1185.652602739726"/>
    <n v="1225.1743561643834"/>
    <n v="1185.652602739726"/>
    <n v="1225.1743561643834"/>
    <n v="1225.1743561643834"/>
    <n v="1185.652602739726"/>
    <n v="1225.1743561643834"/>
    <n v="1185.652602739726"/>
    <n v="1225.1743561643834"/>
    <n v="14425.44"/>
    <n v="1267.6009603058192"/>
    <n v="1152.0817630791448"/>
    <n v="1321.2133549345779"/>
    <n v="1331.9395202486335"/>
    <n v="1381.770395033534"/>
    <n v="1365.8490706276291"/>
    <n v="1431.7802456052161"/>
    <n v="1426.9941369537526"/>
    <n v="1390.8274713069234"/>
    <n v="1426.5787431177469"/>
    <n v="1370.6649588908072"/>
    <n v="1435.0000657832034"/>
    <n v="16302.300685886989"/>
  </r>
  <r>
    <x v="6"/>
    <n v="6234.3140273972604"/>
    <n v="5630.9933150684928"/>
    <n v="6234.3140273972604"/>
    <n v="6033.2071232876715"/>
    <n v="6234.3140273972604"/>
    <n v="6033.2071232876715"/>
    <n v="6234.3140273972604"/>
    <n v="6234.3140273972604"/>
    <n v="6033.2071232876715"/>
    <n v="6234.3140273972604"/>
    <n v="6033.2071232876715"/>
    <n v="6234.3140273972676"/>
    <n v="73404.02"/>
    <n v="6450.2022983221013"/>
    <n v="5862.381513402489"/>
    <n v="6723.0095948466642"/>
    <n v="6777.589812381535"/>
    <n v="7031.1548009938997"/>
    <n v="6950.1389557151742"/>
    <n v="7285.6305099886176"/>
    <n v="7261.2763401903867"/>
    <n v="7077.241839442182"/>
    <n v="7259.1626038020313"/>
    <n v="6974.6446594155877"/>
    <n v="7302.0146025876311"/>
    <n v="82954.447531088299"/>
  </r>
  <r>
    <x v="7"/>
    <n v="4014.2248219178082"/>
    <n v="3664.1743263062913"/>
    <n v="4056.7644326962513"/>
    <n v="3925.9010638995983"/>
    <n v="4124.2470041248225"/>
    <n v="3991.2067781853125"/>
    <n v="4124.2470041248225"/>
    <n v="4124.2470041248225"/>
    <n v="3991.2067781853125"/>
    <n v="4124.2470041248225"/>
    <n v="3991.2067781853125"/>
    <n v="4124.2470041248289"/>
    <n v="48255.920000000006"/>
    <n v="4153.2335487960108"/>
    <n v="3814.7422009789298"/>
    <n v="4374.7661868158993"/>
    <n v="4410.2823774106046"/>
    <n v="4651.3889092050285"/>
    <n v="4597.7937011822924"/>
    <n v="4819.7347249325958"/>
    <n v="4803.6234717318594"/>
    <n v="4681.877320506419"/>
    <n v="4802.2251509336329"/>
    <n v="4614.0052000940004"/>
    <n v="4830.573454666107"/>
    <n v="54554.246247253381"/>
  </r>
  <r>
    <x v="8"/>
    <n v="1772.6063287671232"/>
    <n v="1601.0637808219176"/>
    <n v="1772.6063287671232"/>
    <n v="2533.6072976338728"/>
    <n v="2753.0272823849332"/>
    <n v="2664.2199506950974"/>
    <n v="2753.0272823849332"/>
    <n v="2753.0272823849332"/>
    <n v="2664.2199506950974"/>
    <n v="2753.0272823849332"/>
    <n v="2664.2199506950974"/>
    <n v="2828.0272823849341"/>
    <n v="29512.679999999997"/>
    <n v="1833.9899731690928"/>
    <n v="1666.8545290848986"/>
    <n v="1911.5574390086629"/>
    <n v="2846.2061152744677"/>
    <n v="3104.9063150720485"/>
    <n v="3069.1303128723462"/>
    <n v="3217.2809189960653"/>
    <n v="3206.5262964987514"/>
    <n v="3125.2580127335509"/>
    <n v="3205.5928860354124"/>
    <n v="3079.9518516278204"/>
    <n v="3312.3606577630467"/>
    <n v="33579.615308136163"/>
  </r>
  <r>
    <x v="9"/>
    <n v="1478.6065753424659"/>
    <n v="1335.5156164383563"/>
    <n v="1478.6065753424659"/>
    <n v="1430.9095890410961"/>
    <n v="1478.6065753424659"/>
    <n v="1430.9095890410961"/>
    <n v="1478.6065753424659"/>
    <n v="1478.6065753424659"/>
    <n v="1430.9095890410961"/>
    <n v="1478.6065753424659"/>
    <n v="1430.9095890410961"/>
    <n v="1478.6065753424664"/>
    <n v="17409.400000000001"/>
    <n v="1529.8092923576774"/>
    <n v="1390.3944868336819"/>
    <n v="1594.511625392227"/>
    <n v="1607.4565409316153"/>
    <n v="1667.5951316075495"/>
    <n v="1648.3804175251951"/>
    <n v="1727.9497199280893"/>
    <n v="1722.1735855462755"/>
    <n v="1678.5257003578922"/>
    <n v="1721.6722658327308"/>
    <n v="1654.1924915505954"/>
    <n v="1731.8355727968169"/>
    <n v="19674.496830660344"/>
  </r>
  <r>
    <x v="10"/>
    <n v="3213.4771270718234"/>
    <n v="2902.49546961326"/>
    <n v="3213.4771270718234"/>
    <n v="3109.8165745856354"/>
    <n v="3213.4771270718234"/>
    <n v="3109.8165745856354"/>
    <n v="3161.0834782608699"/>
    <n v="3161.0834782608699"/>
    <n v="3059.1130434782613"/>
    <n v="3161.0834782608699"/>
    <n v="3059.1130434782613"/>
    <n v="3161.083478260869"/>
    <n v="37525.119999999995"/>
    <n v="3324.7567349920059"/>
    <n v="3021.7645150211447"/>
    <n v="3465.3752543074306"/>
    <n v="3493.5086271000318"/>
    <n v="3624.2086989204818"/>
    <n v="3582.4490819699281"/>
    <n v="3694.1492091397336"/>
    <n v="3681.800526760625"/>
    <n v="3588.4865844104979"/>
    <n v="3680.7287653534731"/>
    <n v="3536.4651030938721"/>
    <n v="3702.456696409929"/>
    <n v="42396.149797479149"/>
  </r>
  <r>
    <x v="11"/>
    <n v="1515.3998895027623"/>
    <n v="1368.7482872928176"/>
    <n v="1515.3998895027623"/>
    <n v="1466.5160220994476"/>
    <n v="1515.3998895027623"/>
    <n v="1466.5160220994476"/>
    <n v="1490.6922826086955"/>
    <n v="1490.6922826086955"/>
    <n v="1442.6054347826087"/>
    <n v="1490.6922826086955"/>
    <n v="1442.6054347826087"/>
    <n v="1490.6922826086957"/>
    <n v="17695.96"/>
    <n v="1567.876723436171"/>
    <n v="1424.9927511819699"/>
    <n v="1634.1890948040702"/>
    <n v="1647.456128716366"/>
    <n v="1709.0911945850908"/>
    <n v="1689.3983458700884"/>
    <n v="1742.0734867461674"/>
    <n v="1736.250139893888"/>
    <n v="1692.2454893752447"/>
    <n v="1735.7447225363817"/>
    <n v="1667.7133878784405"/>
    <n v="1745.9911014648922"/>
    <n v="19993.022566488773"/>
  </r>
  <r>
    <x v="12"/>
    <n v="858.17248618784527"/>
    <n v="775.12353591160218"/>
    <n v="858.17248618784527"/>
    <n v="830.4895027624309"/>
    <n v="858.17248618784527"/>
    <n v="830.4895027624309"/>
    <n v="844.18054347826092"/>
    <n v="844.18054347826092"/>
    <n v="816.94891304347823"/>
    <n v="844.18054347826092"/>
    <n v="816.94891304347823"/>
    <n v="844.18054347826092"/>
    <n v="10021.240000000002"/>
    <n v="887.89017018390041"/>
    <n v="806.97483255244731"/>
    <n v="925.44293298664445"/>
    <n v="932.95606767519791"/>
    <n v="967.86006765521029"/>
    <n v="956.70798756140732"/>
    <n v="986.53797297915264"/>
    <n v="983.24020578201066"/>
    <n v="958.32032780062661"/>
    <n v="982.95398742258089"/>
    <n v="944.42777397456496"/>
    <n v="988.75652214652598"/>
    <n v="11322.06884872027"/>
  </r>
  <r>
    <x v="13"/>
    <n v="3526.5788397790056"/>
    <n v="3185.2970165745855"/>
    <n v="3526.5788397790056"/>
    <n v="3412.8182320441988"/>
    <n v="3526.5788397790056"/>
    <n v="3412.8182320441988"/>
    <n v="3469.0802717391302"/>
    <n v="3469.0802717391302"/>
    <n v="3357.1744565217386"/>
    <n v="3469.0802717391302"/>
    <n v="3357.1744565217386"/>
    <n v="3469.0802717391307"/>
    <n v="41181.339999999997"/>
    <n v="3648.7008574788219"/>
    <n v="3316.1869140730487"/>
    <n v="3803.020392079246"/>
    <n v="3833.8949100106706"/>
    <n v="3977.3296037748046"/>
    <n v="3931.5011831352294"/>
    <n v="4054.0846929287486"/>
    <n v="4040.5328298672562"/>
    <n v="3938.1269431795922"/>
    <n v="4039.3566425317645"/>
    <n v="3881.0368043764752"/>
    <n v="4063.2016113508525"/>
    <n v="46526.973384786514"/>
  </r>
  <r>
    <x v="14"/>
    <n v="3253.9893150684929"/>
    <n v="2939.0871232876711"/>
    <n v="3253.9893150684929"/>
    <n v="3149.0219178082189"/>
    <n v="3253.9893150684929"/>
    <n v="3149.0219178082189"/>
    <n v="3253.9893150684929"/>
    <n v="3253.9893150684929"/>
    <n v="3149.0219178082189"/>
    <n v="3253.9893150684929"/>
    <n v="3149.0219178082189"/>
    <n v="3253.9893150684875"/>
    <n v="38313.1"/>
    <n v="3366.6718209145015"/>
    <n v="3059.8597891660552"/>
    <n v="3509.0631127330589"/>
    <n v="3537.5511619221261"/>
    <n v="3669.8989647427939"/>
    <n v="3627.6128858366478"/>
    <n v="3802.7221164759762"/>
    <n v="3790.0105000972462"/>
    <n v="3693.9540139454521"/>
    <n v="3788.9072390821043"/>
    <n v="3640.4035950708871"/>
    <n v="3811.2737649845249"/>
    <n v="43297.928964971368"/>
  </r>
  <r>
    <x v="15"/>
    <n v="2547.7252328767122"/>
    <n v="2301.171178082192"/>
    <n v="2547.7252328767122"/>
    <n v="2589.4558206724782"/>
    <n v="2675.7710146948939"/>
    <n v="2589.4558206724782"/>
    <n v="2675.7710146948939"/>
    <n v="2675.7710146948939"/>
    <n v="2589.4558206724782"/>
    <n v="2675.7710146948939"/>
    <n v="2589.4558206724782"/>
    <n v="2675.7710146948921"/>
    <n v="31133.299999999996"/>
    <n v="2635.9504959770647"/>
    <n v="2395.7306675295849"/>
    <n v="2747.4363836006432"/>
    <n v="2908.9452808704832"/>
    <n v="3017.7755136577239"/>
    <n v="2983.0034682369833"/>
    <n v="3126.9966281347365"/>
    <n v="3116.5438050419812"/>
    <n v="3037.556095946507"/>
    <n v="3115.6365882197592"/>
    <n v="2993.5213297640266"/>
    <n v="3134.0286897033102"/>
    <n v="35213.124946682801"/>
  </r>
  <r>
    <x v="16"/>
    <n v="9473.6203835616434"/>
    <n v="8556.8184109589038"/>
    <n v="9473.6203835616434"/>
    <n v="9168.0197260273981"/>
    <n v="9473.6203835616434"/>
    <n v="9168.0197260273981"/>
    <n v="9473.6203835616434"/>
    <n v="9473.6203835616434"/>
    <n v="9168.0197260273981"/>
    <n v="9473.6203835616434"/>
    <n v="9282.777103076578"/>
    <n v="9592.2030065124909"/>
    <n v="111777.58000000003"/>
    <n v="9801.6827036529066"/>
    <n v="8908.4343133050552"/>
    <n v="10216.238780517459"/>
    <n v="10299.178500766593"/>
    <n v="10684.494099903734"/>
    <n v="10561.382982970727"/>
    <n v="11071.193623421343"/>
    <n v="11034.185195804235"/>
    <n v="10754.52764408244"/>
    <n v="11030.973176639625"/>
    <n v="10731.286100987929"/>
    <n v="11234.982087320494"/>
    <n v="126328.55920937254"/>
  </r>
  <r>
    <x v="17"/>
    <n v="2829.8753424657534"/>
    <n v="2556.0164383561641"/>
    <n v="2829.8753424657534"/>
    <n v="2738.5890410958905"/>
    <n v="2829.8753424657534"/>
    <n v="2738.5890410958905"/>
    <n v="2829.8753424657534"/>
    <n v="2829.8753424657534"/>
    <n v="2738.5890410958905"/>
    <n v="2829.8753424657534"/>
    <n v="2738.5890410958905"/>
    <n v="2829.8753424657552"/>
    <n v="33319.5"/>
    <n v="2927.871191236437"/>
    <n v="2661.048003035995"/>
    <n v="3051.7036831973705"/>
    <n v="3076.4786963118172"/>
    <n v="3191.57673369546"/>
    <n v="3154.802079435864"/>
    <n v="3307.0881646204903"/>
    <n v="3296.0333373699909"/>
    <n v="3212.4965290633099"/>
    <n v="3295.0738716678156"/>
    <n v="3165.9256908463276"/>
    <n v="3314.5252201571311"/>
    <n v="37654.623200638016"/>
  </r>
  <r>
    <x v="18"/>
    <n v="13724.24016438356"/>
    <n v="12396.087890410958"/>
    <n v="13724.24016438356"/>
    <n v="13281.522739726026"/>
    <n v="13724.24016438356"/>
    <n v="13281.522739726026"/>
    <n v="13724.24016438356"/>
    <n v="13724.24016438356"/>
    <n v="13281.522739726026"/>
    <n v="13724.24016438356"/>
    <n v="13281.522739726026"/>
    <n v="13724.240164383547"/>
    <n v="161591.85999999999"/>
    <n v="14199.497340365597"/>
    <n v="12905.466659459838"/>
    <n v="14800.056253446593"/>
    <n v="14920.209330494205"/>
    <n v="15478.408161304162"/>
    <n v="15300.059603172585"/>
    <n v="16038.611855070189"/>
    <n v="15984.998502607312"/>
    <n v="15579.864324941378"/>
    <n v="15980.345316112292"/>
    <n v="15354.006542884588"/>
    <n v="16074.679852401729"/>
    <n v="182616.20374226049"/>
  </r>
  <r>
    <x v="19"/>
    <n v="2557.2868219178085"/>
    <n v="2309.8074520547948"/>
    <n v="2557.2868219178085"/>
    <n v="2474.793698630137"/>
    <n v="2557.2868219178085"/>
    <n v="2597.457250032006"/>
    <n v="2684.0391583664068"/>
    <n v="2696.7025570592173"/>
    <n v="2609.7121519927905"/>
    <n v="2696.7025570592173"/>
    <n v="2609.7121519927905"/>
    <n v="2696.7025570592173"/>
    <n v="31047.489999999998"/>
    <n v="2645.8431936078637"/>
    <n v="2404.7218223843033"/>
    <n v="2757.7474867280721"/>
    <n v="2780.1360398914107"/>
    <n v="2884.1472271733664"/>
    <n v="2992.2209614800718"/>
    <n v="3136.6590608465663"/>
    <n v="3140.9233458648882"/>
    <n v="3061.3177458624136"/>
    <n v="3140.0090322293581"/>
    <n v="3016.9385123960028"/>
    <n v="3158.5450081510662"/>
    <n v="35119.209436615383"/>
  </r>
  <r>
    <x v="20"/>
    <n v="1506.8808839779006"/>
    <n v="1361.0537016574585"/>
    <n v="1506.8808839779006"/>
    <n v="1458.2718232044199"/>
    <n v="1506.8808839779006"/>
    <n v="1458.2718232044199"/>
    <n v="1482.3121739130436"/>
    <n v="1482.3121739130436"/>
    <n v="1434.4956521739132"/>
    <n v="1482.3121739130436"/>
    <n v="1434.4956521739132"/>
    <n v="1481.48217391304"/>
    <n v="17595.649999999998"/>
    <n v="1559.0627129813877"/>
    <n v="1416.9819804248264"/>
    <n v="1625.0023012562149"/>
    <n v="1638.1947529173303"/>
    <n v="1699.4833297369942"/>
    <n v="1679.9011867757438"/>
    <n v="1732.2802079152082"/>
    <n v="1726.4895977183496"/>
    <n v="1682.7323247160205"/>
    <n v="1725.9870216262354"/>
    <n v="1658.3381334234043"/>
    <n v="1735.2036518928062"/>
    <n v="19879.657201384522"/>
  </r>
  <r>
    <x v="21"/>
    <n v="275.82271232876718"/>
    <n v="249.13019178082195"/>
    <n v="275.82271232876718"/>
    <n v="266.92520547945207"/>
    <n v="275.82271232876718"/>
    <n v="266.92520547945207"/>
    <n v="275.82271232876718"/>
    <n v="275.82271232876718"/>
    <n v="266.92520547945207"/>
    <n v="275.82271232876718"/>
    <n v="266.92520547945207"/>
    <n v="275.82271232876701"/>
    <n v="3247.59"/>
    <n v="285.37418634575977"/>
    <n v="259.36742400635268"/>
    <n v="297.44391015816416"/>
    <n v="299.8586848348653"/>
    <n v="311.07707752463398"/>
    <n v="307.49272003346744"/>
    <n v="322.33576291780668"/>
    <n v="321.25826936506883"/>
    <n v="313.11609126249539"/>
    <n v="321.1647520187783"/>
    <n v="308.57691785097694"/>
    <n v="323.06063895706978"/>
    <n v="3670.1264352754397"/>
  </r>
  <r>
    <x v="22"/>
    <n v="899.83147945205485"/>
    <n v="812.75101369863023"/>
    <n v="899.83147945205485"/>
    <n v="870.80465753424664"/>
    <n v="899.83147945205485"/>
    <n v="870.80465753424664"/>
    <n v="899.83147945205485"/>
    <n v="899.83147945205485"/>
    <n v="870.80465753424664"/>
    <n v="899.83147945205485"/>
    <n v="870.80465753424664"/>
    <n v="899.83147945205383"/>
    <n v="10594.79"/>
    <n v="930.99177413226164"/>
    <n v="846.14849478790904"/>
    <n v="970.36749248045953"/>
    <n v="978.24534362452857"/>
    <n v="1014.8437180146558"/>
    <n v="1003.1502730589084"/>
    <n v="1051.5735414889036"/>
    <n v="1048.0583754988584"/>
    <n v="1021.495703751697"/>
    <n v="1047.7532887590587"/>
    <n v="1006.6873107376091"/>
    <n v="1053.9383441308696"/>
    <n v="11973.253660465718"/>
  </r>
  <r>
    <x v="23"/>
    <n v="2978.6246666666698"/>
    <n v="2651.2799999999997"/>
    <n v="2978.6246666666671"/>
    <n v="2850.8637362637364"/>
    <n v="2945.8925274725279"/>
    <n v="2850.8637362637364"/>
    <n v="2877.3019565217396"/>
    <n v="2913.8719565217393"/>
    <n v="2819.8760869565222"/>
    <n v="2913.8719565217393"/>
    <n v="2819.8760869565222"/>
    <n v="2877.3019565217396"/>
    <n v="34478.24933333334"/>
    <n v="3081.7715608068761"/>
    <n v="2760.2261251600676"/>
    <n v="3212.1131732286585"/>
    <n v="3202.6059474749054"/>
    <n v="3322.4226910491257"/>
    <n v="3284.1403760799662"/>
    <n v="3362.5125120039029"/>
    <n v="3393.8664948946962"/>
    <n v="3307.8501395417161"/>
    <n v="3392.8785502453825"/>
    <n v="3259.8969815224182"/>
    <n v="3370.0742070811448"/>
    <n v="38950.358759088864"/>
  </r>
  <r>
    <x v="24"/>
    <n v="1818.9500547945204"/>
    <n v="1642.38263013699"/>
    <n v="1818.9500547945204"/>
    <n v="1723.7"/>
    <n v="1818.9500547945204"/>
    <n v="1760.2742465753424"/>
    <n v="1818.9500547945204"/>
    <n v="1818.9500547945204"/>
    <n v="1760.2742465753424"/>
    <n v="1818.9500547945204"/>
    <n v="1760.2742465753424"/>
    <n v="1818.9500547945208"/>
    <n v="21379.555753424662"/>
    <n v="1881.9385376496543"/>
    <n v="1709.8712483076947"/>
    <n v="1961.5339582173387"/>
    <n v="1936.3717042812048"/>
    <n v="2051.4397180399928"/>
    <n v="2027.8021894263625"/>
    <n v="2125.6866364316002"/>
    <n v="2118.580959961937"/>
    <n v="2064.8862689744537"/>
    <n v="2117.9642472165533"/>
    <n v="2034.9520780737353"/>
    <n v="2130.4669291790869"/>
    <n v="24161.494475759617"/>
  </r>
  <r>
    <x v="25"/>
    <n v="383.94188888888891"/>
    <n v="346.78622222222225"/>
    <n v="383.94188888888891"/>
    <n v="367.47362637362642"/>
    <n v="379.7227472527473"/>
    <n v="367.47362637362642"/>
    <n v="375.59532608695656"/>
    <n v="375.59532608695656"/>
    <n v="363.39934782608702"/>
    <n v="375.59532608695656"/>
    <n v="363.47934782608701"/>
    <n v="375.59532608695645"/>
    <n v="4458.6000000000004"/>
    <n v="397.23742552107944"/>
    <n v="361.03632600983025"/>
    <n v="414.03833549610044"/>
    <n v="412.81286313134166"/>
    <n v="428.25712751389727"/>
    <n v="423.32257349479465"/>
    <n v="438.9334183556814"/>
    <n v="437.46616593516723"/>
    <n v="426.28489562932504"/>
    <n v="437.33882080873354"/>
    <n v="420.19762297529189"/>
    <n v="439.9205018704543"/>
    <n v="5036.8460767416973"/>
  </r>
  <r>
    <x v="26"/>
    <n v="3778.8099726027399"/>
    <n v="3413.1186849315072"/>
    <n v="3778.8099726027399"/>
    <n v="3656.9128767123289"/>
    <n v="3778.8099726027399"/>
    <n v="3656.9128767123289"/>
    <n v="3778.8099726027399"/>
    <n v="3778.8099726027399"/>
    <n v="3656.9128767123289"/>
    <n v="3778.8099726027399"/>
    <n v="3656.9128767123289"/>
    <n v="3778.8099726027431"/>
    <n v="44492.44"/>
    <n v="3909.6665107164185"/>
    <n v="3553.3702070018712"/>
    <n v="4075.0234253946792"/>
    <n v="4108.1061782719353"/>
    <n v="4261.7997367709968"/>
    <n v="4212.6935347521849"/>
    <n v="4416.045310976674"/>
    <n v="4401.2834976795602"/>
    <n v="4289.7345119091697"/>
    <n v="4400.002296875643"/>
    <n v="4227.5471974200927"/>
    <n v="4425.9762147189476"/>
    <n v="50281.248622488172"/>
  </r>
  <r>
    <x v="27"/>
    <m/>
    <m/>
    <m/>
    <m/>
    <m/>
    <m/>
    <m/>
    <m/>
    <n v="3012.2950819672133"/>
    <n v="3112.7049180327867"/>
    <n v="3012.2950819672133"/>
    <n v="3162.7049180327867"/>
    <n v="12300"/>
    <n v="0"/>
    <n v="0"/>
    <n v="0"/>
    <n v="0"/>
    <n v="0"/>
    <n v="0"/>
    <n v="0"/>
    <n v="0"/>
    <n v="3533.5668660463743"/>
    <n v="3624.3973335888622"/>
    <n v="3482.3415435102233"/>
    <n v="3704.3558270664421"/>
    <n v="14344.661570211902"/>
  </r>
  <r>
    <x v="28"/>
    <n v="2985.2586666666666"/>
    <n v="2696.3626666666664"/>
    <n v="2985.2586666666666"/>
    <n v="3289.0153846153844"/>
    <n v="3398.6492307692306"/>
    <n v="3289.0153846153844"/>
    <n v="3361.7073913043478"/>
    <n v="3361.7073913043478"/>
    <n v="3253.2652173913043"/>
    <n v="3361.7073913043478"/>
    <n v="3253.2652173913043"/>
    <n v="3361.7073913043473"/>
    <n v="38596.92"/>
    <n v="3088.6352898168361"/>
    <n v="2807.1613241300806"/>
    <n v="3219.2671993903514"/>
    <n v="3694.817152471308"/>
    <n v="3833.048632263673"/>
    <n v="3788.8826760691932"/>
    <n v="3928.6051084543037"/>
    <n v="3915.4726944854206"/>
    <n v="3816.236413043478"/>
    <n v="3914.3329117910012"/>
    <n v="3760.9132937866225"/>
    <n v="3937.4398455156452"/>
    <n v="43704.812541217914"/>
  </r>
  <r>
    <x v="29"/>
    <n v="4918.3071232876709"/>
    <n v="4442.3419178082186"/>
    <n v="4918.3071232876709"/>
    <n v="4759.6520547945202"/>
    <n v="4918.3071232876709"/>
    <n v="4759.6520547945202"/>
    <n v="4918.3071232876709"/>
    <n v="4918.3071232876709"/>
    <n v="4759.6520547945202"/>
    <n v="4918.3071232876709"/>
    <n v="4759.6520547945202"/>
    <n v="4918.3071232876828"/>
    <n v="57909.1"/>
    <n v="5088.6233467017792"/>
    <n v="4624.886175141035"/>
    <n v="5303.8435078751127"/>
    <n v="5346.9023386482586"/>
    <n v="5546.9420678354645"/>
    <n v="5483.0279295385399"/>
    <n v="5747.7002726278733"/>
    <n v="5728.4870462369645"/>
    <n v="5583.3005522645926"/>
    <n v="5726.8195003466044"/>
    <n v="5502.3607024051698"/>
    <n v="5760.6258325185445"/>
    <n v="65443.519272139936"/>
  </r>
  <r>
    <x v="30"/>
    <n v="451.15333333333331"/>
    <n v="407.49333333333334"/>
    <n v="451.15333333333331"/>
    <m/>
    <m/>
    <m/>
    <m/>
    <m/>
    <m/>
    <m/>
    <m/>
    <n v="0"/>
    <n v="1309.8"/>
    <n v="466.77633734424518"/>
    <n v="424.23800748892103"/>
    <n v="486.51835236688197"/>
    <n v="0"/>
    <n v="0"/>
    <n v="0"/>
    <n v="0"/>
    <n v="0"/>
    <n v="0"/>
    <n v="0"/>
    <n v="0"/>
    <n v="0"/>
    <n v="1377.5326972000482"/>
  </r>
  <r>
    <x v="31"/>
    <n v="4599.6967671232878"/>
    <n v="4154.5648219178083"/>
    <n v="4599.6967671232878"/>
    <n v="4451.3194520547941"/>
    <n v="4599.6967671232878"/>
    <n v="4451.3194520547941"/>
    <n v="4599.6967671232878"/>
    <n v="4599.6967671232878"/>
    <n v="4451.3194520547941"/>
    <n v="4599.6967671232878"/>
    <n v="4451.3194520547941"/>
    <n v="4599.6967671232924"/>
    <n v="54157.72"/>
    <n v="4758.9798217575117"/>
    <n v="4325.2837724150295"/>
    <n v="4960.2579149618659"/>
    <n v="5000.5273734846087"/>
    <n v="5187.6084305584809"/>
    <n v="5127.8346815980212"/>
    <n v="5375.3614200342263"/>
    <n v="5357.3928359053862"/>
    <n v="5221.6115944711828"/>
    <n v="5355.8333144585449"/>
    <n v="5145.915067923047"/>
    <n v="5387.4496557934044"/>
    <n v="61204.05588336131"/>
  </r>
  <r>
    <x v="32"/>
    <n v="3549.9390958904105"/>
    <n v="3206.3966027397259"/>
    <n v="3549.9390958904105"/>
    <n v="3435.4249315068491"/>
    <n v="3549.9390958904105"/>
    <n v="3435.4249315068491"/>
    <n v="3549.9390958904105"/>
    <n v="3549.9390958904105"/>
    <n v="3435.4249315068491"/>
    <n v="3549.9390958904105"/>
    <n v="3435.4249315068491"/>
    <n v="3549.9390958904114"/>
    <n v="41797.67"/>
    <n v="3672.8700566877496"/>
    <n v="3338.1535222634648"/>
    <n v="3828.2118125442521"/>
    <n v="3859.2908450148275"/>
    <n v="4003.6756582385901"/>
    <n v="3957.5436675692617"/>
    <n v="4148.5790532784977"/>
    <n v="4134.7113175284603"/>
    <n v="4029.9185101197086"/>
    <n v="4133.5077151095811"/>
    <n v="3971.4976896567123"/>
    <n v="4157.9084727803547"/>
    <n v="47235.868320791458"/>
  </r>
  <r>
    <x v="33"/>
    <n v="7861.6492602739727"/>
    <n v="7100.8444931506856"/>
    <n v="7976.8861883785476"/>
    <n v="7755.5672790760145"/>
    <n v="8014.0861883785474"/>
    <n v="7791.5490547769496"/>
    <n v="8051.2673566028461"/>
    <n v="8051.2673566028461"/>
    <n v="7791.5490547769496"/>
    <n v="8051.2673566028461"/>
    <n v="7791.5490547769496"/>
    <n v="8051.2673566028334"/>
    <n v="94288.75"/>
    <n v="8133.8905779168499"/>
    <n v="7392.6316649669307"/>
    <n v="8602.1785469568404"/>
    <n v="8712.4563612298934"/>
    <n v="9038.4090906183228"/>
    <n v="8975.7151552028627"/>
    <n v="9408.983705273864"/>
    <n v="9377.5316591574901"/>
    <n v="9139.8614099767146"/>
    <n v="9374.8018870110682"/>
    <n v="9007.3628988658638"/>
    <n v="9430.1428431244967"/>
    <n v="106593.9658003012"/>
  </r>
  <r>
    <x v="34"/>
    <n v="8301.1283333333322"/>
    <n v="7497.73"/>
    <n v="8301.1283333333322"/>
    <n v="7945.0714285714284"/>
    <n v="8209.9071428571424"/>
    <n v="8043.2022696929234"/>
    <n v="8425.9295865501826"/>
    <n v="8425.9295865501826"/>
    <n v="8153.26540633889"/>
    <n v="8510.1087169849598"/>
    <n v="8235.6471454693219"/>
    <n v="8510.1687169849647"/>
    <n v="98559.21666666666"/>
    <n v="8588.5883866339718"/>
    <n v="7805.8259502566289"/>
    <n v="8951.8373934642495"/>
    <n v="8925.3417084056164"/>
    <n v="9259.2589608954204"/>
    <n v="9265.6148348553961"/>
    <n v="9846.8266758796108"/>
    <n v="9813.9110224561555"/>
    <n v="9564.1720701235099"/>
    <n v="9909.0714200705152"/>
    <n v="9520.7592257627821"/>
    <n v="9967.6365304703377"/>
    <n v="111418.84417927418"/>
  </r>
  <r>
    <x v="35"/>
    <n v="3467.7729589041096"/>
    <n v="3132.1820273972603"/>
    <n v="3467.7729589041096"/>
    <n v="3355.9093150684935"/>
    <n v="3467.7729589041096"/>
    <n v="3355.9093150684935"/>
    <n v="3467.7729589041096"/>
    <n v="3467.7729589041096"/>
    <n v="3355.9093150684935"/>
    <n v="3467.7729589041096"/>
    <n v="3355.9093150684935"/>
    <n v="3467.7729589041192"/>
    <n v="40830.230000000003"/>
    <n v="3587.8585857698258"/>
    <n v="3260.8893292216385"/>
    <n v="3739.6048343101115"/>
    <n v="3769.9645180903572"/>
    <n v="3911.0074310669243"/>
    <n v="3865.9432016640289"/>
    <n v="4052.5569228749673"/>
    <n v="4039.0101667937492"/>
    <n v="3936.642871467358"/>
    <n v="4037.8344227010425"/>
    <n v="3879.5742469174047"/>
    <n v="4061.6704056128269"/>
    <n v="46142.55693649024"/>
  </r>
  <r>
    <x v="36"/>
    <n v="1995.1183835616439"/>
    <n v="1802.0424109589042"/>
    <n v="1995.1183835616439"/>
    <n v="1930.7597260273972"/>
    <n v="1995.1183835616439"/>
    <n v="1930.7597260273972"/>
    <n v="1995.1183835616439"/>
    <n v="1995.1183835616439"/>
    <n v="1971.7441522569054"/>
    <n v="2037.4689573321357"/>
    <n v="1971.7441522569054"/>
    <n v="2037.4689573321348"/>
    <n v="23657.579999999998"/>
    <n v="2064.2074054210875"/>
    <n v="1876.0917524272061"/>
    <n v="2151.5117744461336"/>
    <n v="2168.9786512996361"/>
    <n v="2250.1250561783345"/>
    <n v="2224.1981937256178"/>
    <n v="2331.5629117233188"/>
    <n v="2323.769038705806"/>
    <n v="2312.9506290551162"/>
    <n v="2372.405110887189"/>
    <n v="2279.420305029832"/>
    <n v="2386.4097979949574"/>
    <n v="26741.630626894239"/>
  </r>
  <r>
    <x v="37"/>
    <n v="3763.6945856353591"/>
    <n v="3399.4660773480659"/>
    <n v="3763.6945856353591"/>
    <n v="3642.2850828729279"/>
    <n v="3763.6945856353591"/>
    <n v="3642.2850828729279"/>
    <n v="3702.33"/>
    <n v="3702.33"/>
    <n v="3582.8999999999996"/>
    <n v="3702.33"/>
    <n v="3582.8999999999996"/>
    <n v="3702.3299999999981"/>
    <n v="43950.240000000005"/>
    <n v="3894.0276925034495"/>
    <n v="3539.1565878713482"/>
    <n v="4058.7231730870576"/>
    <n v="4091.6735936651739"/>
    <n v="4244.7523719482551"/>
    <n v="4195.8425966488048"/>
    <n v="4326.6682248451561"/>
    <n v="4312.2051783780007"/>
    <n v="4202.9138513513508"/>
    <n v="4310.9499080133201"/>
    <n v="4141.9851564125684"/>
    <n v="4336.3981353510253"/>
    <n v="49655.296470075511"/>
  </r>
  <r>
    <x v="38"/>
    <n v="6704.99"/>
    <n v="6056.12"/>
    <n v="6704.99"/>
    <n v="6488.7"/>
    <n v="6704.99"/>
    <n v="6488.7"/>
    <n v="6595.6695108695649"/>
    <n v="6595.6695108695649"/>
    <n v="6382.9059782608692"/>
    <n v="6595.6695108695649"/>
    <n v="6382.9059782608692"/>
    <n v="6595.669510869564"/>
    <n v="78296.979999999981"/>
    <n v="6937.1773250700962"/>
    <n v="6304.9774603604255"/>
    <n v="7230.5809276293794"/>
    <n v="7289.2818225732162"/>
    <n v="7561.9903684572619"/>
    <n v="7474.8580183625745"/>
    <n v="7707.9227660039323"/>
    <n v="7682.1569713239041"/>
    <n v="7487.4553986731289"/>
    <n v="7679.9207178099768"/>
    <n v="7378.911445123661"/>
    <n v="7725.2565190910591"/>
    <n v="88460.489740478617"/>
  </r>
  <r>
    <x v="39"/>
    <n v="1815.4211506849315"/>
    <n v="1639.7352328767122"/>
    <n v="1815.4211506849315"/>
    <n v="1756.8591780821916"/>
    <n v="1815.4211506849315"/>
    <n v="1756.8591780821916"/>
    <n v="1815.4211506849315"/>
    <n v="1815.4211506849315"/>
    <n v="1756.8591780821916"/>
    <n v="1815.4211506849315"/>
    <n v="1756.8591780821916"/>
    <n v="1815.4211506849315"/>
    <n v="21375.119999999999"/>
    <n v="1878.2874310005188"/>
    <n v="1707.1150644713982"/>
    <n v="1957.7284302821404"/>
    <n v="1973.6220925016476"/>
    <n v="2047.4597659613289"/>
    <n v="2023.8680959855676"/>
    <n v="2121.5626395757058"/>
    <n v="2114.4707486692191"/>
    <n v="2060.880229544613"/>
    <n v="2113.8552323943682"/>
    <n v="2031.0041132947117"/>
    <n v="2126.3336581846979"/>
    <n v="24156.187501865919"/>
  </r>
  <r>
    <x v="40"/>
    <n v="2692.8912154696136"/>
    <n v="2432.2888397790057"/>
    <n v="2692.8912154696136"/>
    <n v="2606.0237569060778"/>
    <n v="2692.8912154696136"/>
    <n v="2606.0237569060778"/>
    <n v="2648.9853804347827"/>
    <n v="2648.9853804347827"/>
    <n v="2563.5342391304348"/>
    <n v="2648.9853804347827"/>
    <n v="2563.5342391304348"/>
    <n v="2648.9853804347822"/>
    <n v="31446.020000000004"/>
    <n v="2786.1434362819714"/>
    <n v="2532.236202699557"/>
    <n v="2903.9816409502905"/>
    <n v="2927.5573844390146"/>
    <n v="3037.0839381840074"/>
    <n v="3002.0894131879663"/>
    <n v="3095.6940287890411"/>
    <n v="3085.3458430119645"/>
    <n v="3007.1488353162945"/>
    <n v="3084.4477078256009"/>
    <n v="2963.5548763386219"/>
    <n v="3102.6556963559492"/>
    <n v="35527.939003380285"/>
  </r>
  <r>
    <x v="41"/>
    <n v="5531.9328729281769"/>
    <n v="4996.58453038674"/>
    <n v="5531.9328729281769"/>
    <n v="5353.4834254143643"/>
    <n v="5531.9328729281769"/>
    <n v="5353.4834254143643"/>
    <n v="5441.7383152173916"/>
    <n v="5441.7383152173916"/>
    <n v="5266.198369565217"/>
    <n v="5441.7383152173916"/>
    <n v="5266.198369565217"/>
    <n v="5441.7383152173934"/>
    <n v="64598.700000000004"/>
    <n v="5723.4983631425584"/>
    <n v="5201.903668169386"/>
    <n v="5965.5701684745954"/>
    <n v="6014.0011743985579"/>
    <n v="6238.9985822551535"/>
    <n v="6167.1102853621996"/>
    <n v="6359.3996905660761"/>
    <n v="6338.1416951645078"/>
    <n v="6177.5037180522913"/>
    <n v="6336.2966805819515"/>
    <n v="6087.9498388074462"/>
    <n v="6373.7008541045625"/>
    <n v="72984.07471907929"/>
  </r>
  <r>
    <x v="42"/>
    <n v="1339.1035555555554"/>
    <n v="1209.5128888888887"/>
    <n v="1339.1035555555554"/>
    <n v="1281.6659340659339"/>
    <n v="1324.3881318681317"/>
    <n v="1281.6659340659339"/>
    <n v="1309.9926086956521"/>
    <n v="1309.9926086956521"/>
    <n v="1267.7347826086957"/>
    <n v="1309.9926086956521"/>
    <n v="1267.7347826086957"/>
    <n v="1309.9926086956521"/>
    <n v="15550.879999999994"/>
    <n v="1385.4754177889517"/>
    <n v="1259.2140681591295"/>
    <n v="1444.0732393218616"/>
    <n v="1439.7990654211374"/>
    <n v="1493.6652101324414"/>
    <n v="1476.4545878396143"/>
    <n v="1530.901728053818"/>
    <n v="1525.7842793198597"/>
    <n v="1487.1138121817469"/>
    <n v="1525.3401279612165"/>
    <n v="1465.5554583809574"/>
    <n v="1534.3444548896109"/>
    <n v="17567.721449450346"/>
  </r>
  <r>
    <x v="43"/>
    <n v="493.99877777777778"/>
    <n v="446.19244444444445"/>
    <n v="493.99877777777778"/>
    <n v="472.80989010989015"/>
    <n v="488.57021978021982"/>
    <n v="-961.38010989010991"/>
    <n v="0"/>
    <n v="0"/>
    <n v="0"/>
    <n v="0"/>
    <n v="0"/>
    <n v="0"/>
    <n v="1434.19"/>
    <n v="511.10547813081621"/>
    <n v="464.52733849483559"/>
    <n v="532.7223666063968"/>
    <n v="531.14561275923711"/>
    <n v="551.01697337252847"/>
    <n v="-1107.4914579355466"/>
    <n v="0"/>
    <n v="0"/>
    <n v="0"/>
    <n v="0"/>
    <n v="0"/>
    <n v="0"/>
    <n v="1483.0263114282677"/>
  </r>
  <r>
    <x v="44"/>
    <n v="1185.502"/>
    <n v="1070.7759999999998"/>
    <n v="1185.502"/>
    <n v="1147.26"/>
    <n v="1185.502"/>
    <n v="1147.26"/>
    <n v="1185.502"/>
    <n v="1185.502"/>
    <n v="1147.26"/>
    <n v="1185.502"/>
    <n v="1147.26"/>
    <n v="1185.5019999999986"/>
    <n v="13958.33"/>
    <n v="1226.5547887804828"/>
    <n v="1114.7762172967007"/>
    <n v="1278.431161100387"/>
    <n v="1288.8100025837762"/>
    <n v="1337.02730440863"/>
    <n v="1321.6215282177704"/>
    <n v="1385.4177866074558"/>
    <n v="1380.7866568829563"/>
    <n v="1345.7911036036035"/>
    <n v="1380.3847139097832"/>
    <n v="1326.2814732607337"/>
    <n v="1388.5333458267921"/>
    <n v="15774.416082479071"/>
  </r>
  <r>
    <x v="45"/>
    <n v="1789.2235555555558"/>
    <n v="1616.0728888888891"/>
    <n v="1789.2235555555558"/>
    <n v="1712.4791208791212"/>
    <n v="1769.5617582417585"/>
    <n v="1712.4791208791212"/>
    <n v="1750.3273913043481"/>
    <n v="1750.3273913043481"/>
    <n v="1693.8652173913047"/>
    <n v="1750.3273913043481"/>
    <n v="1693.8652173913047"/>
    <n v="1750.3273913043477"/>
    <n v="20778.080000000002"/>
    <n v="1851.1826384649787"/>
    <n v="1682.480389877348"/>
    <n v="1929.4772573956452"/>
    <n v="1923.7663826899593"/>
    <n v="1995.7388411040845"/>
    <n v="1972.7431208072173"/>
    <n v="2045.491867832591"/>
    <n v="2038.6542638391138"/>
    <n v="1986.9852869173524"/>
    <n v="2038.0608175221212"/>
    <n v="1958.180408997832"/>
    <n v="2050.0918167494528"/>
    <n v="23472.853092197696"/>
  </r>
  <r>
    <x v="46"/>
    <n v="29942.105303867404"/>
    <n v="27044.482209944799"/>
    <n v="29942.105303867404"/>
    <n v="28976.23093922652"/>
    <n v="29942.105303867404"/>
    <n v="28976.23093922652"/>
    <n v="29453.918804347828"/>
    <n v="29453.928804347797"/>
    <n v="28503.792391304301"/>
    <n v="29453.918804347828"/>
    <n v="28503.792391304349"/>
    <n v="29453.918804347806"/>
    <n v="349646.52999999991"/>
    <n v="30978.971479278865"/>
    <n v="28155.791292249902"/>
    <n v="32289.207820326974"/>
    <n v="32551.345180388598"/>
    <n v="33769.1647443439"/>
    <n v="33380.062597747325"/>
    <n v="34420.847030907826"/>
    <n v="34305.797785093579"/>
    <n v="33436.318026586312"/>
    <n v="34295.799823417976"/>
    <n v="32951.599259328512"/>
    <n v="34498.253419320907"/>
    <n v="395033.15845899063"/>
  </r>
  <r>
    <x v="47"/>
    <n v="5094.8270684931513"/>
    <n v="4601.7792876712338"/>
    <n v="4668.1506301369873"/>
    <n v="4788.2523287671238"/>
    <n v="4947.8607397260275"/>
    <n v="4788.2523287671238"/>
    <n v="4947.8607397260275"/>
    <n v="4947.8607397260275"/>
    <n v="4788.2623287671204"/>
    <n v="5048.9476962477675"/>
    <n v="4886.0784157236458"/>
    <n v="5048.9676962477679"/>
    <n v="58557.100000000006"/>
    <n v="5271.2560070490845"/>
    <n v="4790.8751290133923"/>
    <n v="5034.0777411404897"/>
    <n v="5379.03134094288"/>
    <n v="5580.2730888899223"/>
    <n v="5515.9748969174416"/>
    <n v="5782.237629690344"/>
    <n v="5762.9089529403864"/>
    <n v="5616.861778302271"/>
    <n v="5878.9358611208017"/>
    <n v="5648.5149658084738"/>
    <n v="5913.6635857571837"/>
    <n v="66174.610977572665"/>
  </r>
  <r>
    <x v="48"/>
    <n v="0"/>
    <m/>
    <m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n v="755.50397260273974"/>
    <n v="682.39068493150683"/>
    <n v="755.50397260273974"/>
    <n v="731.13287671232877"/>
    <n v="837.49580933743357"/>
    <n v="810.47981548783901"/>
    <n v="855.69146151134657"/>
    <n v="855.69146151134657"/>
    <n v="828.08851114001288"/>
    <n v="855.69146151134657"/>
    <n v="828.08851114001288"/>
    <n v="855.69146151134669"/>
    <n v="9651.4499999999989"/>
    <n v="781.6663451757729"/>
    <n v="710.43141279450595"/>
    <n v="814.72643733243444"/>
    <n v="821.34072897573355"/>
    <n v="944.54059496479363"/>
    <n v="933.65721138599304"/>
    <n v="999.99002163298655"/>
    <n v="996.64728736311133"/>
    <n v="971.38761160380636"/>
    <n v="996.35716624129213"/>
    <n v="957.30562430927944"/>
    <n v="1002.2388220751794"/>
    <n v="10930.289263854889"/>
  </r>
  <r>
    <x v="1"/>
    <n v="1591.9069041095888"/>
    <n v="1470.1285230087769"/>
    <n v="1627.6422933311458"/>
    <n v="1575.1377032236894"/>
    <n v="1627.6422933311458"/>
    <n v="1575.1377032236894"/>
    <n v="1627.6422933311458"/>
    <n v="1627.6422933311458"/>
    <n v="1575.1377032236894"/>
    <n v="1627.6422933311458"/>
    <n v="1575.1377032236894"/>
    <n v="1627.6422933311467"/>
    <n v="19128.440000000002"/>
    <n v="1647.0331020346898"/>
    <n v="1530.5388931202326"/>
    <n v="1755.2299590548423"/>
    <n v="1769.4796535759342"/>
    <n v="1835.6798959377738"/>
    <n v="1814.5284403604426"/>
    <n v="1902.1179073637322"/>
    <n v="1895.7595692036125"/>
    <n v="1847.7122081734344"/>
    <n v="1895.2077191159331"/>
    <n v="1820.9263406900295"/>
    <n v="1906.3954336376428"/>
    <n v="21620.609122268295"/>
  </r>
  <r>
    <x v="2"/>
    <n v="32.930493150684931"/>
    <n v="29.743671232876711"/>
    <n v="32.930493150684931"/>
    <n v="31.868219178082192"/>
    <n v="32.930493150684931"/>
    <n v="31.868219178082192"/>
    <n v="32.930493150684931"/>
    <n v="32.930493150684931"/>
    <n v="31.868219178082192"/>
    <n v="32.930493150684931"/>
    <n v="31.868219178082192"/>
    <n v="32.930493150684924"/>
    <n v="387.73"/>
    <n v="34.070844309731648"/>
    <n v="30.965895112986278"/>
    <n v="35.51184949012189"/>
    <n v="35.800149609717458"/>
    <n v="37.139514307109671"/>
    <n v="36.711577612499212"/>
    <n v="38.483689553213665"/>
    <n v="38.355047521675495"/>
    <n v="37.382952301616683"/>
    <n v="38.343882479081685"/>
    <n v="36.841020066683072"/>
    <n v="38.570232554855963"/>
    <n v="438.17665491929273"/>
  </r>
  <r>
    <x v="3"/>
    <n v="43.905342465753428"/>
    <n v="39.656438356164387"/>
    <n v="43.905342465753428"/>
    <n v="42.489041095890414"/>
    <n v="43.905342465753428"/>
    <n v="42.489041095890414"/>
    <n v="43.905342465753428"/>
    <n v="43.905342465753428"/>
    <n v="42.489041095890414"/>
    <n v="43.905342465753428"/>
    <n v="42.489041095890414"/>
    <n v="43.905342465753392"/>
    <n v="516.95000000000005"/>
    <n v="45.425742052241965"/>
    <n v="41.285996643690865"/>
    <n v="47.346995574029641"/>
    <n v="47.731378383781092"/>
    <n v="49.517117378228008"/>
    <n v="48.946560871692853"/>
    <n v="51.309270148128348"/>
    <n v="51.137755181002625"/>
    <n v="49.841686720967544"/>
    <n v="51.122869129449043"/>
    <n v="49.119143020843929"/>
    <n v="51.424655608884486"/>
    <n v="584.20917071294036"/>
  </r>
  <r>
    <x v="4"/>
    <n v="494.11706849315067"/>
    <n v="446.29928767123283"/>
    <n v="494.11706849315067"/>
    <n v="478.17780821917808"/>
    <n v="494.11706849315067"/>
    <n v="478.17780821917808"/>
    <n v="494.11706849315067"/>
    <n v="494.11706849315067"/>
    <n v="478.17780821917808"/>
    <n v="494.11706849315067"/>
    <n v="478.17780821917808"/>
    <n v="494.11706849315124"/>
    <n v="5817.83"/>
    <n v="511.22786513936524"/>
    <n v="464.63857211251377"/>
    <n v="532.84992989739214"/>
    <n v="537.17582958218998"/>
    <n v="557.27279426748476"/>
    <n v="550.85166889672269"/>
    <n v="577.44194050853184"/>
    <n v="575.51168628434561"/>
    <n v="560.92554455140066"/>
    <n v="575.34415650910626"/>
    <n v="552.79393334163149"/>
    <n v="578.74050515724332"/>
    <n v="6574.7744262479273"/>
  </r>
  <r>
    <x v="5"/>
    <n v="22.091534246575343"/>
    <n v="19.95364383561644"/>
    <n v="22.091534246575343"/>
    <n v="21.37890410958904"/>
    <n v="22.091534246575343"/>
    <n v="21.37890410958904"/>
    <n v="22.091534246575343"/>
    <n v="22.091534246575343"/>
    <n v="21.37890410958904"/>
    <n v="22.091534246575343"/>
    <n v="21.37890410958904"/>
    <n v="22.091534246575378"/>
    <n v="260.11"/>
    <n v="22.85654273180899"/>
    <n v="20.773576916511136"/>
    <n v="23.823245998183285"/>
    <n v="24.016653121975622"/>
    <n v="24.915170521812335"/>
    <n v="24.628087722866866"/>
    <n v="25.81691509474739"/>
    <n v="25.730615146785169"/>
    <n v="25.078481735159816"/>
    <n v="25.72312503967693"/>
    <n v="24.714924637105547"/>
    <n v="25.874972764149287"/>
    <n v="293.95231143078234"/>
  </r>
  <r>
    <x v="6"/>
    <n v="374.10884931506848"/>
    <n v="337.90476712328768"/>
    <n v="374.10884931506848"/>
    <n v="362.04082191780822"/>
    <n v="374.10884931506848"/>
    <n v="362.04082191780822"/>
    <n v="374.10884931506848"/>
    <n v="374.10884931506848"/>
    <n v="362.04082191780822"/>
    <n v="374.10884931506848"/>
    <n v="362.04082191780822"/>
    <n v="374.10884931506916"/>
    <n v="4404.83"/>
    <n v="387.06387728789429"/>
    <n v="351.7899150711458"/>
    <n v="403.43450336464451"/>
    <n v="406.70975422425852"/>
    <n v="421.92568747681605"/>
    <n v="417.06408690290897"/>
    <n v="437.19627125753004"/>
    <n v="435.73482571609588"/>
    <n v="424.6912794643959"/>
    <n v="435.6079845777561"/>
    <n v="418.53462569398187"/>
    <n v="438.17944823616057"/>
    <n v="4977.932259273588"/>
  </r>
  <r>
    <x v="7"/>
    <n v="238.31016438356161"/>
    <n v="215.24789041095889"/>
    <n v="238.31016438356161"/>
    <n v="230.62273972602736"/>
    <n v="238.31016438356161"/>
    <n v="230.62273972602736"/>
    <n v="238.31016438356161"/>
    <n v="238.31016438356161"/>
    <n v="230.62273972602736"/>
    <n v="238.31016438356161"/>
    <n v="230.62273972602736"/>
    <n v="238.3101643835621"/>
    <n v="2805.91"/>
    <n v="246.56261511133809"/>
    <n v="224.09283459231767"/>
    <n v="256.99082764508267"/>
    <n v="259.07718719573495"/>
    <n v="268.76985167374744"/>
    <n v="265.67297536607344"/>
    <n v="278.4973289512231"/>
    <n v="277.5663770962899"/>
    <n v="270.5315546711094"/>
    <n v="277.4855783325512"/>
    <n v="266.6097196897498"/>
    <n v="279.12362011708183"/>
    <n v="3170.9804704422995"/>
  </r>
  <r>
    <x v="8"/>
    <n v="54.279726027397267"/>
    <n v="49.026849315068496"/>
    <n v="54.279726027397267"/>
    <n v="52.528767123287679"/>
    <n v="54.279726027397267"/>
    <n v="52.528767123287679"/>
    <n v="54.279726027397267"/>
    <n v="54.279726027397267"/>
    <n v="52.528767123287679"/>
    <n v="54.279726027397267"/>
    <n v="52.528767123287679"/>
    <n v="54.279726027397146"/>
    <n v="639.1"/>
    <n v="56.159380492480594"/>
    <n v="51.041455566269143"/>
    <n v="58.534606579673756"/>
    <n v="59.00981511766031"/>
    <n v="61.217505980124812"/>
    <n v="60.512132804137543"/>
    <n v="63.433126127611622"/>
    <n v="63.221083927224647"/>
    <n v="61.618767740343088"/>
    <n v="63.202680453875395"/>
    <n v="60.725494350752214"/>
    <n v="63.575775993109637"/>
    <n v="722.25182513326274"/>
  </r>
  <r>
    <x v="9"/>
    <n v="66.084356164383564"/>
    <n v="59.689095890410961"/>
    <n v="66.084356164383564"/>
    <n v="63.952602739726025"/>
    <n v="66.084356164383564"/>
    <n v="63.952602739726025"/>
    <n v="66.084356164383564"/>
    <n v="66.084356164383564"/>
    <n v="63.952602739726025"/>
    <n v="66.084356164383564"/>
    <n v="63.952602739726025"/>
    <n v="66.084356164383621"/>
    <n v="778.09"/>
    <n v="68.372793565004258"/>
    <n v="62.141834081612195"/>
    <n v="71.264578365793071"/>
    <n v="71.843134165076364"/>
    <n v="74.530948565287616"/>
    <n v="73.672172451214792"/>
    <n v="77.228416693214399"/>
    <n v="76.970260042143977"/>
    <n v="75.019475811427867"/>
    <n v="76.947854223683152"/>
    <n v="73.931935376899986"/>
    <n v="77.40208972379726"/>
    <n v="879.32549306515511"/>
  </r>
  <r>
    <x v="10"/>
    <n v="143.69476712328768"/>
    <n v="129.78882191780824"/>
    <n v="143.69476712328768"/>
    <n v="139.05945205479452"/>
    <n v="143.69476712328768"/>
    <n v="139.05945205479452"/>
    <n v="143.69476712328768"/>
    <n v="143.69476712328768"/>
    <n v="139.05945205479452"/>
    <n v="143.69476712328768"/>
    <n v="139.05945205479452"/>
    <n v="143.69476712328787"/>
    <n v="1691.89"/>
    <n v="148.67077806512748"/>
    <n v="135.12209084339713"/>
    <n v="154.9587162041687"/>
    <n v="156.21673619060911"/>
    <n v="162.06115817980498"/>
    <n v="160.19382314190619"/>
    <n v="167.92657137231234"/>
    <n v="167.36523186611186"/>
    <n v="163.12341879550783"/>
    <n v="167.31651233470072"/>
    <n v="160.75865535455193"/>
    <n v="168.30420848847228"/>
    <n v="1912.0179008366708"/>
  </r>
  <r>
    <x v="11"/>
    <n v="418.8337808219178"/>
    <n v="378.30147945205476"/>
    <n v="418.8337808219178"/>
    <n v="405.32301369863012"/>
    <n v="418.8337808219178"/>
    <n v="405.32301369863012"/>
    <n v="418.8337808219178"/>
    <n v="418.8337808219178"/>
    <n v="405.32301369863012"/>
    <n v="418.8337808219178"/>
    <n v="405.32301369863012"/>
    <n v="418.83378082191848"/>
    <n v="4931.43"/>
    <n v="433.33758995780556"/>
    <n v="393.84660494940789"/>
    <n v="451.66533394648803"/>
    <n v="455.33214295991792"/>
    <n v="472.36714992265195"/>
    <n v="466.92434215976834"/>
    <n v="489.46334091611288"/>
    <n v="487.82717870635798"/>
    <n v="475.46337004813029"/>
    <n v="487.68517363582333"/>
    <n v="468.57068472246897"/>
    <n v="490.56405727695483"/>
    <n v="5573.0469692018887"/>
  </r>
  <r>
    <x v="12"/>
    <n v="7.5325753424657531"/>
    <n v="6.8036164383561646"/>
    <n v="7.5325753424657531"/>
    <n v="7.2895890410958906"/>
    <n v="7.5325753424657531"/>
    <n v="7.2895890410958906"/>
    <n v="7.5325753424657531"/>
    <n v="7.5325753424657531"/>
    <n v="7.2895890410958906"/>
    <n v="7.5325753424657531"/>
    <n v="7.2895890410958906"/>
    <n v="7.5325753424657478"/>
    <n v="88.69"/>
    <n v="7.7934211482993314"/>
    <n v="7.0831899455052572"/>
    <n v="8.1230390510894459"/>
    <n v="8.1889852961747653"/>
    <n v="8.4953537871651843"/>
    <n v="8.3974668414942233"/>
    <n v="8.8028226510059042"/>
    <n v="8.7733968604374173"/>
    <n v="8.5510381957299764"/>
    <n v="8.7708429501708771"/>
    <n v="8.4270757220594792"/>
    <n v="8.8226186400076685"/>
    <n v="100.22925108913952"/>
  </r>
  <r>
    <x v="13"/>
    <n v="158.78454794520547"/>
    <n v="143.41830136986303"/>
    <n v="158.78454794520547"/>
    <n v="153.66246575342467"/>
    <n v="158.78454794520547"/>
    <n v="153.66246575342467"/>
    <n v="158.78454794520547"/>
    <n v="158.78454794520547"/>
    <n v="153.66246575342467"/>
    <n v="158.78454794520547"/>
    <n v="153.66246575342467"/>
    <n v="158.7845479452053"/>
    <n v="1869.56"/>
    <n v="164.28310341655765"/>
    <n v="149.31163146373672"/>
    <n v="171.231355151142"/>
    <n v="172.62148325985447"/>
    <n v="179.0796439996904"/>
    <n v="177.01621499812765"/>
    <n v="185.56100028655541"/>
    <n v="184.94071298229085"/>
    <n v="180.25345551030483"/>
    <n v="184.88687727952944"/>
    <n v="177.64036178750163"/>
    <n v="185.97829410996428"/>
    <n v="2112.8041342452552"/>
  </r>
  <r>
    <x v="14"/>
    <n v="498.56153424657526"/>
    <n v="450.3136438356164"/>
    <n v="498.56153424657526"/>
    <n v="482.478904109589"/>
    <n v="498.56153424657526"/>
    <n v="482.478904109589"/>
    <n v="498.56153424657526"/>
    <n v="498.56153424657526"/>
    <n v="482.478904109589"/>
    <n v="498.56153424657526"/>
    <n v="488.38054345385132"/>
    <n v="504.659894902313"/>
    <n v="5882.16"/>
    <n v="515.82623844741011"/>
    <n v="468.81788578765514"/>
    <n v="537.64278854598274"/>
    <n v="542.007598671702"/>
    <n v="562.28533078436772"/>
    <n v="555.8064489149366"/>
    <n v="582.63589370874752"/>
    <n v="580.68827730595672"/>
    <n v="565.97093669011474"/>
    <n v="580.51924064015191"/>
    <n v="564.58873026502431"/>
    <n v="591.0889162340568"/>
    <n v="6647.8782859961066"/>
  </r>
  <r>
    <x v="15"/>
    <n v="269.52419178082192"/>
    <n v="243.44120547945207"/>
    <n v="269.52419178082192"/>
    <n v="260.82986301369863"/>
    <n v="269.52419178082192"/>
    <n v="260.82986301369863"/>
    <n v="269.52419178082192"/>
    <n v="275.60262315337093"/>
    <n v="266.71221595487509"/>
    <n v="275.60262315337093"/>
    <n v="266.71221595487509"/>
    <n v="275.60262315337064"/>
    <n v="3203.4299999999994"/>
    <n v="278.85755411712199"/>
    <n v="253.44466646481845"/>
    <n v="290.65166102039439"/>
    <n v="293.01129336385031"/>
    <n v="303.97350962683066"/>
    <n v="300.47100235430162"/>
    <n v="314.97509849342282"/>
    <n v="321.00192547302015"/>
    <n v="312.86624431643565"/>
    <n v="320.90848274768973"/>
    <n v="308.33069287978901"/>
    <n v="322.8028568874542"/>
    <n v="3621.2949877451292"/>
  </r>
  <r>
    <x v="16"/>
    <n v="1171.112904109589"/>
    <n v="1057.779397260274"/>
    <n v="1171.112904109589"/>
    <n v="1133.3350684931506"/>
    <n v="1171.112904109589"/>
    <n v="1133.3350684931506"/>
    <n v="1171.112904109589"/>
    <n v="1171.112904109589"/>
    <n v="1133.3350684931506"/>
    <n v="1171.112904109589"/>
    <n v="1133.3350684931506"/>
    <n v="1171.1129041095901"/>
    <n v="13788.91"/>
    <n v="1211.6674124027077"/>
    <n v="1101.2455594934818"/>
    <n v="1262.9141323932547"/>
    <n v="1273.1670001158775"/>
    <n v="1320.7990617812591"/>
    <n v="1305.5802740483493"/>
    <n v="1368.6022018342749"/>
    <n v="1364.0272827021547"/>
    <n v="1329.4564898802912"/>
    <n v="1363.6302183339803"/>
    <n v="1310.1836587514169"/>
    <n v="1371.6799457818058"/>
    <n v="15582.953237518852"/>
  </r>
  <r>
    <x v="17"/>
    <n v="30.229205479452101"/>
    <n v="27.60186301369863"/>
    <n v="30.559205479452057"/>
    <n v="29.573424657534247"/>
    <n v="30.559205479452057"/>
    <n v="29.573424657534247"/>
    <n v="30.559205479452057"/>
    <n v="30.559205479452057"/>
    <n v="29.573424657534247"/>
    <n v="30.559205479452057"/>
    <n v="29.573424657534247"/>
    <n v="30.559205479452089"/>
    <n v="359.48000000000008"/>
    <n v="31.276013656536374"/>
    <n v="28.736075930682674"/>
    <n v="32.954681260260386"/>
    <n v="33.222221213402214"/>
    <n v="34.465139769533266"/>
    <n v="34.068018313654711"/>
    <n v="35.712522472188915"/>
    <n v="35.593143808253323"/>
    <n v="34.69104806861656"/>
    <n v="35.582782747784236"/>
    <n v="34.18813976270404"/>
    <n v="35.792833609890238"/>
    <n v="406.28262061350694"/>
  </r>
  <r>
    <x v="18"/>
    <n v="96.22739726027396"/>
    <n v="86.915068493150685"/>
    <n v="96.22739726027396"/>
    <n v="93.123287671232873"/>
    <n v="96.22739726027396"/>
    <n v="93.123287671232873"/>
    <n v="96.22739726027396"/>
    <n v="96.22739726027396"/>
    <n v="93.123287671232873"/>
    <n v="96.22739726027396"/>
    <n v="93.123287671232873"/>
    <n v="96.227397260274074"/>
    <n v="1133"/>
    <n v="99.559659048631659"/>
    <n v="90.486573551217234"/>
    <n v="103.77047293814793"/>
    <n v="104.61292525161808"/>
    <n v="108.52673177199405"/>
    <n v="107.27624232058805"/>
    <n v="112.45459537253005"/>
    <n v="112.07868579180959"/>
    <n v="109.23809083055657"/>
    <n v="112.04606001289439"/>
    <n v="107.65449084556758"/>
    <n v="112.70748583976443"/>
    <n v="1280.4120135753196"/>
  </r>
  <r>
    <x v="19"/>
    <n v="118.54145205479452"/>
    <n v="107.06969863013698"/>
    <n v="118.54145205479452"/>
    <n v="114.71753424657534"/>
    <n v="118.54145205479452"/>
    <n v="114.71753424657534"/>
    <n v="118.54145205479452"/>
    <n v="118.54145205479452"/>
    <n v="114.71753424657534"/>
    <n v="118.54145205479452"/>
    <n v="114.71753424657534"/>
    <n v="118.54145205479472"/>
    <n v="1395.73"/>
    <n v="122.64642799995295"/>
    <n v="111.46939567752905"/>
    <n v="127.83368243068071"/>
    <n v="128.87148999244565"/>
    <n v="133.69286437433828"/>
    <n v="132.15240043611152"/>
    <n v="138.53155551571172"/>
    <n v="138.06847671686003"/>
    <n v="134.5691796248303"/>
    <n v="138.02828538552259"/>
    <n v="132.61836055417834"/>
    <n v="138.84308844760326"/>
    <n v="1577.3252071557642"/>
  </r>
  <r>
    <x v="20"/>
    <n v="129.1808219178082"/>
    <n v="116.67945205479452"/>
    <n v="129.1808219178082"/>
    <n v="125.01369863013699"/>
    <n v="129.1808219178082"/>
    <n v="125.01369863013699"/>
    <n v="129.1808219178082"/>
    <n v="129.1808219178082"/>
    <n v="125.01369863013699"/>
    <n v="129.1808219178082"/>
    <n v="125.01369863013699"/>
    <n v="129.18082191780809"/>
    <n v="1521"/>
    <n v="133.65422896113748"/>
    <n v="121.47403210185473"/>
    <n v="139.30705149066461"/>
    <n v="140.43800468465236"/>
    <n v="145.69210858358602"/>
    <n v="144.01338443920073"/>
    <n v="150.96508346126936"/>
    <n v="150.46044226773378"/>
    <n v="146.64707515734912"/>
    <n v="150.416643671326"/>
    <n v="144.52116555702409"/>
    <n v="151.30457719530568"/>
    <n v="1718.8937975711037"/>
  </r>
  <r>
    <x v="21"/>
    <m/>
    <m/>
    <m/>
    <m/>
    <m/>
    <m/>
    <m/>
    <m/>
    <n v="2376"/>
    <n v="269.80219780219778"/>
    <n v="261.09890109890108"/>
    <n v="285.10000000000002"/>
    <n v="3192.0010989010989"/>
    <n v="0"/>
    <n v="0"/>
    <n v="0"/>
    <n v="0"/>
    <n v="0"/>
    <n v="0"/>
    <n v="0"/>
    <n v="0"/>
    <n v="2787.1621621621621"/>
    <n v="314.15453506229221"/>
    <n v="301.84146158343282"/>
    <n v="333.92677270491231"/>
    <n v="3737.0849315127994"/>
  </r>
  <r>
    <x v="22"/>
    <n v="40.694082191780822"/>
    <n v="36.755945205479449"/>
    <n v="40.694082191780822"/>
    <n v="39.381369863013695"/>
    <n v="40.694082191780822"/>
    <n v="39.381369863013695"/>
    <n v="40.694082191780822"/>
    <n v="40.694082191780822"/>
    <n v="39.381369863013695"/>
    <n v="40.694082191780822"/>
    <n v="39.381369863013695"/>
    <n v="40.694082191780865"/>
    <n v="479.14"/>
    <n v="42.103278937829991"/>
    <n v="38.266316726681573"/>
    <n v="43.884010947558878"/>
    <n v="44.240279792639264"/>
    <n v="45.89540888017055"/>
    <n v="45.366583182247624"/>
    <n v="47.556482636181862"/>
    <n v="47.397512365655473"/>
    <n v="46.196239047266438"/>
    <n v="47.383715087888987"/>
    <n v="45.526542580534205"/>
    <n v="47.663428742510796"/>
    <n v="541.47979892716569"/>
  </r>
  <r>
    <x v="23"/>
    <n v="229.24202739726024"/>
    <n v="207.05731506849312"/>
    <n v="229.24202739726024"/>
    <n v="221.84712328767122"/>
    <n v="229.24202739726024"/>
    <n v="221.84712328767122"/>
    <n v="229.24202739726024"/>
    <n v="229.24202739726024"/>
    <n v="221.84712328767122"/>
    <n v="229.24202739726024"/>
    <n v="221.84712328767122"/>
    <n v="229.24202739726024"/>
    <n v="2699.14"/>
    <n v="237.1804573031983"/>
    <n v="215.5656929700198"/>
    <n v="247.21185730474195"/>
    <n v="249.21882706412396"/>
    <n v="258.54266795680496"/>
    <n v="255.56363344853668"/>
    <n v="267.89999695835019"/>
    <n v="267.0044695217166"/>
    <n v="260.23733493767736"/>
    <n v="266.92674529850285"/>
    <n v="256.46473293989874"/>
    <n v="268.50245660153701"/>
    <n v="3050.318872305108"/>
  </r>
  <r>
    <x v="24"/>
    <n v="125.81498630136986"/>
    <n v="113.63934246575342"/>
    <n v="125.81498630136986"/>
    <n v="121.75643835616438"/>
    <n v="125.81498630136986"/>
    <n v="121.75643835616438"/>
    <n v="125.81498630136986"/>
    <n v="125.81498630136986"/>
    <n v="121.75643835616438"/>
    <n v="125.81498630136986"/>
    <n v="121.75643835616438"/>
    <n v="125.81498630137003"/>
    <n v="1481.37"/>
    <n v="130.17183770950706"/>
    <n v="118.30899864215945"/>
    <n v="135.67737466582898"/>
    <n v="136.7788606178195"/>
    <n v="141.89606764790719"/>
    <n v="140.26108304187954"/>
    <n v="147.03165396911282"/>
    <n v="146.54016131633978"/>
    <n v="142.82615235098112"/>
    <n v="146.49750390229599"/>
    <n v="140.75563380750086"/>
    <n v="147.36230211690369"/>
    <n v="1674.1076297882357"/>
  </r>
  <r>
    <x v="25"/>
    <n v="92.751150684931503"/>
    <n v="83.775232876712323"/>
    <n v="92.751150684931503"/>
    <n v="89.759178082191767"/>
    <n v="92.751150684931503"/>
    <n v="89.759178082191767"/>
    <n v="92.751150684931503"/>
    <n v="92.751150684931503"/>
    <n v="89.759178082191767"/>
    <n v="92.751150684931503"/>
    <n v="89.759178082191767"/>
    <n v="92.751150684931531"/>
    <n v="1092.07"/>
    <n v="95.963033413273777"/>
    <n v="87.217716132460538"/>
    <n v="100.02173025733735"/>
    <n v="100.83374870214877"/>
    <n v="104.60616766658566"/>
    <n v="103.40085256049831"/>
    <n v="108.39213589450918"/>
    <n v="108.02980617181068"/>
    <n v="105.29182864371219"/>
    <n v="107.99835900995727"/>
    <n v="103.76543673232037"/>
    <n v="108.63589060991302"/>
    <n v="1234.1567057945272"/>
  </r>
  <r>
    <x v="26"/>
    <n v="67.31841095890411"/>
    <n v="60.803726027397261"/>
    <n v="67.31841095890411"/>
    <n v="65.146849315068494"/>
    <n v="67.31841095890411"/>
    <n v="65.146849315068494"/>
    <n v="67.31841095890411"/>
    <n v="67.31841095890411"/>
    <n v="65.146849315068494"/>
    <n v="67.31841095890411"/>
    <n v="65.146849315068494"/>
    <n v="67.31841095890411"/>
    <n v="792.62"/>
    <n v="69.649582484665871"/>
    <n v="63.302266485583232"/>
    <n v="72.595368279112819"/>
    <n v="73.184727990236127"/>
    <n v="75.922734454649543"/>
    <n v="75.047921613543252"/>
    <n v="78.670574919836525"/>
    <n v="78.407597468935677"/>
    <n v="76.420384425521405"/>
    <n v="78.384773245737293"/>
    <n v="75.312535334522309"/>
    <n v="78.847491108838469"/>
    <n v="895.74595781118262"/>
  </r>
  <r>
    <x v="27"/>
    <n v="237.03279452054792"/>
    <n v="214.09413698630135"/>
    <n v="237.03279452054792"/>
    <n v="235.11384806973845"/>
    <n v="242.95097633872973"/>
    <n v="240.8376798454394"/>
    <n v="248.86560250695402"/>
    <n v="248.86560250695402"/>
    <n v="240.8376798454394"/>
    <n v="248.86560250695402"/>
    <n v="240.8376798454394"/>
    <n v="248.86560250695425"/>
    <n v="2884.2"/>
    <n v="245.24101116421417"/>
    <n v="222.89167125056099"/>
    <n v="255.61332728057278"/>
    <n v="264.12241265122219"/>
    <n v="274.00383044281381"/>
    <n v="277.44039057384703"/>
    <n v="290.83277142334231"/>
    <n v="289.8605850506703"/>
    <n v="282.51417023911341"/>
    <n v="289.77620747881281"/>
    <n v="278.41862598025409"/>
    <n v="291.48680281448878"/>
    <n v="3262.2018063499127"/>
  </r>
  <r>
    <x v="28"/>
    <n v="774.0402739726029"/>
    <n v="699.13315068493159"/>
    <n v="790.92514325364868"/>
    <n v="765.41142895514383"/>
    <n v="790.24514325364908"/>
    <n v="765.41142895514383"/>
    <n v="824.62079542756169"/>
    <n v="824.62079542756169"/>
    <n v="798.02012460731771"/>
    <n v="824.62079542756169"/>
    <n v="798.02012460731771"/>
    <n v="824.62079542756021"/>
    <n v="9479.6899999999987"/>
    <n v="800.84454075155759"/>
    <n v="727.86185822923972"/>
    <n v="852.9242036143778"/>
    <n v="859.84860077866449"/>
    <n v="891.25057039670799"/>
    <n v="881.73929401447333"/>
    <n v="963.67978897693308"/>
    <n v="960.45843137724546"/>
    <n v="936.11594947367405"/>
    <n v="960.17884472597473"/>
    <n v="922.54528751626287"/>
    <n v="965.84693413708476"/>
    <n v="10723.294303992197"/>
  </r>
  <r>
    <x v="29"/>
    <n v="201.26134246575342"/>
    <n v="181.78443835616437"/>
    <n v="201.26134246575342"/>
    <n v="194.7690410958904"/>
    <n v="201.26134246575342"/>
    <n v="194.7690410958904"/>
    <n v="201.26134246575342"/>
    <n v="201.26134246575342"/>
    <n v="200.50592634179205"/>
    <n v="207.18945721985179"/>
    <n v="200.50592634179205"/>
    <n v="207.18945721985222"/>
    <n v="2393.0200000000004"/>
    <n v="208.23082828857193"/>
    <n v="189.25430580634062"/>
    <n v="217.03782172709603"/>
    <n v="218.79982598367772"/>
    <n v="226.98562313572515"/>
    <n v="224.37020182230742"/>
    <n v="235.20082092526985"/>
    <n v="234.41459923565162"/>
    <n v="235.20308551730486"/>
    <n v="241.24898956690782"/>
    <n v="231.79339939168116"/>
    <n v="242.67312096775777"/>
    <n v="2705.2126223682922"/>
  </r>
  <r>
    <x v="30"/>
    <n v="123.18890410958905"/>
    <n v="111.26739726027397"/>
    <n v="123.18890410958905"/>
    <n v="119.21506849315068"/>
    <n v="123.18890410958905"/>
    <n v="119.21506849315068"/>
    <n v="123.18890410958905"/>
    <n v="123.18890410958905"/>
    <n v="119.21506849315068"/>
    <n v="123.18890410958905"/>
    <n v="119.21506849315068"/>
    <n v="123.18890410958898"/>
    <n v="1450.45"/>
    <n v="127.45481682885068"/>
    <n v="115.83958570817566"/>
    <n v="132.84543907602534"/>
    <n v="133.92393418465088"/>
    <n v="138.93433194941642"/>
    <n v="137.33347367510763"/>
    <n v="143.96272538224733"/>
    <n v="143.48149144459862"/>
    <n v="139.84500339380475"/>
    <n v="143.43972440044368"/>
    <n v="137.81770189492806"/>
    <n v="144.28647205320922"/>
    <n v="1639.1646999914583"/>
  </r>
  <r>
    <x v="31"/>
    <n v="201.60701369863017"/>
    <n v="182.09665753424659"/>
    <n v="201.60701369863017"/>
    <n v="195.10356164383563"/>
    <n v="201.60701369863017"/>
    <n v="195.10356164383563"/>
    <n v="201.60701369863017"/>
    <n v="201.60701369863017"/>
    <n v="195.10356164383563"/>
    <n v="201.60701369863017"/>
    <n v="195.10356164383563"/>
    <n v="201.60701369863"/>
    <n v="2373.7600000000002"/>
    <n v="208.58846978224182"/>
    <n v="189.57935466278678"/>
    <n v="217.41058944541757"/>
    <n v="219.17561998700882"/>
    <n v="227.37547644403236"/>
    <n v="224.75556308112897"/>
    <n v="235.60478403486053"/>
    <n v="234.81721199043778"/>
    <n v="228.86585215352341"/>
    <n v="234.74885738412027"/>
    <n v="225.5480354718222"/>
    <n v="236.1346174642531"/>
    <n v="2682.6044319016332"/>
  </r>
  <r>
    <x v="32"/>
    <n v="346.87810958904112"/>
    <n v="313.3092602739726"/>
    <n v="346.87810958904112"/>
    <n v="335.68849315068496"/>
    <n v="346.87810958904112"/>
    <n v="335.68849315068496"/>
    <n v="346.87810958904112"/>
    <n v="346.87810958904112"/>
    <n v="335.68849315068496"/>
    <n v="346.87810958904112"/>
    <n v="335.68849315068496"/>
    <n v="346.87810958903992"/>
    <n v="4084.21"/>
    <n v="358.89016335658607"/>
    <n v="326.1837321832453"/>
    <n v="374.06919971642833"/>
    <n v="377.1060506989507"/>
    <n v="391.21444233936091"/>
    <n v="386.70670930994618"/>
    <n v="405.3735065899744"/>
    <n v="404.01843715601649"/>
    <n v="393.77873164260154"/>
    <n v="403.90082856598718"/>
    <n v="388.07021011154075"/>
    <n v="406.28511980725705"/>
    <n v="4615.5971314778944"/>
  </r>
  <r>
    <x v="33"/>
    <n v="128.16928767123287"/>
    <n v="115.76580821917807"/>
    <n v="128.16928767123287"/>
    <n v="124.03479452054793"/>
    <n v="128.16928767123287"/>
    <n v="124.03479452054793"/>
    <n v="128.16928767123287"/>
    <n v="128.16928767123287"/>
    <n v="124.03479452054793"/>
    <n v="128.16928767123287"/>
    <n v="124.03479452054793"/>
    <n v="128.16928767123295"/>
    <n v="1509.09"/>
    <n v="132.60766626098814"/>
    <n v="120.52284490768437"/>
    <n v="138.21622507169434"/>
    <n v="139.33832247834451"/>
    <n v="144.55128477475597"/>
    <n v="142.88570566952887"/>
    <n v="149.78297028308154"/>
    <n v="149.28228061920734"/>
    <n v="145.49877360236948"/>
    <n v="149.23882498222312"/>
    <n v="143.38951067090696"/>
    <n v="150.11980565395413"/>
    <n v="1705.434214974739"/>
  </r>
  <r>
    <x v="34"/>
    <n v="150.39841095890409"/>
    <n v="135.84372602739725"/>
    <n v="150.39841095890409"/>
    <n v="145.54684931506847"/>
    <n v="150.39841095890409"/>
    <n v="145.54684931506847"/>
    <n v="150.39841095890409"/>
    <n v="150.39841095890409"/>
    <n v="145.54684931506847"/>
    <n v="150.39841095890409"/>
    <n v="145.54684931506847"/>
    <n v="150.39841095890438"/>
    <n v="1770.82"/>
    <n v="155.60656260944211"/>
    <n v="141.42580245010282"/>
    <n v="162.18784544424636"/>
    <n v="163.50455454022094"/>
    <n v="169.62163032346206"/>
    <n v="167.66718042907652"/>
    <n v="175.76067659098294"/>
    <n v="175.17314949148476"/>
    <n v="170.73344748858443"/>
    <n v="175.12215709799969"/>
    <n v="168.25836317665309"/>
    <n v="176.15593122221694"/>
    <n v="2001.2173008644727"/>
  </r>
  <r>
    <x v="35"/>
    <n v="324.15978082191782"/>
    <n v="292.78947945205476"/>
    <n v="324.15978082191782"/>
    <n v="313.70301369863012"/>
    <n v="324.15978082191782"/>
    <n v="313.70301369863012"/>
    <n v="324.15978082191782"/>
    <n v="324.15978082191782"/>
    <n v="313.70301369863012"/>
    <n v="324.15978082191782"/>
    <n v="313.70301369863012"/>
    <n v="324.15978082191759"/>
    <n v="3816.72"/>
    <n v="335.38512081561652"/>
    <n v="304.82075463760088"/>
    <n v="349.57002601278737"/>
    <n v="352.4079824063158"/>
    <n v="365.5923633616992"/>
    <n v="361.37985841997778"/>
    <n v="378.82409819085871"/>
    <n v="377.55777725976657"/>
    <n v="367.98870788596815"/>
    <n v="377.44787129074524"/>
    <n v="362.65405851729452"/>
    <n v="379.67600649103701"/>
    <n v="4313.3046252896684"/>
  </r>
  <r>
    <x v="36"/>
    <n v="107.60312328767124"/>
    <n v="97.189917808219178"/>
    <n v="107.60312328767124"/>
    <n v="104.13205479452056"/>
    <n v="107.60312328767124"/>
    <n v="104.13205479452056"/>
    <n v="107.60312328767124"/>
    <n v="107.60312328767124"/>
    <n v="104.13205479452056"/>
    <n v="107.60312328767124"/>
    <n v="104.13205479452056"/>
    <n v="107.60312328767122"/>
    <n v="1266.94"/>
    <n v="111.32931547667557"/>
    <n v="101.18363591789864"/>
    <n v="116.03791966836467"/>
    <n v="116.97996427033101"/>
    <n v="121.35644973628435"/>
    <n v="119.9581310199875"/>
    <n v="125.74865406996756"/>
    <n v="125.3283055402253"/>
    <n v="122.15190361594472"/>
    <n v="125.29182283560145"/>
    <n v="120.38109499724926"/>
    <n v="126.03144052059223"/>
    <n v="1431.7786376691222"/>
  </r>
  <r>
    <x v="37"/>
    <n v="63.593315068493155"/>
    <n v="57.439123287671237"/>
    <n v="63.593315068493155"/>
    <n v="61.541917808219182"/>
    <n v="63.593315068493155"/>
    <n v="61.541917808219182"/>
    <n v="63.593315068493155"/>
    <n v="63.593315068493155"/>
    <n v="61.541917808219182"/>
    <n v="63.593315068493155"/>
    <n v="61.541917808219182"/>
    <n v="63.593315068493098"/>
    <n v="748.76"/>
    <n v="65.795490122906841"/>
    <n v="59.799405836018906"/>
    <n v="68.578269476758749"/>
    <n v="69.135016691440043"/>
    <n v="71.721514282081444"/>
    <n v="70.895109620444416"/>
    <n v="74.317301704444489"/>
    <n v="74.068876234311887"/>
    <n v="72.191626558064911"/>
    <n v="74.047315000224899"/>
    <n v="71.145080816881901"/>
    <n v="74.484428153029"/>
    <n v="846.17943449660743"/>
  </r>
  <r>
    <x v="38"/>
    <n v="54.47591780821918"/>
    <n v="49.204054794520545"/>
    <n v="54.47591780821918"/>
    <n v="52.718630136986299"/>
    <n v="54.47591780821918"/>
    <n v="52.718630136986299"/>
    <n v="54.47591780821918"/>
    <n v="54.47591780821918"/>
    <n v="52.718630136986299"/>
    <n v="54.47591780821918"/>
    <n v="52.718630136986299"/>
    <n v="54.475917808219151"/>
    <n v="641.41"/>
    <n v="56.36236620510401"/>
    <n v="51.225942755062874"/>
    <n v="58.746177446829194"/>
    <n v="59.223103606037384"/>
    <n v="61.438774074028878"/>
    <n v="60.730851356441647"/>
    <n v="63.662402487109006"/>
    <n v="63.449593869130268"/>
    <n v="61.841486177958778"/>
    <n v="63.431123877202644"/>
    <n v="60.944984089369378"/>
    <n v="63.805567954530616"/>
    <n v="724.86237389880466"/>
  </r>
  <r>
    <x v="39"/>
    <n v="74.840794520547945"/>
    <n v="67.59813698630137"/>
    <n v="74.840794520547945"/>
    <n v="72.426575342465753"/>
    <n v="74.840794520547945"/>
    <n v="72.426575342465753"/>
    <n v="74.840794520547945"/>
    <n v="74.840794520547945"/>
    <n v="72.426575342465753"/>
    <n v="74.840794520547945"/>
    <n v="72.426575342465753"/>
    <n v="74.840794520548002"/>
    <n v="881.19"/>
    <n v="77.43245892062113"/>
    <n v="70.375872681021278"/>
    <n v="80.707416635804577"/>
    <n v="81.362633364936755"/>
    <n v="84.406593795378157"/>
    <n v="83.434026452320381"/>
    <n v="87.461487110608786"/>
    <n v="87.16912368304034"/>
    <n v="84.959852832284341"/>
    <n v="87.143749005085979"/>
    <n v="83.728208992238038"/>
    <n v="87.658172504097081"/>
    <n v="995.83959597743683"/>
  </r>
  <r>
    <x v="40"/>
    <n v="2822.7020273972603"/>
    <n v="2549.5373150684932"/>
    <n v="2822.7020273972603"/>
    <n v="2731.6471232876715"/>
    <n v="2822.7020273972603"/>
    <n v="2731.6471232876715"/>
    <n v="2822.7020273972603"/>
    <n v="2822.7020273972603"/>
    <n v="2731.6471232876715"/>
    <n v="2822.7020273972603"/>
    <n v="2731.6471232876715"/>
    <n v="2822.702027397263"/>
    <n v="33235.040000000001"/>
    <n v="2920.4494711982661"/>
    <n v="2654.3026402803589"/>
    <n v="3043.9680661237994"/>
    <n v="3068.6802782476061"/>
    <n v="3183.4865591451839"/>
    <n v="3146.8051231901477"/>
    <n v="3298.7051856927196"/>
    <n v="3287.6783807927836"/>
    <n v="3204.3533259286687"/>
    <n v="3286.7213471941272"/>
    <n v="3157.9005378923857"/>
    <n v="3306.1233893945314"/>
    <n v="37559.174305080574"/>
  </r>
  <r>
    <x v="41"/>
    <n v="139.22906849315066"/>
    <n v="125.75528767123286"/>
    <n v="139.22852054794501"/>
    <n v="130.85095890410958"/>
    <n v="135.21265753424655"/>
    <n v="130.85095890410958"/>
    <n v="135.21265753424655"/>
    <n v="135.21265753424655"/>
    <n v="130.85095890410958"/>
    <n v="135.21265753424655"/>
    <n v="130.85095890410958"/>
    <n v="135.21265753424677"/>
    <n v="1603.6799999999998"/>
    <n v="144.05043660636574"/>
    <n v="130.92281102228236"/>
    <n v="150.14236937803432"/>
    <n v="146.99547154376083"/>
    <n v="152.49490513296553"/>
    <n v="150.73779638060245"/>
    <n v="158.01409084287314"/>
    <n v="157.48588645567227"/>
    <n v="153.49446192768107"/>
    <n v="157.44004277292859"/>
    <n v="151.26928730446645"/>
    <n v="158.36943654600339"/>
    <n v="1811.4169959136361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">
  <r>
    <x v="0"/>
    <n v="2423519.1880517672"/>
  </r>
  <r>
    <x v="1"/>
    <n v="-0.5"/>
  </r>
  <r>
    <x v="1"/>
    <n v="0"/>
  </r>
  <r>
    <x v="2"/>
    <n v="9651.4499999999989"/>
  </r>
  <r>
    <x v="2"/>
    <n v="139228.06000000006"/>
  </r>
  <r>
    <x v="2"/>
    <n v="10567.26"/>
  </r>
  <r>
    <x v="3"/>
    <n v="19128.440000000002"/>
  </r>
  <r>
    <x v="3"/>
    <n v="170337.2"/>
  </r>
  <r>
    <x v="3"/>
    <n v="387.73"/>
  </r>
  <r>
    <x v="3"/>
    <n v="7666.1"/>
  </r>
  <r>
    <x v="4"/>
    <n v="516.95000000000005"/>
  </r>
  <r>
    <x v="4"/>
    <n v="11829.44629834254"/>
  </r>
  <r>
    <x v="4"/>
    <n v="8074.24"/>
  </r>
  <r>
    <x v="5"/>
    <n v="5817.83"/>
  </r>
  <r>
    <x v="5"/>
    <n v="98598.38"/>
  </r>
  <r>
    <x v="5"/>
    <n v="30534.76"/>
  </r>
  <r>
    <x v="6"/>
    <n v="260.11"/>
  </r>
  <r>
    <x v="6"/>
    <n v="14425.44"/>
  </r>
  <r>
    <x v="7"/>
    <n v="4404.83"/>
  </r>
  <r>
    <x v="7"/>
    <n v="73404.02"/>
  </r>
  <r>
    <x v="7"/>
    <n v="28225.96"/>
  </r>
  <r>
    <x v="8"/>
    <n v="2805.91"/>
  </r>
  <r>
    <x v="9"/>
    <n v="48255.920000000006"/>
  </r>
  <r>
    <x v="9"/>
    <n v="8380.75"/>
  </r>
  <r>
    <x v="10"/>
    <n v="639.1"/>
  </r>
  <r>
    <x v="10"/>
    <n v="29512.679999999997"/>
  </r>
  <r>
    <x v="10"/>
    <n v="5828.88"/>
  </r>
  <r>
    <x v="11"/>
    <n v="778.09"/>
  </r>
  <r>
    <x v="11"/>
    <n v="6899.14"/>
  </r>
  <r>
    <x v="12"/>
    <n v="17409.400000000001"/>
  </r>
  <r>
    <x v="13"/>
    <n v="1691.89"/>
  </r>
  <r>
    <x v="13"/>
    <n v="37525.119999999995"/>
  </r>
  <r>
    <x v="13"/>
    <n v="6852.29"/>
  </r>
  <r>
    <x v="14"/>
    <n v="17695.96"/>
  </r>
  <r>
    <x v="15"/>
    <n v="10021.240000000002"/>
  </r>
  <r>
    <x v="16"/>
    <n v="4931.43"/>
  </r>
  <r>
    <x v="16"/>
    <n v="41181.339999999997"/>
  </r>
  <r>
    <x v="17"/>
    <n v="88.69"/>
  </r>
  <r>
    <x v="17"/>
    <n v="38313.1"/>
  </r>
  <r>
    <x v="17"/>
    <n v="1663.48"/>
  </r>
  <r>
    <x v="18"/>
    <n v="1869.56"/>
  </r>
  <r>
    <x v="18"/>
    <n v="31133.299999999996"/>
  </r>
  <r>
    <x v="18"/>
    <n v="19633.030000000002"/>
  </r>
  <r>
    <x v="19"/>
    <n v="5882.16"/>
  </r>
  <r>
    <x v="19"/>
    <n v="111777.58000000003"/>
  </r>
  <r>
    <x v="19"/>
    <n v="25977.19"/>
  </r>
  <r>
    <x v="20"/>
    <n v="33319.5"/>
  </r>
  <r>
    <x v="20"/>
    <n v="1647.01"/>
  </r>
  <r>
    <x v="21"/>
    <n v="3203.4299999999994"/>
  </r>
  <r>
    <x v="21"/>
    <n v="31047.489999999998"/>
  </r>
  <r>
    <x v="22"/>
    <n v="13788.91"/>
  </r>
  <r>
    <x v="22"/>
    <n v="161591.85999999999"/>
  </r>
  <r>
    <x v="22"/>
    <n v="123019.93999999999"/>
  </r>
  <r>
    <x v="23"/>
    <n v="359.48000000000008"/>
  </r>
  <r>
    <x v="23"/>
    <n v="17595.649999999998"/>
  </r>
  <r>
    <x v="23"/>
    <n v="6899.14"/>
  </r>
  <r>
    <x v="24"/>
    <n v="3247.59"/>
  </r>
  <r>
    <x v="24"/>
    <n v="8660.24"/>
  </r>
  <r>
    <x v="25"/>
    <n v="1133"/>
  </r>
  <r>
    <x v="25"/>
    <n v="10594.79"/>
  </r>
  <r>
    <x v="26"/>
    <n v="1395.73"/>
  </r>
  <r>
    <x v="26"/>
    <n v="34478.24933333334"/>
  </r>
  <r>
    <x v="26"/>
    <n v="7305.52"/>
  </r>
  <r>
    <x v="27"/>
    <n v="1521"/>
  </r>
  <r>
    <x v="27"/>
    <n v="21380.095753424655"/>
  </r>
  <r>
    <x v="27"/>
    <n v="6852.23"/>
  </r>
  <r>
    <x v="28"/>
    <n v="479.14"/>
  </r>
  <r>
    <x v="28"/>
    <n v="4458.6000000000004"/>
  </r>
  <r>
    <x v="28"/>
    <n v="8142.05"/>
  </r>
  <r>
    <x v="29"/>
    <n v="44492.44"/>
  </r>
  <r>
    <x v="29"/>
    <n v="22917.65"/>
  </r>
  <r>
    <x v="30"/>
    <n v="3192.0010989010989"/>
  </r>
  <r>
    <x v="30"/>
    <n v="12300"/>
  </r>
  <r>
    <x v="31"/>
    <n v="2699.14"/>
  </r>
  <r>
    <x v="31"/>
    <n v="38596.92"/>
  </r>
  <r>
    <x v="32"/>
    <n v="1309.8"/>
  </r>
  <r>
    <x v="33"/>
    <n v="1481.37"/>
  </r>
  <r>
    <x v="33"/>
    <n v="57909.1"/>
  </r>
  <r>
    <x v="33"/>
    <n v="9159.9"/>
  </r>
  <r>
    <x v="34"/>
    <n v="1092.07"/>
  </r>
  <r>
    <x v="34"/>
    <n v="54157.72"/>
  </r>
  <r>
    <x v="34"/>
    <n v="9159.9"/>
  </r>
  <r>
    <x v="35"/>
    <n v="792.62"/>
  </r>
  <r>
    <x v="35"/>
    <n v="41797.67"/>
  </r>
  <r>
    <x v="35"/>
    <n v="11122.65"/>
  </r>
  <r>
    <x v="36"/>
    <n v="2884.2"/>
  </r>
  <r>
    <x v="36"/>
    <n v="94288.75"/>
  </r>
  <r>
    <x v="36"/>
    <n v="23425.17"/>
  </r>
  <r>
    <x v="37"/>
    <n v="9479.6899999999987"/>
  </r>
  <r>
    <x v="37"/>
    <n v="98559.21666666666"/>
  </r>
  <r>
    <x v="37"/>
    <n v="8037.35"/>
  </r>
  <r>
    <x v="38"/>
    <n v="40830.230000000003"/>
  </r>
  <r>
    <x v="38"/>
    <n v="12085.06"/>
  </r>
  <r>
    <x v="38"/>
    <n v="2393.0200000000004"/>
  </r>
  <r>
    <x v="39"/>
    <n v="1450.45"/>
  </r>
  <r>
    <x v="39"/>
    <n v="23657.579999999998"/>
  </r>
  <r>
    <x v="39"/>
    <n v="11122.65"/>
  </r>
  <r>
    <x v="40"/>
    <n v="2373.7600000000002"/>
  </r>
  <r>
    <x v="40"/>
    <n v="43950.240000000005"/>
  </r>
  <r>
    <x v="41"/>
    <n v="4084.21"/>
  </r>
  <r>
    <x v="41"/>
    <n v="78296.979999999981"/>
  </r>
  <r>
    <x v="41"/>
    <n v="8965.85"/>
  </r>
  <r>
    <x v="42"/>
    <n v="1509.09"/>
  </r>
  <r>
    <x v="42"/>
    <n v="21375.119999999999"/>
  </r>
  <r>
    <x v="42"/>
    <n v="21786.83"/>
  </r>
  <r>
    <x v="43"/>
    <n v="1770.82"/>
  </r>
  <r>
    <x v="43"/>
    <n v="31446.020000000004"/>
  </r>
  <r>
    <x v="43"/>
    <n v="9407.91"/>
  </r>
  <r>
    <x v="44"/>
    <n v="3816.72"/>
  </r>
  <r>
    <x v="44"/>
    <n v="64598.700000000004"/>
  </r>
  <r>
    <x v="44"/>
    <n v="15854.24"/>
  </r>
  <r>
    <x v="45"/>
    <n v="1266.94"/>
  </r>
  <r>
    <x v="45"/>
    <n v="15550.879999999994"/>
  </r>
  <r>
    <x v="45"/>
    <n v="11639.97"/>
  </r>
  <r>
    <x v="46"/>
    <n v="748.76"/>
  </r>
  <r>
    <x v="46"/>
    <n v="1434.19"/>
  </r>
  <r>
    <x v="47"/>
    <n v="641.41"/>
  </r>
  <r>
    <x v="47"/>
    <n v="13958.33"/>
  </r>
  <r>
    <x v="47"/>
    <n v="6179.26"/>
  </r>
  <r>
    <x v="48"/>
    <n v="881.19"/>
  </r>
  <r>
    <x v="48"/>
    <n v="20778.080000000002"/>
  </r>
  <r>
    <x v="48"/>
    <n v="9184.2900000000009"/>
  </r>
  <r>
    <x v="49"/>
    <n v="33235.040000000001"/>
  </r>
  <r>
    <x v="49"/>
    <n v="349646.51999999996"/>
  </r>
  <r>
    <x v="49"/>
    <n v="17829.080000000002"/>
  </r>
  <r>
    <x v="50"/>
    <n v="1603.6799999999998"/>
  </r>
  <r>
    <x v="50"/>
    <n v="58557.090000000011"/>
  </r>
  <r>
    <x v="50"/>
    <n v="438.34000000000003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11498.216794520549"/>
    <n v="10385.486136986303"/>
    <n v="11498.216794520549"/>
    <n v="11127.306575342467"/>
    <n v="11930.951488398101"/>
    <n v="11546.082085546548"/>
    <n v="11967.595510137231"/>
    <n v="12009.806163732002"/>
    <n v="11622.393061676132"/>
    <n v="12009.806163732002"/>
    <n v="11622.393061676132"/>
    <n v="12009.806163732012"/>
    <n v="139228.06000000006"/>
    <n v="11896.388932077172"/>
    <n v="10812.245465509983"/>
    <n v="12399.539306726499"/>
    <n v="12500.203978276584"/>
    <n v="13455.909739134178"/>
    <n v="13300.865236152094"/>
    <n v="13985.737419816794"/>
    <n v="13988.150254180791"/>
    <n v="13633.625494646363"/>
    <n v="13984.078344393472"/>
    <n v="13435.981898310018"/>
    <n v="14066.628597217095"/>
    <n v="157459.35466644104"/>
  </r>
  <r>
    <x v="1"/>
    <n v="14407.71121092863"/>
    <n v="13188.63"/>
    <n v="14601.7013905693"/>
    <n v="14130.669087647759"/>
    <n v="14601.691390569349"/>
    <n v="14130.669087647759"/>
    <n v="14367.176325412012"/>
    <n v="14367.176325412012"/>
    <n v="13903.71902459227"/>
    <n v="14367.176325412012"/>
    <n v="13903.71902459227"/>
    <n v="14367.176325412009"/>
    <n v="170337.21551819539"/>
    <n v="14906.63632885542"/>
    <n v="13730.575827928331"/>
    <n v="15746.299932675482"/>
    <n v="15874.124142183806"/>
    <n v="16468.01108706661"/>
    <n v="16278.259918725171"/>
    <n v="16789.968827173088"/>
    <n v="16733.84386294887"/>
    <n v="16309.730462406473"/>
    <n v="16728.972689751066"/>
    <n v="16073.291975436718"/>
    <n v="16827.726493255883"/>
    <n v="192467.4415484069"/>
  </r>
  <r>
    <x v="2"/>
    <n v="651.09342465753423"/>
    <n v="588.0843835616439"/>
    <n v="651.09342465753423"/>
    <n v="630.09041095890416"/>
    <n v="651.09342465753423"/>
    <n v="630.09041095890416"/>
    <n v="651.09342465753423"/>
    <n v="651.09342465753423"/>
    <n v="630.09041095890416"/>
    <n v="651.09342465753423"/>
    <n v="630.09041095890416"/>
    <n v="651.09342465753434"/>
    <n v="7666.1"/>
    <n v="673.64016084087848"/>
    <n v="612.2498865851602"/>
    <n v="702.13135268414476"/>
    <n v="707.83155010717519"/>
    <n v="734.3131318952195"/>
    <n v="725.85207524612554"/>
    <n v="760.88982664197056"/>
    <n v="758.34634876309929"/>
    <n v="739.12632666913498"/>
    <n v="758.12559635026457"/>
    <n v="728.41137888014634"/>
    <n v="762.60093309463139"/>
    <n v="8663.5185677579502"/>
  </r>
  <r>
    <x v="3"/>
    <n v="1013.6314917127072"/>
    <n v="915.53812154696129"/>
    <n v="1013.6314917127072"/>
    <n v="980.93370165745853"/>
    <n v="1013.6314917127072"/>
    <n v="974.28"/>
    <n v="997.10489130434792"/>
    <n v="997.10489130434792"/>
    <n v="964.94021739130437"/>
    <n v="997.10489130434792"/>
    <n v="964.44021739130403"/>
    <n v="997.1048913043478"/>
    <n v="11829.44629834254"/>
    <n v="1048.7325708593703"/>
    <n v="953.15931990355455"/>
    <n v="1093.0880630131319"/>
    <n v="1101.962211327565"/>
    <n v="1143.1891140026248"/>
    <n v="1122.3518840646491"/>
    <n v="1165.2505449390533"/>
    <n v="1161.3553831421409"/>
    <n v="1131.9212384939287"/>
    <n v="1161.0173159734843"/>
    <n v="1114.9340100706388"/>
    <n v="1167.8709870275104"/>
    <n v="13364.832642817653"/>
  </r>
  <r>
    <x v="4"/>
    <n v="8374.1089863013694"/>
    <n v="7563.7113424657537"/>
    <n v="8374.1089863013694"/>
    <n v="8103.9764383561651"/>
    <n v="8374.1089863013694"/>
    <n v="8103.9764383561651"/>
    <n v="8374.1089863013694"/>
    <n v="8374.1089863013694"/>
    <n v="8103.9764383561651"/>
    <n v="8374.1089863013694"/>
    <n v="8103.9764383561651"/>
    <n v="8374.1089863013622"/>
    <n v="98598.38"/>
    <n v="8664.0962890974606"/>
    <n v="7874.5185912629004"/>
    <n v="9030.5388557239439"/>
    <n v="9103.8525656404563"/>
    <n v="9444.4483136920953"/>
    <n v="9335.6255121777795"/>
    <n v="9786.2673674200887"/>
    <n v="9753.5541496923597"/>
    <n v="9506.3537424410715"/>
    <n v="9750.7149184944101"/>
    <n v="9368.5422745788128"/>
    <n v="9808.2749494030813"/>
    <n v="111426.78752962446"/>
  </r>
  <r>
    <x v="5"/>
    <n v="1225.1743561643834"/>
    <n v="1106.609095890411"/>
    <n v="1225.1743561643834"/>
    <n v="1185.652602739726"/>
    <n v="1225.1743561643834"/>
    <n v="1185.652602739726"/>
    <n v="1225.1743561643834"/>
    <n v="1225.1743561643834"/>
    <n v="1185.652602739726"/>
    <n v="1225.1743561643834"/>
    <n v="1185.652602739726"/>
    <n v="1225.1743561643834"/>
    <n v="14425.44"/>
    <n v="1267.6009603058192"/>
    <n v="1152.0817630791448"/>
    <n v="1321.2133549345779"/>
    <n v="1331.9395202486335"/>
    <n v="1381.770395033534"/>
    <n v="1365.8490706276291"/>
    <n v="1431.7802456052161"/>
    <n v="1426.9941369537526"/>
    <n v="1390.8274713069234"/>
    <n v="1426.5787431177469"/>
    <n v="1370.6649588908072"/>
    <n v="1435.0000657832034"/>
    <n v="16302.300685886989"/>
  </r>
  <r>
    <x v="6"/>
    <n v="6234.3140273972604"/>
    <n v="5630.9933150684928"/>
    <n v="6234.3140273972604"/>
    <n v="6033.2071232876715"/>
    <n v="6234.3140273972604"/>
    <n v="6033.2071232876715"/>
    <n v="6234.3140273972604"/>
    <n v="6234.3140273972604"/>
    <n v="6033.2071232876715"/>
    <n v="6234.3140273972604"/>
    <n v="6033.2071232876715"/>
    <n v="6234.3140273972676"/>
    <n v="73404.02"/>
    <n v="6450.2022983221013"/>
    <n v="5862.381513402489"/>
    <n v="6723.0095948466642"/>
    <n v="6777.589812381535"/>
    <n v="7031.1548009938997"/>
    <n v="6950.1389557151742"/>
    <n v="7285.6305099886176"/>
    <n v="7261.2763401903867"/>
    <n v="7077.241839442182"/>
    <n v="7259.1626038020313"/>
    <n v="6974.6446594155877"/>
    <n v="7302.0146025876311"/>
    <n v="82954.447531088299"/>
  </r>
  <r>
    <x v="7"/>
    <n v="4014.2248219178082"/>
    <n v="3664.1743263062913"/>
    <n v="4056.7644326962513"/>
    <n v="3925.9010638995983"/>
    <n v="4124.2470041248225"/>
    <n v="3991.2067781853125"/>
    <n v="4124.2470041248225"/>
    <n v="4124.2470041248225"/>
    <n v="3991.2067781853125"/>
    <n v="4124.2470041248225"/>
    <n v="3991.2067781853125"/>
    <n v="4124.2470041248289"/>
    <n v="48255.920000000006"/>
    <n v="4153.2335487960108"/>
    <n v="3814.7422009789298"/>
    <n v="4374.7661868158993"/>
    <n v="4410.2823774106046"/>
    <n v="4651.3889092050285"/>
    <n v="4597.7937011822924"/>
    <n v="4819.7347249325958"/>
    <n v="4803.6234717318594"/>
    <n v="4681.877320506419"/>
    <n v="4802.2251509336329"/>
    <n v="4614.0052000940004"/>
    <n v="4830.573454666107"/>
    <n v="54554.246247253381"/>
  </r>
  <r>
    <x v="8"/>
    <n v="1772.6063287671232"/>
    <n v="1601.0637808219176"/>
    <n v="1772.6063287671232"/>
    <n v="2533.6072976338728"/>
    <n v="2753.0272823849332"/>
    <n v="2664.2199506950974"/>
    <n v="2753.0272823849332"/>
    <n v="2753.0272823849332"/>
    <n v="2664.2199506950974"/>
    <n v="2753.0272823849332"/>
    <n v="2664.2199506950974"/>
    <n v="2828.0272823849341"/>
    <n v="29512.679999999997"/>
    <n v="1833.9899731690928"/>
    <n v="1666.8545290848986"/>
    <n v="1911.5574390086629"/>
    <n v="2846.2061152744677"/>
    <n v="3104.9063150720485"/>
    <n v="3069.1303128723462"/>
    <n v="3217.2809189960653"/>
    <n v="3206.5262964987514"/>
    <n v="3125.2580127335509"/>
    <n v="3205.5928860354124"/>
    <n v="3079.9518516278204"/>
    <n v="3312.3606577630467"/>
    <n v="33579.615308136163"/>
  </r>
  <r>
    <x v="9"/>
    <n v="1478.6065753424659"/>
    <n v="1335.5156164383563"/>
    <n v="1478.6065753424659"/>
    <n v="1430.9095890410961"/>
    <n v="1478.6065753424659"/>
    <n v="1430.9095890410961"/>
    <n v="1478.6065753424659"/>
    <n v="1478.6065753424659"/>
    <n v="1430.9095890410961"/>
    <n v="1478.6065753424659"/>
    <n v="1430.9095890410961"/>
    <n v="1478.6065753424664"/>
    <n v="17409.400000000001"/>
    <n v="1529.8092923576774"/>
    <n v="1390.3944868336819"/>
    <n v="1594.511625392227"/>
    <n v="1607.4565409316153"/>
    <n v="1667.5951316075495"/>
    <n v="1648.3804175251951"/>
    <n v="1727.9497199280893"/>
    <n v="1722.1735855462755"/>
    <n v="1678.5257003578922"/>
    <n v="1721.6722658327308"/>
    <n v="1654.1924915505954"/>
    <n v="1731.8355727968169"/>
    <n v="19674.496830660344"/>
  </r>
  <r>
    <x v="10"/>
    <n v="3213.4771270718234"/>
    <n v="2902.49546961326"/>
    <n v="3213.4771270718234"/>
    <n v="3109.8165745856354"/>
    <n v="3213.4771270718234"/>
    <n v="3109.8165745856354"/>
    <n v="3161.0834782608699"/>
    <n v="3161.0834782608699"/>
    <n v="3059.1130434782613"/>
    <n v="3161.0834782608699"/>
    <n v="3059.1130434782613"/>
    <n v="3161.083478260869"/>
    <n v="37525.119999999995"/>
    <n v="3324.7567349920059"/>
    <n v="3021.7645150211447"/>
    <n v="3465.3752543074306"/>
    <n v="3493.5086271000318"/>
    <n v="3624.2086989204818"/>
    <n v="3582.4490819699281"/>
    <n v="3694.1492091397336"/>
    <n v="3681.800526760625"/>
    <n v="3588.4865844104979"/>
    <n v="3680.7287653534731"/>
    <n v="3536.4651030938721"/>
    <n v="3702.456696409929"/>
    <n v="42396.149797479149"/>
  </r>
  <r>
    <x v="11"/>
    <n v="1515.3998895027623"/>
    <n v="1368.7482872928176"/>
    <n v="1515.3998895027623"/>
    <n v="1466.5160220994476"/>
    <n v="1515.3998895027623"/>
    <n v="1466.5160220994476"/>
    <n v="1490.6922826086955"/>
    <n v="1490.6922826086955"/>
    <n v="1442.6054347826087"/>
    <n v="1490.6922826086955"/>
    <n v="1442.6054347826087"/>
    <n v="1490.6922826086957"/>
    <n v="17695.96"/>
    <n v="1567.876723436171"/>
    <n v="1424.9927511819699"/>
    <n v="1634.1890948040702"/>
    <n v="1647.456128716366"/>
    <n v="1709.0911945850908"/>
    <n v="1689.3983458700884"/>
    <n v="1742.0734867461674"/>
    <n v="1736.250139893888"/>
    <n v="1692.2454893752447"/>
    <n v="1735.7447225363817"/>
    <n v="1667.7133878784405"/>
    <n v="1745.9911014648922"/>
    <n v="19993.022566488773"/>
  </r>
  <r>
    <x v="12"/>
    <n v="858.17248618784527"/>
    <n v="775.12353591160218"/>
    <n v="858.17248618784527"/>
    <n v="830.4895027624309"/>
    <n v="858.17248618784527"/>
    <n v="830.4895027624309"/>
    <n v="844.18054347826092"/>
    <n v="844.18054347826092"/>
    <n v="816.94891304347823"/>
    <n v="844.18054347826092"/>
    <n v="816.94891304347823"/>
    <n v="844.18054347826092"/>
    <n v="10021.240000000002"/>
    <n v="887.89017018390041"/>
    <n v="806.97483255244731"/>
    <n v="925.44293298664445"/>
    <n v="932.95606767519791"/>
    <n v="967.86006765521029"/>
    <n v="956.70798756140732"/>
    <n v="986.53797297915264"/>
    <n v="983.24020578201066"/>
    <n v="958.32032780062661"/>
    <n v="982.95398742258089"/>
    <n v="944.42777397456496"/>
    <n v="988.75652214652598"/>
    <n v="11322.06884872027"/>
  </r>
  <r>
    <x v="13"/>
    <n v="3526.5788397790056"/>
    <n v="3185.2970165745855"/>
    <n v="3526.5788397790056"/>
    <n v="3412.8182320441988"/>
    <n v="3526.5788397790056"/>
    <n v="3412.8182320441988"/>
    <n v="3469.0802717391302"/>
    <n v="3469.0802717391302"/>
    <n v="3357.1744565217386"/>
    <n v="3469.0802717391302"/>
    <n v="3357.1744565217386"/>
    <n v="3469.0802717391307"/>
    <n v="41181.339999999997"/>
    <n v="3648.7008574788219"/>
    <n v="3316.1869140730487"/>
    <n v="3803.020392079246"/>
    <n v="3833.8949100106706"/>
    <n v="3977.3296037748046"/>
    <n v="3931.5011831352294"/>
    <n v="4054.0846929287486"/>
    <n v="4040.5328298672562"/>
    <n v="3938.1269431795922"/>
    <n v="4039.3566425317645"/>
    <n v="3881.0368043764752"/>
    <n v="4063.2016113508525"/>
    <n v="46526.973384786514"/>
  </r>
  <r>
    <x v="14"/>
    <n v="3253.9893150684929"/>
    <n v="2939.0871232876711"/>
    <n v="3253.9893150684929"/>
    <n v="3149.0219178082189"/>
    <n v="3253.9893150684929"/>
    <n v="3149.0219178082189"/>
    <n v="3253.9893150684929"/>
    <n v="3253.9893150684929"/>
    <n v="3149.0219178082189"/>
    <n v="3253.9893150684929"/>
    <n v="3149.0219178082189"/>
    <n v="3253.9893150684875"/>
    <n v="38313.1"/>
    <n v="3366.6718209145015"/>
    <n v="3059.8597891660552"/>
    <n v="3509.0631127330589"/>
    <n v="3537.5511619221261"/>
    <n v="3669.8989647427939"/>
    <n v="3627.6128858366478"/>
    <n v="3802.7221164759762"/>
    <n v="3790.0105000972462"/>
    <n v="3693.9540139454521"/>
    <n v="3788.9072390821043"/>
    <n v="3640.4035950708871"/>
    <n v="3811.2737649845249"/>
    <n v="43297.928964971368"/>
  </r>
  <r>
    <x v="15"/>
    <n v="2547.7252328767122"/>
    <n v="2301.171178082192"/>
    <n v="2547.7252328767122"/>
    <n v="2589.4558206724782"/>
    <n v="2675.7710146948939"/>
    <n v="2589.4558206724782"/>
    <n v="2675.7710146948939"/>
    <n v="2675.7710146948939"/>
    <n v="2589.4558206724782"/>
    <n v="2675.7710146948939"/>
    <n v="2589.4558206724782"/>
    <n v="2675.7710146948921"/>
    <n v="31133.299999999996"/>
    <n v="2635.9504959770647"/>
    <n v="2395.7306675295849"/>
    <n v="2747.4363836006432"/>
    <n v="2908.9452808704832"/>
    <n v="3017.7755136577239"/>
    <n v="2983.0034682369833"/>
    <n v="3126.9966281347365"/>
    <n v="3116.5438050419812"/>
    <n v="3037.556095946507"/>
    <n v="3115.6365882197592"/>
    <n v="2993.5213297640266"/>
    <n v="3134.0286897033102"/>
    <n v="35213.124946682801"/>
  </r>
  <r>
    <x v="16"/>
    <n v="9473.6203835616434"/>
    <n v="8556.8184109589038"/>
    <n v="9473.6203835616434"/>
    <n v="9168.0197260273981"/>
    <n v="9473.6203835616434"/>
    <n v="9168.0197260273981"/>
    <n v="9473.6203835616434"/>
    <n v="9473.6203835616434"/>
    <n v="9168.0197260273981"/>
    <n v="9473.6203835616434"/>
    <n v="9282.777103076578"/>
    <n v="9592.2030065124909"/>
    <n v="111777.58000000003"/>
    <n v="9801.6827036529066"/>
    <n v="8908.4343133050552"/>
    <n v="10216.238780517459"/>
    <n v="10299.178500766593"/>
    <n v="10684.494099903734"/>
    <n v="10561.382982970727"/>
    <n v="11071.193623421343"/>
    <n v="11034.185195804235"/>
    <n v="10754.52764408244"/>
    <n v="11030.973176639625"/>
    <n v="10731.286100987929"/>
    <n v="11234.982087320494"/>
    <n v="126328.55920937254"/>
  </r>
  <r>
    <x v="17"/>
    <n v="2829.8753424657534"/>
    <n v="2556.0164383561641"/>
    <n v="2829.8753424657534"/>
    <n v="2738.5890410958905"/>
    <n v="2829.8753424657534"/>
    <n v="2738.5890410958905"/>
    <n v="2829.8753424657534"/>
    <n v="2829.8753424657534"/>
    <n v="2738.5890410958905"/>
    <n v="2829.8753424657534"/>
    <n v="2738.5890410958905"/>
    <n v="2829.8753424657552"/>
    <n v="33319.5"/>
    <n v="2927.871191236437"/>
    <n v="2661.048003035995"/>
    <n v="3051.7036831973705"/>
    <n v="3076.4786963118172"/>
    <n v="3191.57673369546"/>
    <n v="3154.802079435864"/>
    <n v="3307.0881646204903"/>
    <n v="3296.0333373699909"/>
    <n v="3212.4965290633099"/>
    <n v="3295.0738716678156"/>
    <n v="3165.9256908463276"/>
    <n v="3314.5252201571311"/>
    <n v="37654.623200638016"/>
  </r>
  <r>
    <x v="18"/>
    <n v="13724.24016438356"/>
    <n v="12396.087890410958"/>
    <n v="13724.24016438356"/>
    <n v="13281.522739726026"/>
    <n v="13724.24016438356"/>
    <n v="13281.522739726026"/>
    <n v="13724.24016438356"/>
    <n v="13724.24016438356"/>
    <n v="13281.522739726026"/>
    <n v="13724.24016438356"/>
    <n v="13281.522739726026"/>
    <n v="13724.240164383547"/>
    <n v="161591.85999999999"/>
    <n v="14199.497340365597"/>
    <n v="12905.466659459838"/>
    <n v="14800.056253446593"/>
    <n v="14920.209330494205"/>
    <n v="15478.408161304162"/>
    <n v="15300.059603172585"/>
    <n v="16038.611855070189"/>
    <n v="15984.998502607312"/>
    <n v="15579.864324941378"/>
    <n v="15980.345316112292"/>
    <n v="15354.006542884588"/>
    <n v="16074.679852401729"/>
    <n v="182616.20374226049"/>
  </r>
  <r>
    <x v="19"/>
    <n v="2557.2868219178085"/>
    <n v="2309.8074520547948"/>
    <n v="2557.2868219178085"/>
    <n v="2474.793698630137"/>
    <n v="2557.2868219178085"/>
    <n v="2597.457250032006"/>
    <n v="2684.0391583664068"/>
    <n v="2696.7025570592173"/>
    <n v="2609.7121519927905"/>
    <n v="2696.7025570592173"/>
    <n v="2609.7121519927905"/>
    <n v="2696.7025570592173"/>
    <n v="31047.489999999998"/>
    <n v="2645.8431936078637"/>
    <n v="2404.7218223843033"/>
    <n v="2757.7474867280721"/>
    <n v="2780.1360398914107"/>
    <n v="2884.1472271733664"/>
    <n v="2992.2209614800718"/>
    <n v="3136.6590608465663"/>
    <n v="3140.9233458648882"/>
    <n v="3061.3177458624136"/>
    <n v="3140.0090322293581"/>
    <n v="3016.9385123960028"/>
    <n v="3158.5450081510662"/>
    <n v="35119.209436615383"/>
  </r>
  <r>
    <x v="20"/>
    <n v="1506.8808839779006"/>
    <n v="1361.0537016574585"/>
    <n v="1506.8808839779006"/>
    <n v="1458.2718232044199"/>
    <n v="1506.8808839779006"/>
    <n v="1458.2718232044199"/>
    <n v="1482.3121739130436"/>
    <n v="1482.3121739130436"/>
    <n v="1434.4956521739132"/>
    <n v="1482.3121739130436"/>
    <n v="1434.4956521739132"/>
    <n v="1481.48217391304"/>
    <n v="17595.649999999998"/>
    <n v="1559.0627129813877"/>
    <n v="1416.9819804248264"/>
    <n v="1625.0023012562149"/>
    <n v="1638.1947529173303"/>
    <n v="1699.4833297369942"/>
    <n v="1679.9011867757438"/>
    <n v="1732.2802079152082"/>
    <n v="1726.4895977183496"/>
    <n v="1682.7323247160205"/>
    <n v="1725.9870216262354"/>
    <n v="1658.3381334234043"/>
    <n v="1735.2036518928062"/>
    <n v="19879.657201384522"/>
  </r>
  <r>
    <x v="21"/>
    <n v="275.82271232876718"/>
    <n v="249.13019178082195"/>
    <n v="275.82271232876718"/>
    <n v="266.92520547945207"/>
    <n v="275.82271232876718"/>
    <n v="266.92520547945207"/>
    <n v="275.82271232876718"/>
    <n v="275.82271232876718"/>
    <n v="266.92520547945207"/>
    <n v="275.82271232876718"/>
    <n v="266.92520547945207"/>
    <n v="275.82271232876701"/>
    <n v="3247.59"/>
    <n v="285.37418634575977"/>
    <n v="259.36742400635268"/>
    <n v="297.44391015816416"/>
    <n v="299.8586848348653"/>
    <n v="311.07707752463398"/>
    <n v="307.49272003346744"/>
    <n v="322.33576291780668"/>
    <n v="321.25826936506883"/>
    <n v="313.11609126249539"/>
    <n v="321.1647520187783"/>
    <n v="308.57691785097694"/>
    <n v="323.06063895706978"/>
    <n v="3670.1264352754397"/>
  </r>
  <r>
    <x v="22"/>
    <n v="899.83147945205485"/>
    <n v="812.75101369863023"/>
    <n v="899.83147945205485"/>
    <n v="870.80465753424664"/>
    <n v="899.83147945205485"/>
    <n v="870.80465753424664"/>
    <n v="899.83147945205485"/>
    <n v="899.83147945205485"/>
    <n v="870.80465753424664"/>
    <n v="899.83147945205485"/>
    <n v="870.80465753424664"/>
    <n v="899.83147945205383"/>
    <n v="10594.79"/>
    <n v="930.99177413226164"/>
    <n v="846.14849478790904"/>
    <n v="970.36749248045953"/>
    <n v="978.24534362452857"/>
    <n v="1014.8437180146558"/>
    <n v="1003.1502730589084"/>
    <n v="1051.5735414889036"/>
    <n v="1048.0583754988584"/>
    <n v="1021.495703751697"/>
    <n v="1047.7532887590587"/>
    <n v="1006.6873107376091"/>
    <n v="1053.9383441308696"/>
    <n v="11973.253660465718"/>
  </r>
  <r>
    <x v="23"/>
    <n v="2978.6246666666698"/>
    <n v="2651.2799999999997"/>
    <n v="2978.6246666666671"/>
    <n v="2850.8637362637364"/>
    <n v="2945.8925274725279"/>
    <n v="2850.8637362637364"/>
    <n v="2877.3019565217396"/>
    <n v="2913.8719565217393"/>
    <n v="2819.8760869565222"/>
    <n v="2913.8719565217393"/>
    <n v="2819.8760869565222"/>
    <n v="2877.3019565217396"/>
    <n v="34478.24933333334"/>
    <n v="3081.7715608068761"/>
    <n v="2760.2261251600676"/>
    <n v="3212.1131732286585"/>
    <n v="3202.6059474749054"/>
    <n v="3322.4226910491257"/>
    <n v="3284.1403760799662"/>
    <n v="3362.5125120039029"/>
    <n v="3393.8664948946962"/>
    <n v="3307.8501395417161"/>
    <n v="3392.8785502453825"/>
    <n v="3259.8969815224182"/>
    <n v="3370.0742070811448"/>
    <n v="38950.358759088864"/>
  </r>
  <r>
    <x v="24"/>
    <n v="1818.9500547945204"/>
    <n v="1642.38263013699"/>
    <n v="1818.9500547945204"/>
    <n v="1723.7"/>
    <n v="1818.9500547945204"/>
    <n v="1760.2742465753424"/>
    <n v="1818.9500547945204"/>
    <n v="1818.9500547945204"/>
    <n v="1760.2742465753424"/>
    <n v="1818.9500547945204"/>
    <n v="1760.2742465753424"/>
    <n v="1818.9500547945208"/>
    <n v="21379.555753424662"/>
    <n v="1881.9385376496543"/>
    <n v="1709.8712483076947"/>
    <n v="1961.5339582173387"/>
    <n v="1936.3717042812048"/>
    <n v="2051.4397180399928"/>
    <n v="2027.8021894263625"/>
    <n v="2125.6866364316002"/>
    <n v="2118.580959961937"/>
    <n v="2064.8862689744537"/>
    <n v="2117.9642472165533"/>
    <n v="2034.9520780737353"/>
    <n v="2130.4669291790869"/>
    <n v="24161.494475759617"/>
  </r>
  <r>
    <x v="25"/>
    <n v="383.94188888888891"/>
    <n v="346.78622222222225"/>
    <n v="383.94188888888891"/>
    <n v="367.47362637362642"/>
    <n v="379.7227472527473"/>
    <n v="367.47362637362642"/>
    <n v="375.59532608695656"/>
    <n v="375.59532608695656"/>
    <n v="363.39934782608702"/>
    <n v="375.59532608695656"/>
    <n v="363.47934782608701"/>
    <n v="375.59532608695645"/>
    <n v="4458.6000000000004"/>
    <n v="397.23742552107944"/>
    <n v="361.03632600983025"/>
    <n v="414.03833549610044"/>
    <n v="412.81286313134166"/>
    <n v="428.25712751389727"/>
    <n v="423.32257349479465"/>
    <n v="438.9334183556814"/>
    <n v="437.46616593516723"/>
    <n v="426.28489562932504"/>
    <n v="437.33882080873354"/>
    <n v="420.19762297529189"/>
    <n v="439.9205018704543"/>
    <n v="5036.8460767416973"/>
  </r>
  <r>
    <x v="26"/>
    <n v="3778.8099726027399"/>
    <n v="3413.1186849315072"/>
    <n v="3778.8099726027399"/>
    <n v="3656.9128767123289"/>
    <n v="3778.8099726027399"/>
    <n v="3656.9128767123289"/>
    <n v="3778.8099726027399"/>
    <n v="3778.8099726027399"/>
    <n v="3656.9128767123289"/>
    <n v="3778.8099726027399"/>
    <n v="3656.9128767123289"/>
    <n v="3778.8099726027431"/>
    <n v="44492.44"/>
    <n v="3909.6665107164185"/>
    <n v="3553.3702070018712"/>
    <n v="4075.0234253946792"/>
    <n v="4108.1061782719353"/>
    <n v="4261.7997367709968"/>
    <n v="4212.6935347521849"/>
    <n v="4416.045310976674"/>
    <n v="4401.2834976795602"/>
    <n v="4289.7345119091697"/>
    <n v="4400.002296875643"/>
    <n v="4227.5471974200927"/>
    <n v="4425.9762147189476"/>
    <n v="50281.248622488172"/>
  </r>
  <r>
    <x v="27"/>
    <m/>
    <m/>
    <m/>
    <m/>
    <m/>
    <m/>
    <m/>
    <m/>
    <n v="3012.2950819672133"/>
    <n v="3112.7049180327867"/>
    <n v="3012.2950819672133"/>
    <n v="3162.7049180327867"/>
    <n v="12300"/>
    <n v="0"/>
    <n v="0"/>
    <n v="0"/>
    <n v="0"/>
    <n v="0"/>
    <n v="0"/>
    <n v="0"/>
    <n v="0"/>
    <n v="3533.5668660463743"/>
    <n v="3624.3973335888622"/>
    <n v="3482.3415435102233"/>
    <n v="3704.3558270664421"/>
    <n v="14344.661570211902"/>
  </r>
  <r>
    <x v="28"/>
    <n v="2985.2586666666666"/>
    <n v="2696.3626666666664"/>
    <n v="2985.2586666666666"/>
    <n v="3289.0153846153844"/>
    <n v="3398.6492307692306"/>
    <n v="3289.0153846153844"/>
    <n v="3361.7073913043478"/>
    <n v="3361.7073913043478"/>
    <n v="3253.2652173913043"/>
    <n v="3361.7073913043478"/>
    <n v="3253.2652173913043"/>
    <n v="3361.7073913043473"/>
    <n v="38596.92"/>
    <n v="3088.6352898168361"/>
    <n v="2807.1613241300806"/>
    <n v="3219.2671993903514"/>
    <n v="3694.817152471308"/>
    <n v="3833.048632263673"/>
    <n v="3788.8826760691932"/>
    <n v="3928.6051084543037"/>
    <n v="3915.4726944854206"/>
    <n v="3816.236413043478"/>
    <n v="3914.3329117910012"/>
    <n v="3760.9132937866225"/>
    <n v="3937.4398455156452"/>
    <n v="43704.812541217914"/>
  </r>
  <r>
    <x v="29"/>
    <n v="4918.3071232876709"/>
    <n v="4442.3419178082186"/>
    <n v="4918.3071232876709"/>
    <n v="4759.6520547945202"/>
    <n v="4918.3071232876709"/>
    <n v="4759.6520547945202"/>
    <n v="4918.3071232876709"/>
    <n v="4918.3071232876709"/>
    <n v="4759.6520547945202"/>
    <n v="4918.3071232876709"/>
    <n v="4759.6520547945202"/>
    <n v="4918.3071232876828"/>
    <n v="57909.1"/>
    <n v="5088.6233467017792"/>
    <n v="4624.886175141035"/>
    <n v="5303.8435078751127"/>
    <n v="5346.9023386482586"/>
    <n v="5546.9420678354645"/>
    <n v="5483.0279295385399"/>
    <n v="5747.7002726278733"/>
    <n v="5728.4870462369645"/>
    <n v="5583.3005522645926"/>
    <n v="5726.8195003466044"/>
    <n v="5502.3607024051698"/>
    <n v="5760.6258325185445"/>
    <n v="65443.519272139936"/>
  </r>
  <r>
    <x v="30"/>
    <n v="451.15333333333331"/>
    <n v="407.49333333333334"/>
    <n v="451.15333333333331"/>
    <m/>
    <m/>
    <m/>
    <m/>
    <m/>
    <m/>
    <m/>
    <m/>
    <n v="0"/>
    <n v="1309.8"/>
    <n v="466.77633734424518"/>
    <n v="424.23800748892103"/>
    <n v="486.51835236688197"/>
    <n v="0"/>
    <n v="0"/>
    <n v="0"/>
    <n v="0"/>
    <n v="0"/>
    <n v="0"/>
    <n v="0"/>
    <n v="0"/>
    <n v="0"/>
    <n v="1377.5326972000482"/>
  </r>
  <r>
    <x v="31"/>
    <n v="4599.6967671232878"/>
    <n v="4154.5648219178083"/>
    <n v="4599.6967671232878"/>
    <n v="4451.3194520547941"/>
    <n v="4599.6967671232878"/>
    <n v="4451.3194520547941"/>
    <n v="4599.6967671232878"/>
    <n v="4599.6967671232878"/>
    <n v="4451.3194520547941"/>
    <n v="4599.6967671232878"/>
    <n v="4451.3194520547941"/>
    <n v="4599.6967671232924"/>
    <n v="54157.72"/>
    <n v="4758.9798217575117"/>
    <n v="4325.2837724150295"/>
    <n v="4960.2579149618659"/>
    <n v="5000.5273734846087"/>
    <n v="5187.6084305584809"/>
    <n v="5127.8346815980212"/>
    <n v="5375.3614200342263"/>
    <n v="5357.3928359053862"/>
    <n v="5221.6115944711828"/>
    <n v="5355.8333144585449"/>
    <n v="5145.915067923047"/>
    <n v="5387.4496557934044"/>
    <n v="61204.05588336131"/>
  </r>
  <r>
    <x v="32"/>
    <n v="3549.9390958904105"/>
    <n v="3206.3966027397259"/>
    <n v="3549.9390958904105"/>
    <n v="3435.4249315068491"/>
    <n v="3549.9390958904105"/>
    <n v="3435.4249315068491"/>
    <n v="3549.9390958904105"/>
    <n v="3549.9390958904105"/>
    <n v="3435.4249315068491"/>
    <n v="3549.9390958904105"/>
    <n v="3435.4249315068491"/>
    <n v="3549.9390958904114"/>
    <n v="41797.67"/>
    <n v="3672.8700566877496"/>
    <n v="3338.1535222634648"/>
    <n v="3828.2118125442521"/>
    <n v="3859.2908450148275"/>
    <n v="4003.6756582385901"/>
    <n v="3957.5436675692617"/>
    <n v="4148.5790532784977"/>
    <n v="4134.7113175284603"/>
    <n v="4029.9185101197086"/>
    <n v="4133.5077151095811"/>
    <n v="3971.4976896567123"/>
    <n v="4157.9084727803547"/>
    <n v="47235.868320791458"/>
  </r>
  <r>
    <x v="33"/>
    <n v="7861.6492602739727"/>
    <n v="7100.8444931506856"/>
    <n v="7976.8861883785476"/>
    <n v="7755.5672790760145"/>
    <n v="8014.0861883785474"/>
    <n v="7791.5490547769496"/>
    <n v="8051.2673566028461"/>
    <n v="8051.2673566028461"/>
    <n v="7791.5490547769496"/>
    <n v="8051.2673566028461"/>
    <n v="7791.5490547769496"/>
    <n v="8051.2673566028334"/>
    <n v="94288.75"/>
    <n v="8133.8905779168499"/>
    <n v="7392.6316649669307"/>
    <n v="8602.1785469568404"/>
    <n v="8712.4563612298934"/>
    <n v="9038.4090906183228"/>
    <n v="8975.7151552028627"/>
    <n v="9408.983705273864"/>
    <n v="9377.5316591574901"/>
    <n v="9139.8614099767146"/>
    <n v="9374.8018870110682"/>
    <n v="9007.3628988658638"/>
    <n v="9430.1428431244967"/>
    <n v="106593.9658003012"/>
  </r>
  <r>
    <x v="34"/>
    <n v="8301.1283333333322"/>
    <n v="7497.73"/>
    <n v="8301.1283333333322"/>
    <n v="7945.0714285714284"/>
    <n v="8209.9071428571424"/>
    <n v="8043.2022696929234"/>
    <n v="8425.9295865501826"/>
    <n v="8425.9295865501826"/>
    <n v="8153.26540633889"/>
    <n v="8510.1087169849598"/>
    <n v="8235.6471454693219"/>
    <n v="8510.1687169849647"/>
    <n v="98559.21666666666"/>
    <n v="8588.5883866339718"/>
    <n v="7805.8259502566289"/>
    <n v="8951.8373934642495"/>
    <n v="8925.3417084056164"/>
    <n v="9259.2589608954204"/>
    <n v="9265.6148348553961"/>
    <n v="9846.8266758796108"/>
    <n v="9813.9110224561555"/>
    <n v="9564.1720701235099"/>
    <n v="9909.0714200705152"/>
    <n v="9520.7592257627821"/>
    <n v="9967.6365304703377"/>
    <n v="111418.84417927418"/>
  </r>
  <r>
    <x v="35"/>
    <n v="3467.7729589041096"/>
    <n v="3132.1820273972603"/>
    <n v="3467.7729589041096"/>
    <n v="3355.9093150684935"/>
    <n v="3467.7729589041096"/>
    <n v="3355.9093150684935"/>
    <n v="3467.7729589041096"/>
    <n v="3467.7729589041096"/>
    <n v="3355.9093150684935"/>
    <n v="3467.7729589041096"/>
    <n v="3355.9093150684935"/>
    <n v="3467.7729589041192"/>
    <n v="40830.230000000003"/>
    <n v="3587.8585857698258"/>
    <n v="3260.8893292216385"/>
    <n v="3739.6048343101115"/>
    <n v="3769.9645180903572"/>
    <n v="3911.0074310669243"/>
    <n v="3865.9432016640289"/>
    <n v="4052.5569228749673"/>
    <n v="4039.0101667937492"/>
    <n v="3936.642871467358"/>
    <n v="4037.8344227010425"/>
    <n v="3879.5742469174047"/>
    <n v="4061.6704056128269"/>
    <n v="46142.55693649024"/>
  </r>
  <r>
    <x v="36"/>
    <n v="1995.1183835616439"/>
    <n v="1802.0424109589042"/>
    <n v="1995.1183835616439"/>
    <n v="1930.7597260273972"/>
    <n v="1995.1183835616439"/>
    <n v="1930.7597260273972"/>
    <n v="1995.1183835616439"/>
    <n v="1995.1183835616439"/>
    <n v="1971.7441522569054"/>
    <n v="2037.4689573321357"/>
    <n v="1971.7441522569054"/>
    <n v="2037.4689573321348"/>
    <n v="23657.579999999998"/>
    <n v="2064.2074054210875"/>
    <n v="1876.0917524272061"/>
    <n v="2151.5117744461336"/>
    <n v="2168.9786512996361"/>
    <n v="2250.1250561783345"/>
    <n v="2224.1981937256178"/>
    <n v="2331.5629117233188"/>
    <n v="2323.769038705806"/>
    <n v="2312.9506290551162"/>
    <n v="2372.405110887189"/>
    <n v="2279.420305029832"/>
    <n v="2386.4097979949574"/>
    <n v="26741.630626894239"/>
  </r>
  <r>
    <x v="37"/>
    <n v="3763.6945856353591"/>
    <n v="3399.4660773480659"/>
    <n v="3763.6945856353591"/>
    <n v="3642.2850828729279"/>
    <n v="3763.6945856353591"/>
    <n v="3642.2850828729279"/>
    <n v="3702.33"/>
    <n v="3702.33"/>
    <n v="3582.8999999999996"/>
    <n v="3702.33"/>
    <n v="3582.8999999999996"/>
    <n v="3702.3299999999981"/>
    <n v="43950.240000000005"/>
    <n v="3894.0276925034495"/>
    <n v="3539.1565878713482"/>
    <n v="4058.7231730870576"/>
    <n v="4091.6735936651739"/>
    <n v="4244.7523719482551"/>
    <n v="4195.8425966488048"/>
    <n v="4326.6682248451561"/>
    <n v="4312.2051783780007"/>
    <n v="4202.9138513513508"/>
    <n v="4310.9499080133201"/>
    <n v="4141.9851564125684"/>
    <n v="4336.3981353510253"/>
    <n v="49655.296470075511"/>
  </r>
  <r>
    <x v="38"/>
    <n v="6704.99"/>
    <n v="6056.12"/>
    <n v="6704.99"/>
    <n v="6488.7"/>
    <n v="6704.99"/>
    <n v="6488.7"/>
    <n v="6595.6695108695649"/>
    <n v="6595.6695108695649"/>
    <n v="6382.9059782608692"/>
    <n v="6595.6695108695649"/>
    <n v="6382.9059782608692"/>
    <n v="6595.669510869564"/>
    <n v="78296.979999999981"/>
    <n v="6937.1773250700962"/>
    <n v="6304.9774603604255"/>
    <n v="7230.5809276293794"/>
    <n v="7289.2818225732162"/>
    <n v="7561.9903684572619"/>
    <n v="7474.8580183625745"/>
    <n v="7707.9227660039323"/>
    <n v="7682.1569713239041"/>
    <n v="7487.4553986731289"/>
    <n v="7679.9207178099768"/>
    <n v="7378.911445123661"/>
    <n v="7725.2565190910591"/>
    <n v="88460.489740478617"/>
  </r>
  <r>
    <x v="39"/>
    <n v="1815.4211506849315"/>
    <n v="1639.7352328767122"/>
    <n v="1815.4211506849315"/>
    <n v="1756.8591780821916"/>
    <n v="1815.4211506849315"/>
    <n v="1756.8591780821916"/>
    <n v="1815.4211506849315"/>
    <n v="1815.4211506849315"/>
    <n v="1756.8591780821916"/>
    <n v="1815.4211506849315"/>
    <n v="1756.8591780821916"/>
    <n v="1815.4211506849315"/>
    <n v="21375.119999999999"/>
    <n v="1878.2874310005188"/>
    <n v="1707.1150644713982"/>
    <n v="1957.7284302821404"/>
    <n v="1973.6220925016476"/>
    <n v="2047.4597659613289"/>
    <n v="2023.8680959855676"/>
    <n v="2121.5626395757058"/>
    <n v="2114.4707486692191"/>
    <n v="2060.880229544613"/>
    <n v="2113.8552323943682"/>
    <n v="2031.0041132947117"/>
    <n v="2126.3336581846979"/>
    <n v="24156.187501865919"/>
  </r>
  <r>
    <x v="40"/>
    <n v="2692.8912154696136"/>
    <n v="2432.2888397790057"/>
    <n v="2692.8912154696136"/>
    <n v="2606.0237569060778"/>
    <n v="2692.8912154696136"/>
    <n v="2606.0237569060778"/>
    <n v="2648.9853804347827"/>
    <n v="2648.9853804347827"/>
    <n v="2563.5342391304348"/>
    <n v="2648.9853804347827"/>
    <n v="2563.5342391304348"/>
    <n v="2648.9853804347822"/>
    <n v="31446.020000000004"/>
    <n v="2786.1434362819714"/>
    <n v="2532.236202699557"/>
    <n v="2903.9816409502905"/>
    <n v="2927.5573844390146"/>
    <n v="3037.0839381840074"/>
    <n v="3002.0894131879663"/>
    <n v="3095.6940287890411"/>
    <n v="3085.3458430119645"/>
    <n v="3007.1488353162945"/>
    <n v="3084.4477078256009"/>
    <n v="2963.5548763386219"/>
    <n v="3102.6556963559492"/>
    <n v="35527.939003380285"/>
  </r>
  <r>
    <x v="41"/>
    <n v="5531.9328729281769"/>
    <n v="4996.58453038674"/>
    <n v="5531.9328729281769"/>
    <n v="5353.4834254143643"/>
    <n v="5531.9328729281769"/>
    <n v="5353.4834254143643"/>
    <n v="5441.7383152173916"/>
    <n v="5441.7383152173916"/>
    <n v="5266.198369565217"/>
    <n v="5441.7383152173916"/>
    <n v="5266.198369565217"/>
    <n v="5441.7383152173934"/>
    <n v="64598.700000000004"/>
    <n v="5723.4983631425584"/>
    <n v="5201.903668169386"/>
    <n v="5965.5701684745954"/>
    <n v="6014.0011743985579"/>
    <n v="6238.9985822551535"/>
    <n v="6167.1102853621996"/>
    <n v="6359.3996905660761"/>
    <n v="6338.1416951645078"/>
    <n v="6177.5037180522913"/>
    <n v="6336.2966805819515"/>
    <n v="6087.9498388074462"/>
    <n v="6373.7008541045625"/>
    <n v="72984.07471907929"/>
  </r>
  <r>
    <x v="42"/>
    <n v="1339.1035555555554"/>
    <n v="1209.5128888888887"/>
    <n v="1339.1035555555554"/>
    <n v="1281.6659340659339"/>
    <n v="1324.3881318681317"/>
    <n v="1281.6659340659339"/>
    <n v="1309.9926086956521"/>
    <n v="1309.9926086956521"/>
    <n v="1267.7347826086957"/>
    <n v="1309.9926086956521"/>
    <n v="1267.7347826086957"/>
    <n v="1309.9926086956521"/>
    <n v="15550.879999999994"/>
    <n v="1385.4754177889517"/>
    <n v="1259.2140681591295"/>
    <n v="1444.0732393218616"/>
    <n v="1439.7990654211374"/>
    <n v="1493.6652101324414"/>
    <n v="1476.4545878396143"/>
    <n v="1530.901728053818"/>
    <n v="1525.7842793198597"/>
    <n v="1487.1138121817469"/>
    <n v="1525.3401279612165"/>
    <n v="1465.5554583809574"/>
    <n v="1534.3444548896109"/>
    <n v="17567.721449450346"/>
  </r>
  <r>
    <x v="43"/>
    <n v="493.99877777777778"/>
    <n v="446.19244444444445"/>
    <n v="493.99877777777778"/>
    <n v="472.80989010989015"/>
    <n v="488.57021978021982"/>
    <n v="-961.38010989010991"/>
    <n v="0"/>
    <n v="0"/>
    <n v="0"/>
    <n v="0"/>
    <n v="0"/>
    <n v="0"/>
    <n v="1434.19"/>
    <n v="511.10547813081621"/>
    <n v="464.52733849483559"/>
    <n v="532.7223666063968"/>
    <n v="531.14561275923711"/>
    <n v="551.01697337252847"/>
    <n v="-1107.4914579355466"/>
    <n v="0"/>
    <n v="0"/>
    <n v="0"/>
    <n v="0"/>
    <n v="0"/>
    <n v="0"/>
    <n v="1483.0263114282677"/>
  </r>
  <r>
    <x v="44"/>
    <n v="1185.502"/>
    <n v="1070.7759999999998"/>
    <n v="1185.502"/>
    <n v="1147.26"/>
    <n v="1185.502"/>
    <n v="1147.26"/>
    <n v="1185.502"/>
    <n v="1185.502"/>
    <n v="1147.26"/>
    <n v="1185.502"/>
    <n v="1147.26"/>
    <n v="1185.5019999999986"/>
    <n v="13958.33"/>
    <n v="1226.5547887804828"/>
    <n v="1114.7762172967007"/>
    <n v="1278.431161100387"/>
    <n v="1288.8100025837762"/>
    <n v="1337.02730440863"/>
    <n v="1321.6215282177704"/>
    <n v="1385.4177866074558"/>
    <n v="1380.7866568829563"/>
    <n v="1345.7911036036035"/>
    <n v="1380.3847139097832"/>
    <n v="1326.2814732607337"/>
    <n v="1388.5333458267921"/>
    <n v="15774.416082479071"/>
  </r>
  <r>
    <x v="45"/>
    <n v="1789.2235555555558"/>
    <n v="1616.0728888888891"/>
    <n v="1789.2235555555558"/>
    <n v="1712.4791208791212"/>
    <n v="1769.5617582417585"/>
    <n v="1712.4791208791212"/>
    <n v="1750.3273913043481"/>
    <n v="1750.3273913043481"/>
    <n v="1693.8652173913047"/>
    <n v="1750.3273913043481"/>
    <n v="1693.8652173913047"/>
    <n v="1750.3273913043477"/>
    <n v="20778.080000000002"/>
    <n v="1851.1826384649787"/>
    <n v="1682.480389877348"/>
    <n v="1929.4772573956452"/>
    <n v="1923.7663826899593"/>
    <n v="1995.7388411040845"/>
    <n v="1972.7431208072173"/>
    <n v="2045.491867832591"/>
    <n v="2038.6542638391138"/>
    <n v="1986.9852869173524"/>
    <n v="2038.0608175221212"/>
    <n v="1958.180408997832"/>
    <n v="2050.0918167494528"/>
    <n v="23472.853092197696"/>
  </r>
  <r>
    <x v="46"/>
    <n v="29942.105303867404"/>
    <n v="27044.482209944799"/>
    <n v="29942.105303867404"/>
    <n v="28976.23093922652"/>
    <n v="29942.105303867404"/>
    <n v="28976.23093922652"/>
    <n v="29453.918804347828"/>
    <n v="29453.928804347797"/>
    <n v="28503.792391304301"/>
    <n v="29453.918804347828"/>
    <n v="28503.792391304349"/>
    <n v="29453.918804347806"/>
    <n v="349646.52999999991"/>
    <n v="30978.971479278865"/>
    <n v="28155.791292249902"/>
    <n v="32289.207820326974"/>
    <n v="32551.345180388598"/>
    <n v="33769.1647443439"/>
    <n v="33380.062597747325"/>
    <n v="34420.847030907826"/>
    <n v="34305.797785093579"/>
    <n v="33436.318026586312"/>
    <n v="34295.799823417976"/>
    <n v="32951.599259328512"/>
    <n v="34498.253419320907"/>
    <n v="395033.15845899063"/>
  </r>
  <r>
    <x v="47"/>
    <n v="5094.8270684931513"/>
    <n v="4601.7792876712338"/>
    <n v="4668.1506301369873"/>
    <n v="4788.2523287671238"/>
    <n v="4947.8607397260275"/>
    <n v="4788.2523287671238"/>
    <n v="4947.8607397260275"/>
    <n v="4947.8607397260275"/>
    <n v="4788.2623287671204"/>
    <n v="5048.9476962477675"/>
    <n v="4886.0784157236458"/>
    <n v="5048.9676962477679"/>
    <n v="58557.100000000006"/>
    <n v="5271.2560070490845"/>
    <n v="4790.8751290133923"/>
    <n v="5034.0777411404897"/>
    <n v="5379.03134094288"/>
    <n v="5580.2730888899223"/>
    <n v="5515.9748969174416"/>
    <n v="5782.237629690344"/>
    <n v="5762.9089529403864"/>
    <n v="5616.861778302271"/>
    <n v="5878.9358611208017"/>
    <n v="5648.5149658084738"/>
    <n v="5913.6635857571837"/>
    <n v="66174.610977572665"/>
  </r>
  <r>
    <x v="48"/>
    <n v="0"/>
    <m/>
    <m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n v="204296.62928757869"/>
    <n v="184699.93004025807"/>
    <n v="204221.71956774619"/>
    <n v="198647.01831962346"/>
    <n v="205941.5626585414"/>
    <n v="198114.21891031667"/>
    <n v="204509.12857805888"/>
    <n v="204600.58263034641"/>
    <n v="201052.90366659657"/>
    <n v="207940.89420910628"/>
    <n v="201347.43886973272"/>
    <n v="208147.15683205714"/>
    <n v="2423519.1835699631"/>
    <n v="211371.22416022138"/>
    <n v="192289.60057495144"/>
    <n v="220230.25694508446"/>
    <n v="223156.27163308515"/>
    <n v="232264.0471184786"/>
    <n v="228223.78254094327"/>
    <n v="238996.29376891305"/>
    <n v="238303.90373568429"/>
    <n v="235844.71620049336"/>
    <n v="242123.95404055135"/>
    <n v="232766.22375174297"/>
    <n v="243794.83805202405"/>
    <n v="2739365.1125221741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3">
  <r>
    <x v="0"/>
    <n v="13380.451797078927"/>
  </r>
  <r>
    <x v="1"/>
    <n v="2100.0703325441559"/>
  </r>
  <r>
    <x v="1"/>
    <n v="0"/>
  </r>
  <r>
    <x v="2"/>
    <n v="0"/>
  </r>
  <r>
    <x v="3"/>
    <n v="5555.9744055460451"/>
  </r>
  <r>
    <x v="4"/>
    <n v="2551.7331229323904"/>
  </r>
  <r>
    <x v="5"/>
    <n v="0"/>
  </r>
  <r>
    <x v="6"/>
    <n v="845.48721200591842"/>
  </r>
  <r>
    <x v="7"/>
    <n v="5185.6009332320864"/>
  </r>
  <r>
    <x v="8"/>
    <n v="0"/>
  </r>
  <r>
    <x v="9"/>
    <n v="0"/>
  </r>
  <r>
    <x v="10"/>
    <n v="0"/>
  </r>
  <r>
    <x v="11"/>
    <n v="0"/>
  </r>
  <r>
    <x v="12"/>
    <n v="10104.726861024625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8137.7284112406342"/>
  </r>
  <r>
    <x v="20"/>
    <n v="0"/>
  </r>
  <r>
    <x v="21"/>
    <n v="0"/>
  </r>
  <r>
    <x v="22"/>
    <n v="4438.7609515858003"/>
  </r>
  <r>
    <x v="23"/>
    <n v="14406.694003485189"/>
  </r>
  <r>
    <x v="24"/>
    <n v="14153.671675645024"/>
  </r>
  <r>
    <x v="25"/>
    <n v="0"/>
  </r>
  <r>
    <x v="26"/>
    <n v="0"/>
  </r>
  <r>
    <x v="27"/>
    <n v="0"/>
  </r>
  <r>
    <x v="28"/>
    <n v="0"/>
  </r>
  <r>
    <x v="29"/>
    <n v="0"/>
  </r>
  <r>
    <x v="29"/>
    <n v="10277.845298612359"/>
  </r>
  <r>
    <x v="30"/>
    <n v="0"/>
  </r>
  <r>
    <x v="30"/>
    <n v="0"/>
  </r>
  <r>
    <x v="31"/>
    <n v="4952.2929116180794"/>
  </r>
  <r>
    <x v="32"/>
    <n v="17463.578129172671"/>
  </r>
  <r>
    <x v="33"/>
    <n v="29975.970454390445"/>
  </r>
  <r>
    <x v="34"/>
    <n v="5477.2359602495953"/>
  </r>
  <r>
    <x v="35"/>
    <n v="0"/>
  </r>
  <r>
    <x v="36"/>
    <n v="0"/>
  </r>
  <r>
    <x v="37"/>
    <n v="0"/>
  </r>
  <r>
    <x v="38"/>
    <n v="14444.187658886065"/>
  </r>
  <r>
    <x v="39"/>
    <n v="0"/>
  </r>
  <r>
    <x v="40"/>
    <n v="20229.335927904354"/>
  </r>
  <r>
    <x v="41"/>
    <n v="19329.244728242782"/>
  </r>
  <r>
    <x v="42"/>
    <n v="0"/>
  </r>
  <r>
    <x v="43"/>
    <n v="0"/>
  </r>
  <r>
    <x v="44"/>
    <n v="6052.8024475332077"/>
  </r>
  <r>
    <x v="45"/>
    <n v="0"/>
  </r>
  <r>
    <x v="46"/>
    <n v="0"/>
  </r>
  <r>
    <x v="0"/>
    <n v="44205.374275514638"/>
  </r>
  <r>
    <x v="1"/>
    <n v="25410.285813030827"/>
  </r>
  <r>
    <x v="1"/>
    <n v="0"/>
  </r>
  <r>
    <x v="2"/>
    <n v="0"/>
  </r>
  <r>
    <x v="3"/>
    <n v="14208.374957074795"/>
  </r>
  <r>
    <x v="4"/>
    <n v="134.07354093016363"/>
  </r>
  <r>
    <x v="5"/>
    <n v="11532.682051862204"/>
  </r>
  <r>
    <x v="6"/>
    <n v="1039.7169544296632"/>
  </r>
  <r>
    <x v="7"/>
    <n v="2747.5789563660342"/>
  </r>
  <r>
    <x v="8"/>
    <n v="25816.400899251614"/>
  </r>
  <r>
    <x v="9"/>
    <n v="13132.502051366537"/>
  </r>
  <r>
    <x v="10"/>
    <n v="1004.0160642570281"/>
  </r>
  <r>
    <x v="11"/>
    <n v="0"/>
  </r>
  <r>
    <x v="12"/>
    <n v="3727.2327788291291"/>
  </r>
  <r>
    <x v="14"/>
    <n v="85854.000437646202"/>
  </r>
  <r>
    <x v="15"/>
    <n v="4019.8209194760648"/>
  </r>
  <r>
    <x v="16"/>
    <n v="16197.116047827152"/>
  </r>
  <r>
    <x v="17"/>
    <n v="30651.001144397418"/>
  </r>
  <r>
    <x v="18"/>
    <n v="2510.0401606425703"/>
  </r>
  <r>
    <x v="19"/>
    <n v="166887.6250807266"/>
  </r>
  <r>
    <x v="20"/>
    <n v="159245.92421770099"/>
  </r>
  <r>
    <x v="21"/>
    <n v="20644.376604670244"/>
  </r>
  <r>
    <x v="22"/>
    <n v="0"/>
  </r>
  <r>
    <x v="47"/>
    <n v="34505.661597747734"/>
  </r>
  <r>
    <x v="23"/>
    <n v="4105.5036069727339"/>
  </r>
  <r>
    <x v="24"/>
    <n v="24671.907910928225"/>
  </r>
  <r>
    <x v="25"/>
    <n v="-0.89442400226436458"/>
  </r>
  <r>
    <x v="26"/>
    <n v="0"/>
  </r>
  <r>
    <x v="27"/>
    <n v="0"/>
  </r>
  <r>
    <x v="28"/>
    <n v="5750.1623251565479"/>
  </r>
  <r>
    <x v="29"/>
    <n v="0"/>
  </r>
  <r>
    <x v="29"/>
    <n v="2634.512770033984"/>
  </r>
  <r>
    <x v="30"/>
    <n v="0"/>
  </r>
  <r>
    <x v="30"/>
    <n v="29698.536851631521"/>
  </r>
  <r>
    <x v="31"/>
    <n v="5066.6017903959682"/>
  </r>
  <r>
    <x v="32"/>
    <n v="17976.718936738976"/>
  </r>
  <r>
    <x v="33"/>
    <n v="13179.753098073972"/>
  </r>
  <r>
    <x v="34"/>
    <n v="3351.2364671260043"/>
  </r>
  <r>
    <x v="35"/>
    <n v="0"/>
  </r>
  <r>
    <x v="48"/>
    <n v="0"/>
  </r>
  <r>
    <x v="36"/>
    <n v="3777.2253668015792"/>
  </r>
  <r>
    <x v="37"/>
    <n v="0"/>
  </r>
  <r>
    <x v="38"/>
    <n v="39084.61811202894"/>
  </r>
  <r>
    <x v="39"/>
    <n v="717.23929853812228"/>
  </r>
  <r>
    <x v="40"/>
    <n v="3226.7195018397961"/>
  </r>
  <r>
    <x v="41"/>
    <n v="17307.695891343625"/>
  </r>
  <r>
    <x v="42"/>
    <n v="1004.0054533348833"/>
  </r>
  <r>
    <x v="43"/>
    <n v="0"/>
  </r>
  <r>
    <x v="44"/>
    <n v="6735.7079392811056"/>
  </r>
  <r>
    <x v="45"/>
    <n v="0"/>
  </r>
  <r>
    <x v="46"/>
    <n v="2669.2184526270912"/>
  </r>
  <r>
    <x v="0"/>
    <n v="9417.0760798366246"/>
  </r>
  <r>
    <x v="2"/>
    <n v="7195.402800615635"/>
  </r>
  <r>
    <x v="3"/>
    <n v="27211.215376091219"/>
  </r>
  <r>
    <x v="5"/>
    <n v="25153.701981504702"/>
  </r>
  <r>
    <x v="6"/>
    <n v="7468.5531342283548"/>
  </r>
  <r>
    <x v="7"/>
    <n v="5194.4388676679337"/>
  </r>
  <r>
    <x v="8"/>
    <n v="6148.2053744477871"/>
  </r>
  <r>
    <x v="9"/>
    <n v="6106.4569548362651"/>
  </r>
  <r>
    <x v="15"/>
    <n v="1482.4210662687565"/>
  </r>
  <r>
    <x v="16"/>
    <n v="21210.620109035986"/>
  </r>
  <r>
    <x v="17"/>
    <n v="23149.714632854622"/>
  </r>
  <r>
    <x v="18"/>
    <n v="1467.7464388352832"/>
  </r>
  <r>
    <x v="20"/>
    <n v="15600.688075105594"/>
  </r>
  <r>
    <x v="21"/>
    <n v="106089.0777432061"/>
  </r>
  <r>
    <x v="22"/>
    <n v="6148.2053744477871"/>
  </r>
  <r>
    <x v="23"/>
    <n v="6101.3582328852226"/>
  </r>
  <r>
    <x v="24"/>
    <n v="6510.351582115054"/>
  </r>
  <r>
    <x v="25"/>
    <n v="6106.4042820888371"/>
  </r>
  <r>
    <x v="27"/>
    <n v="7255.8289764651672"/>
  </r>
  <r>
    <x v="28"/>
    <n v="20423.194138634113"/>
  </r>
  <r>
    <x v="30"/>
    <n v="8162.8958253752562"/>
  </r>
  <r>
    <x v="30"/>
    <n v="8162.8958253752562"/>
  </r>
  <r>
    <x v="31"/>
    <n v="9912.0102837701688"/>
  </r>
  <r>
    <x v="32"/>
    <n v="20875.463417150888"/>
  </r>
  <r>
    <x v="33"/>
    <n v="6101.3582328852226"/>
  </r>
  <r>
    <x v="35"/>
    <n v="9912.0102837701688"/>
  </r>
  <r>
    <x v="34"/>
    <n v="8919.3712893883639"/>
  </r>
  <r>
    <x v="38"/>
    <n v="7989.9606610192677"/>
  </r>
  <r>
    <x v="39"/>
    <n v="19415.448600289932"/>
  </r>
  <r>
    <x v="40"/>
    <n v="8383.9106735836303"/>
  </r>
  <r>
    <x v="41"/>
    <n v="14128.600664534115"/>
  </r>
  <r>
    <x v="42"/>
    <n v="9386.7898868517059"/>
  </r>
  <r>
    <x v="44"/>
    <n v="5506.6857179101517"/>
  </r>
  <r>
    <x v="45"/>
    <n v="8185.492775227538"/>
  </r>
  <r>
    <x v="0"/>
    <n v="115667.62766219156"/>
  </r>
  <r>
    <x v="1"/>
    <n v="145008.84643165668"/>
  </r>
  <r>
    <x v="1"/>
    <n v="6831.6974796245013"/>
  </r>
  <r>
    <x v="2"/>
    <n v="10045.708256525681"/>
  </r>
  <r>
    <x v="3"/>
    <n v="85300.185542195293"/>
  </r>
  <r>
    <x v="4"/>
    <n v="12783.722214281635"/>
  </r>
  <r>
    <x v="5"/>
    <n v="61715.657379321601"/>
  </r>
  <r>
    <x v="6"/>
    <n v="39705.19106604017"/>
  </r>
  <r>
    <x v="7"/>
    <n v="16546.141620848262"/>
  </r>
  <r>
    <x v="8"/>
    <n v="10697.950882694562"/>
  </r>
  <r>
    <x v="9"/>
    <n v="31513.700499888804"/>
  </r>
  <r>
    <x v="10"/>
    <n v="15774.711826138153"/>
  </r>
  <r>
    <x v="11"/>
    <n v="8933.2531861847656"/>
  </r>
  <r>
    <x v="12"/>
    <n v="36034.797375324029"/>
  </r>
  <r>
    <x v="14"/>
    <n v="81413.150751342182"/>
  </r>
  <r>
    <x v="15"/>
    <n v="34142.917333982739"/>
  </r>
  <r>
    <x v="16"/>
    <n v="26112.95698856657"/>
  </r>
  <r>
    <x v="17"/>
    <n v="82898.604337593468"/>
  </r>
  <r>
    <x v="18"/>
    <n v="29692.849732968934"/>
  </r>
  <r>
    <x v="20"/>
    <n v="302823.24490871822"/>
  </r>
  <r>
    <x v="21"/>
    <n v="140482.00982859835"/>
  </r>
  <r>
    <x v="22"/>
    <n v="15044.96695846203"/>
  </r>
  <r>
    <x v="23"/>
    <n v="65024.754191455133"/>
  </r>
  <r>
    <x v="24"/>
    <n v="30271.008777446117"/>
  </r>
  <r>
    <x v="25"/>
    <n v="19085.56971769713"/>
  </r>
  <r>
    <x v="27"/>
    <n v="2872.4780312423018"/>
  </r>
  <r>
    <x v="28"/>
    <n v="39649.673990250929"/>
  </r>
  <r>
    <x v="29"/>
    <n v="4549.1454513992658"/>
  </r>
  <r>
    <x v="29"/>
    <n v="30059.241977432892"/>
  </r>
  <r>
    <x v="30"/>
    <n v="51147.060229760995"/>
  </r>
  <r>
    <x v="30"/>
    <n v="47803.994692344917"/>
  </r>
  <r>
    <x v="31"/>
    <n v="35947.060041097517"/>
  </r>
  <r>
    <x v="32"/>
    <n v="76212.747452718409"/>
  </r>
  <r>
    <x v="33"/>
    <n v="71612.392495303618"/>
  </r>
  <r>
    <x v="35"/>
    <n v="20909.127953045194"/>
  </r>
  <r>
    <x v="34"/>
    <n v="30777.801780874001"/>
  </r>
  <r>
    <x v="36"/>
    <n v="37537.969141709531"/>
  </r>
  <r>
    <x v="37"/>
    <n v="1153.3540813344698"/>
  </r>
  <r>
    <x v="38"/>
    <n v="65970.583196588253"/>
  </r>
  <r>
    <x v="39"/>
    <n v="19048.551310804651"/>
  </r>
  <r>
    <x v="40"/>
    <n v="26866.513043367155"/>
  </r>
  <r>
    <x v="41"/>
    <n v="45435.595557652545"/>
  </r>
  <r>
    <x v="42"/>
    <n v="13862.543157721693"/>
  </r>
  <r>
    <x v="43"/>
    <n v="5171.1418811369285"/>
  </r>
  <r>
    <x v="44"/>
    <n v="11455.57961168896"/>
  </r>
  <r>
    <x v="45"/>
    <n v="18523.609326536225"/>
  </r>
  <r>
    <x v="46"/>
    <n v="53736.004146240033"/>
  </r>
  <r>
    <x v="0"/>
    <n v="7927.2274188323836"/>
  </r>
  <r>
    <x v="1"/>
    <n v="16373.334072579131"/>
  </r>
  <r>
    <x v="1"/>
    <n v="345.52268857895081"/>
  </r>
  <r>
    <x v="2"/>
    <n v="460.68638355578219"/>
  </r>
  <r>
    <x v="3"/>
    <n v="4795.6113586917299"/>
  </r>
  <r>
    <x v="4"/>
    <n v="218.61271019187103"/>
  </r>
  <r>
    <x v="5"/>
    <n v="3925.3838293328649"/>
  </r>
  <r>
    <x v="6"/>
    <n v="2258.7323322431962"/>
  </r>
  <r>
    <x v="7"/>
    <n v="502.01342118788148"/>
  </r>
  <r>
    <x v="8"/>
    <n v="693.39458169319573"/>
  </r>
  <r>
    <x v="9"/>
    <n v="1441.6530971075163"/>
  </r>
  <r>
    <x v="12"/>
    <n v="4394.6769398184024"/>
  </r>
  <r>
    <x v="15"/>
    <n v="79.040724790629838"/>
  </r>
  <r>
    <x v="16"/>
    <n v="1627.4614809349359"/>
  </r>
  <r>
    <x v="17"/>
    <n v="5165.1317509989303"/>
  </r>
  <r>
    <x v="20"/>
    <n v="29081.108864959464"/>
  </r>
  <r>
    <x v="21"/>
    <n v="12345.775647785205"/>
  </r>
  <r>
    <x v="22"/>
    <n v="320.65061724339478"/>
  </r>
  <r>
    <x v="23"/>
    <n v="3870.1933245776868"/>
  </r>
  <r>
    <x v="24"/>
    <n v="1243.8142577675148"/>
  </r>
  <r>
    <x v="25"/>
    <n v="1355.4488786666625"/>
  </r>
  <r>
    <x v="27"/>
    <n v="426.98635975127394"/>
  </r>
  <r>
    <x v="29"/>
    <n v="1893.4377863479469"/>
  </r>
  <r>
    <x v="30"/>
    <n v="1320.1265342413687"/>
  </r>
  <r>
    <x v="30"/>
    <n v="973.20275058082984"/>
  </r>
  <r>
    <x v="31"/>
    <n v="509.65287968621658"/>
  </r>
  <r>
    <x v="32"/>
    <n v="1772.056205588726"/>
  </r>
  <r>
    <x v="33"/>
    <n v="6863.4579058717882"/>
  </r>
  <r>
    <x v="35"/>
    <n v="1292.5786873364643"/>
  </r>
  <r>
    <x v="34"/>
    <n v="1360.6732788664947"/>
  </r>
  <r>
    <x v="36"/>
    <n v="2115.3902094605387"/>
  </r>
  <r>
    <x v="38"/>
    <n v="3335.5130199685404"/>
  </r>
  <r>
    <x v="39"/>
    <n v="1344.8300527851545"/>
  </r>
  <r>
    <x v="40"/>
    <n v="1545.0438587169922"/>
  </r>
  <r>
    <x v="41"/>
    <n v="3170.1754550895926"/>
  </r>
  <r>
    <x v="42"/>
    <n v="1129.0403411216519"/>
  </r>
  <r>
    <x v="43"/>
    <n v="667.25836441936485"/>
  </r>
  <r>
    <x v="44"/>
    <n v="571.59412054042161"/>
  </r>
  <r>
    <x v="45"/>
    <n v="785.27692230679997"/>
  </r>
  <r>
    <x v="46"/>
    <n v="1464.34"/>
  </r>
  <r>
    <x v="19"/>
    <n v="375.72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x v="0"/>
    <n v="111426.78752962446"/>
  </r>
  <r>
    <x v="1"/>
    <n v="82954.447531088299"/>
  </r>
  <r>
    <x v="2"/>
    <n v="54554.246247253381"/>
  </r>
  <r>
    <x v="3"/>
    <n v="33579.615308136163"/>
  </r>
  <r>
    <x v="4"/>
    <n v="19993.022566488773"/>
  </r>
  <r>
    <x v="5"/>
    <n v="11322.06884872027"/>
  </r>
  <r>
    <x v="6"/>
    <n v="46526.973384786514"/>
  </r>
  <r>
    <x v="7"/>
    <n v="35213.124946682801"/>
  </r>
  <r>
    <x v="8"/>
    <n v="126328.55920937254"/>
  </r>
  <r>
    <x v="9"/>
    <n v="37654.623200638016"/>
  </r>
  <r>
    <x v="10"/>
    <n v="182616.20374226049"/>
  </r>
  <r>
    <x v="11"/>
    <n v="38950.358759088864"/>
  </r>
  <r>
    <x v="12"/>
    <n v="24161.494475759617"/>
  </r>
  <r>
    <x v="13"/>
    <n v="111418.84417927418"/>
  </r>
  <r>
    <x v="14"/>
    <n v="35527.939003380285"/>
  </r>
  <r>
    <x v="15"/>
    <n v="1483.0263114282677"/>
  </r>
  <r>
    <x v="16"/>
    <n v="23472.853092197696"/>
  </r>
  <r>
    <x v="17"/>
    <n v="13364.832642817653"/>
  </r>
  <r>
    <x v="18"/>
    <n v="42396.149797479149"/>
  </r>
  <r>
    <x v="19"/>
    <n v="43297.928964971368"/>
  </r>
  <r>
    <x v="20"/>
    <n v="19879.657201384522"/>
  </r>
  <r>
    <x v="21"/>
    <n v="3670.1264352754397"/>
  </r>
  <r>
    <x v="22"/>
    <n v="47235.868320791458"/>
  </r>
  <r>
    <x v="23"/>
    <n v="106593.9658003012"/>
  </r>
  <r>
    <x v="24"/>
    <n v="49655.296470075511"/>
  </r>
  <r>
    <x v="25"/>
    <n v="88460.489740478617"/>
  </r>
  <r>
    <x v="26"/>
    <n v="72984.07471907929"/>
  </r>
  <r>
    <x v="27"/>
    <n v="66174.610977572665"/>
  </r>
  <r>
    <x v="28"/>
    <n v="157459.35466644104"/>
  </r>
  <r>
    <x v="29"/>
    <n v="192467.4415484069"/>
  </r>
  <r>
    <x v="29"/>
    <n v="8663.5185677579502"/>
  </r>
  <r>
    <x v="30"/>
    <n v="16302.300685886989"/>
  </r>
  <r>
    <x v="31"/>
    <n v="19674.496830660344"/>
  </r>
  <r>
    <x v="32"/>
    <n v="35119.209436615383"/>
  </r>
  <r>
    <x v="33"/>
    <n v="11973.253660465718"/>
  </r>
  <r>
    <x v="34"/>
    <n v="5036.8460767416973"/>
  </r>
  <r>
    <x v="35"/>
    <n v="50281.248622488172"/>
  </r>
  <r>
    <x v="36"/>
    <n v="43704.812541217914"/>
  </r>
  <r>
    <x v="37"/>
    <n v="1377.5326972000482"/>
  </r>
  <r>
    <x v="38"/>
    <n v="65443.519272139936"/>
  </r>
  <r>
    <x v="38"/>
    <n v="61204.05588336131"/>
  </r>
  <r>
    <x v="39"/>
    <n v="46142.55693649024"/>
  </r>
  <r>
    <x v="40"/>
    <n v="26741.630626894239"/>
  </r>
  <r>
    <x v="41"/>
    <n v="24156.187501865919"/>
  </r>
  <r>
    <x v="42"/>
    <n v="17567.721449450346"/>
  </r>
  <r>
    <x v="43"/>
    <n v="15774.416082479071"/>
  </r>
  <r>
    <x v="44"/>
    <n v="395033.15845899063"/>
  </r>
  <r>
    <x v="45"/>
    <n v="14344.661570211902"/>
  </r>
  <r>
    <x v="0"/>
    <n v="34507.567110008051"/>
  </r>
  <r>
    <x v="1"/>
    <n v="31898.374473694988"/>
  </r>
  <r>
    <x v="2"/>
    <n v="9471.1500289244123"/>
  </r>
  <r>
    <x v="3"/>
    <n v="6587.2621162302821"/>
  </r>
  <r>
    <x v="46"/>
    <n v="7796.7711732904063"/>
  </r>
  <r>
    <x v="7"/>
    <n v="22010.502782797194"/>
  </r>
  <r>
    <x v="8"/>
    <n v="29357.022202055294"/>
  </r>
  <r>
    <x v="9"/>
    <n v="1861.2986676775702"/>
  </r>
  <r>
    <x v="10"/>
    <n v="139024.98734885888"/>
  </r>
  <r>
    <x v="11"/>
    <n v="8256.0243366414561"/>
  </r>
  <r>
    <x v="12"/>
    <n v="7743.7578215191652"/>
  </r>
  <r>
    <x v="38"/>
    <n v="10351.673436141722"/>
  </r>
  <r>
    <x v="13"/>
    <n v="9083.0710479343306"/>
  </r>
  <r>
    <x v="14"/>
    <n v="10631.951444514902"/>
  </r>
  <r>
    <x v="42"/>
    <n v="13154.419616642817"/>
  </r>
  <r>
    <x v="16"/>
    <n v="10379.203527801508"/>
  </r>
  <r>
    <x v="17"/>
    <n v="9124.7607206446501"/>
  </r>
  <r>
    <x v="18"/>
    <n v="7743.8256279806083"/>
  </r>
  <r>
    <x v="19"/>
    <n v="1879.9115413435773"/>
  </r>
  <r>
    <x v="20"/>
    <n v="7796.7711732904063"/>
  </r>
  <r>
    <x v="21"/>
    <n v="9787.0038274011713"/>
  </r>
  <r>
    <x v="22"/>
    <n v="12569.792306084317"/>
  </r>
  <r>
    <x v="23"/>
    <n v="26472.964773207565"/>
  </r>
  <r>
    <x v="25"/>
    <n v="10132.376038759292"/>
  </r>
  <r>
    <x v="26"/>
    <n v="17916.998554374564"/>
  </r>
  <r>
    <x v="28"/>
    <n v="11942.141795740452"/>
  </r>
  <r>
    <x v="34"/>
    <n v="9201.3933231517512"/>
  </r>
  <r>
    <x v="35"/>
    <n v="25899.412518018031"/>
  </r>
  <r>
    <x v="38"/>
    <n v="10351.673436141722"/>
  </r>
  <r>
    <x v="39"/>
    <n v="13657.419248701281"/>
  </r>
  <r>
    <x v="40"/>
    <n v="12569.792306084317"/>
  </r>
  <r>
    <x v="41"/>
    <n v="24621.464139208456"/>
  </r>
  <r>
    <x v="43"/>
    <n v="6983.2292489015272"/>
  </r>
  <r>
    <x v="44"/>
    <n v="20148.780426297846"/>
  </r>
  <r>
    <x v="47"/>
    <n v="511.21835169530527"/>
  </r>
  <r>
    <x v="0"/>
    <n v="6574.7744262479273"/>
  </r>
  <r>
    <x v="1"/>
    <n v="4977.932259273588"/>
  </r>
  <r>
    <x v="3"/>
    <n v="722.25182513326274"/>
  </r>
  <r>
    <x v="6"/>
    <n v="5573.0469692018887"/>
  </r>
  <r>
    <x v="7"/>
    <n v="2112.8041342452552"/>
  </r>
  <r>
    <x v="8"/>
    <n v="6647.8782859961066"/>
  </r>
  <r>
    <x v="10"/>
    <n v="15582.953237518852"/>
  </r>
  <r>
    <x v="11"/>
    <n v="1577.3252071557642"/>
  </r>
  <r>
    <x v="12"/>
    <n v="1718.8937975711037"/>
  </r>
  <r>
    <x v="13"/>
    <n v="10723.294303992197"/>
  </r>
  <r>
    <x v="48"/>
    <n v="2705.2126223682922"/>
  </r>
  <r>
    <x v="14"/>
    <n v="2001.2173008644727"/>
  </r>
  <r>
    <x v="15"/>
    <n v="846.17943449660743"/>
  </r>
  <r>
    <x v="16"/>
    <n v="995.83959597743683"/>
  </r>
  <r>
    <x v="17"/>
    <n v="584.20917071294036"/>
  </r>
  <r>
    <x v="18"/>
    <n v="1912.0179008366708"/>
  </r>
  <r>
    <x v="19"/>
    <n v="100.22925108913952"/>
  </r>
  <r>
    <x v="49"/>
    <n v="3621.2949877451292"/>
  </r>
  <r>
    <x v="20"/>
    <n v="406.28262061350694"/>
  </r>
  <r>
    <x v="22"/>
    <n v="895.74595781118262"/>
  </r>
  <r>
    <x v="23"/>
    <n v="3262.2018063499127"/>
  </r>
  <r>
    <x v="24"/>
    <n v="2682.6044319016332"/>
  </r>
  <r>
    <x v="25"/>
    <n v="4615.5971314778944"/>
  </r>
  <r>
    <x v="26"/>
    <n v="4313.3046252896684"/>
  </r>
  <r>
    <x v="27"/>
    <n v="1811.4169959136361"/>
  </r>
  <r>
    <x v="28"/>
    <n v="10930.289263854889"/>
  </r>
  <r>
    <x v="29"/>
    <n v="21620.609122268295"/>
  </r>
  <r>
    <x v="29"/>
    <n v="438.17665491929273"/>
  </r>
  <r>
    <x v="30"/>
    <n v="293.95231143078234"/>
  </r>
  <r>
    <x v="46"/>
    <n v="879.32549306515511"/>
  </r>
  <r>
    <x v="33"/>
    <n v="1280.4120135753196"/>
  </r>
  <r>
    <x v="34"/>
    <n v="541.47979892716569"/>
  </r>
  <r>
    <x v="36"/>
    <n v="3050.318872305108"/>
  </r>
  <r>
    <x v="38"/>
    <n v="1674.1076297882357"/>
  </r>
  <r>
    <x v="38"/>
    <n v="1234.1567057945272"/>
  </r>
  <r>
    <x v="40"/>
    <n v="1639.1646999914583"/>
  </r>
  <r>
    <x v="41"/>
    <n v="1705.434214974739"/>
  </r>
  <r>
    <x v="42"/>
    <n v="1431.7786376691222"/>
  </r>
  <r>
    <x v="43"/>
    <n v="724.86237389880466"/>
  </r>
  <r>
    <x v="44"/>
    <n v="37559.174305080574"/>
  </r>
  <r>
    <x v="50"/>
    <n v="3170.9804704422995"/>
  </r>
  <r>
    <x v="45"/>
    <n v="3737.08493151279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A9686B-1F1E-4CF1-992C-B281D2E18B28}" name="PivotTable3" cacheId="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:E52" firstHeaderRow="1" firstDataRow="1" firstDataCol="1"/>
  <pivotFields count="2">
    <pivotField axis="axisRow" showAll="0">
      <items count="81">
        <item h="1" m="1" x="66"/>
        <item x="0"/>
        <item m="1" x="73"/>
        <item x="1"/>
        <item m="1" x="75"/>
        <item x="2"/>
        <item x="3"/>
        <item x="4"/>
        <item x="5"/>
        <item x="6"/>
        <item x="7"/>
        <item x="8"/>
        <item m="1" x="60"/>
        <item x="9"/>
        <item m="1" x="52"/>
        <item x="10"/>
        <item x="11"/>
        <item x="12"/>
        <item x="13"/>
        <item x="14"/>
        <item x="15"/>
        <item x="16"/>
        <item m="1" x="71"/>
        <item x="17"/>
        <item x="18"/>
        <item x="19"/>
        <item x="20"/>
        <item m="1" x="62"/>
        <item x="21"/>
        <item m="1" x="55"/>
        <item x="22"/>
        <item m="1" x="67"/>
        <item x="47"/>
        <item x="23"/>
        <item m="1" x="64"/>
        <item x="24"/>
        <item x="25"/>
        <item m="1" x="76"/>
        <item x="26"/>
        <item x="27"/>
        <item x="28"/>
        <item m="1" x="68"/>
        <item m="1" x="79"/>
        <item m="1" x="70"/>
        <item m="1" x="58"/>
        <item x="30"/>
        <item m="1" x="65"/>
        <item m="1" x="78"/>
        <item m="1" x="53"/>
        <item x="31"/>
        <item x="32"/>
        <item x="33"/>
        <item m="1" x="74"/>
        <item x="35"/>
        <item x="34"/>
        <item m="1" x="77"/>
        <item m="1" x="56"/>
        <item x="48"/>
        <item x="36"/>
        <item m="1" x="72"/>
        <item x="37"/>
        <item m="1" x="57"/>
        <item x="38"/>
        <item x="39"/>
        <item m="1" x="54"/>
        <item x="40"/>
        <item m="1" x="69"/>
        <item x="41"/>
        <item m="1" x="51"/>
        <item x="42"/>
        <item m="1" x="63"/>
        <item m="1" x="61"/>
        <item x="43"/>
        <item x="44"/>
        <item m="1" x="50"/>
        <item x="45"/>
        <item x="46"/>
        <item m="1" x="59"/>
        <item m="1" x="49"/>
        <item x="29"/>
        <item t="default"/>
      </items>
    </pivotField>
    <pivotField dataField="1" numFmtId="43" showAll="0"/>
  </pivotFields>
  <rowFields count="1">
    <field x="0"/>
  </rowFields>
  <rowItems count="50">
    <i>
      <x v="1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5"/>
    </i>
    <i>
      <x v="16"/>
    </i>
    <i>
      <x v="17"/>
    </i>
    <i>
      <x v="18"/>
    </i>
    <i>
      <x v="19"/>
    </i>
    <i>
      <x v="20"/>
    </i>
    <i>
      <x v="21"/>
    </i>
    <i>
      <x v="23"/>
    </i>
    <i>
      <x v="24"/>
    </i>
    <i>
      <x v="25"/>
    </i>
    <i>
      <x v="26"/>
    </i>
    <i>
      <x v="28"/>
    </i>
    <i>
      <x v="30"/>
    </i>
    <i>
      <x v="32"/>
    </i>
    <i>
      <x v="33"/>
    </i>
    <i>
      <x v="35"/>
    </i>
    <i>
      <x v="36"/>
    </i>
    <i>
      <x v="38"/>
    </i>
    <i>
      <x v="39"/>
    </i>
    <i>
      <x v="40"/>
    </i>
    <i>
      <x v="45"/>
    </i>
    <i>
      <x v="49"/>
    </i>
    <i>
      <x v="50"/>
    </i>
    <i>
      <x v="51"/>
    </i>
    <i>
      <x v="53"/>
    </i>
    <i>
      <x v="54"/>
    </i>
    <i>
      <x v="57"/>
    </i>
    <i>
      <x v="58"/>
    </i>
    <i>
      <x v="60"/>
    </i>
    <i>
      <x v="62"/>
    </i>
    <i>
      <x v="63"/>
    </i>
    <i>
      <x v="65"/>
    </i>
    <i>
      <x v="67"/>
    </i>
    <i>
      <x v="69"/>
    </i>
    <i>
      <x v="72"/>
    </i>
    <i>
      <x v="73"/>
    </i>
    <i>
      <x v="75"/>
    </i>
    <i>
      <x v="76"/>
    </i>
    <i>
      <x v="79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FCDDC9-AF43-4F44-84D8-3EC2C7B638FF}" name="PivotTable6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5:O56" firstHeaderRow="1" firstDataRow="1" firstDataCol="1"/>
  <pivotFields count="2">
    <pivotField axis="axisRow" showAll="0">
      <items count="57">
        <item x="2"/>
        <item x="3"/>
        <item m="1" x="51"/>
        <item m="1" x="52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53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m="1" x="54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m="1" x="55"/>
        <item h="1" x="0"/>
        <item x="1"/>
        <item x="8"/>
        <item x="30"/>
        <item x="50"/>
        <item t="default"/>
      </items>
    </pivotField>
    <pivotField dataField="1" numFmtId="43" showAll="0"/>
  </pivotFields>
  <rowFields count="1">
    <field x="0"/>
  </rowFields>
  <rowItems count="51">
    <i>
      <x/>
    </i>
    <i>
      <x v="1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2"/>
    </i>
    <i>
      <x v="53"/>
    </i>
    <i>
      <x v="54"/>
    </i>
    <i>
      <x v="55"/>
    </i>
    <i t="grand">
      <x/>
    </i>
  </rowItems>
  <colItems count="1">
    <i/>
  </colItems>
  <dataFields count="1">
    <dataField name="Sum of Amount" fld="1" baseField="0" baseItem="0" numFmtId="43"/>
  </dataFields>
  <formats count="18">
    <format dxfId="4">
      <pivotArea dataOnly="0" labelOnly="1" fieldPosition="0">
        <references count="1">
          <reference field="0" count="6">
            <x v="0"/>
            <x v="1"/>
            <x v="4"/>
            <x v="5"/>
            <x v="6"/>
            <x v="7"/>
          </reference>
        </references>
      </pivotArea>
    </format>
    <format dxfId="5">
      <pivotArea dataOnly="0" labelOnly="1" fieldPosition="0">
        <references count="1">
          <reference field="0" count="1">
            <x v="8"/>
          </reference>
        </references>
      </pivotArea>
    </format>
    <format dxfId="6">
      <pivotArea dataOnly="0" labelOnly="1" fieldPosition="0">
        <references count="1">
          <reference field="0" count="1">
            <x v="9"/>
          </reference>
        </references>
      </pivotArea>
    </format>
    <format dxfId="7">
      <pivotArea dataOnly="0" labelOnly="1" fieldPosition="0">
        <references count="1">
          <reference field="0" count="2">
            <x v="10"/>
            <x v="11"/>
          </reference>
        </references>
      </pivotArea>
    </format>
    <format dxfId="8">
      <pivotArea dataOnly="0" labelOnly="1" fieldPosition="0">
        <references count="1">
          <reference field="0" count="2">
            <x v="12"/>
            <x v="13"/>
          </reference>
        </references>
      </pivotArea>
    </format>
    <format dxfId="9">
      <pivotArea dataOnly="0" labelOnly="1" fieldPosition="0">
        <references count="1">
          <reference field="0" count="2">
            <x v="14"/>
            <x v="15"/>
          </reference>
        </references>
      </pivotArea>
    </format>
    <format dxfId="10">
      <pivotArea dataOnly="0" labelOnly="1" fieldPosition="0">
        <references count="1">
          <reference field="0" count="4">
            <x v="16"/>
            <x v="17"/>
            <x v="18"/>
            <x v="19"/>
          </reference>
        </references>
      </pivotArea>
    </format>
    <format dxfId="11">
      <pivotArea dataOnly="0" labelOnly="1" fieldPosition="0">
        <references count="1">
          <reference field="0" count="3">
            <x v="20"/>
            <x v="22"/>
            <x v="23"/>
          </reference>
        </references>
      </pivotArea>
    </format>
    <format dxfId="12">
      <pivotArea dataOnly="0" labelOnly="1" fieldPosition="0">
        <references count="1">
          <reference field="0" count="2">
            <x v="24"/>
            <x v="25"/>
          </reference>
        </references>
      </pivotArea>
    </format>
    <format dxfId="13">
      <pivotArea dataOnly="0" labelOnly="1" fieldPosition="0">
        <references count="1">
          <reference field="0" count="2">
            <x v="26"/>
            <x v="27"/>
          </reference>
        </references>
      </pivotArea>
    </format>
    <format dxfId="14">
      <pivotArea dataOnly="0" labelOnly="1" fieldPosition="0">
        <references count="1">
          <reference field="0" count="2">
            <x v="28"/>
            <x v="29"/>
          </reference>
        </references>
      </pivotArea>
    </format>
    <format dxfId="15">
      <pivotArea dataOnly="0" labelOnly="1" fieldPosition="0">
        <references count="1">
          <reference field="0" count="2">
            <x v="30"/>
            <x v="32"/>
          </reference>
        </references>
      </pivotArea>
    </format>
    <format dxfId="16">
      <pivotArea dataOnly="0" labelOnly="1" fieldPosition="0">
        <references count="1">
          <reference field="0" count="5">
            <x v="34"/>
            <x v="35"/>
            <x v="36"/>
            <x v="38"/>
            <x v="39"/>
          </reference>
        </references>
      </pivotArea>
    </format>
    <format dxfId="17">
      <pivotArea dataOnly="0" labelOnly="1" fieldPosition="0">
        <references count="1">
          <reference field="0" count="3">
            <x v="39"/>
            <x v="40"/>
            <x v="41"/>
          </reference>
        </references>
      </pivotArea>
    </format>
    <format dxfId="18">
      <pivotArea dataOnly="0" labelOnly="1" fieldPosition="0">
        <references count="1">
          <reference field="0" count="2">
            <x v="42"/>
            <x v="43"/>
          </reference>
        </references>
      </pivotArea>
    </format>
    <format dxfId="19">
      <pivotArea dataOnly="0" labelOnly="1" fieldPosition="0">
        <references count="1">
          <reference field="0" count="3">
            <x v="44"/>
            <x v="45"/>
            <x v="46"/>
          </reference>
        </references>
      </pivotArea>
    </format>
    <format dxfId="20">
      <pivotArea dataOnly="0" labelOnly="1" fieldPosition="0">
        <references count="1">
          <reference field="0" count="2">
            <x v="47"/>
            <x v="48"/>
          </reference>
        </references>
      </pivotArea>
    </format>
    <format dxfId="21">
      <pivotArea dataOnly="0" labelOnly="1" fieldPosition="0">
        <references count="1">
          <reference field="0" count="2">
            <x v="49"/>
            <x v="5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24C96-F3CB-480F-A897-6C384D3DB116}" name="PivotTable5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40" firstHeaderRow="1" firstDataRow="1" firstDataCol="1"/>
  <pivotFields count="27">
    <pivotField axis="axisRow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m="1" x="36"/>
        <item m="1" x="37"/>
        <item x="35"/>
        <item t="default"/>
      </items>
    </pivotField>
    <pivotField numFmtId="167" showAll="0"/>
    <pivotField numFmtId="167" showAll="0"/>
    <pivotField numFmtId="167" showAll="0"/>
    <pivotField numFmtId="167" showAll="0"/>
    <pivotField numFmtId="167" showAll="0"/>
    <pivotField numFmtId="167" showAll="0"/>
    <pivotField numFmtId="167" showAll="0"/>
    <pivotField numFmtId="167" showAll="0"/>
    <pivotField numFmtId="167" showAll="0"/>
    <pivotField numFmtId="167" showAll="0"/>
    <pivotField numFmtId="167" showAll="0"/>
    <pivotField numFmtId="167" showAll="0"/>
    <pivotField dataField="1" numFmtId="2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</pivotFields>
  <rowFields count="1">
    <field x="0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7"/>
    </i>
    <i t="grand">
      <x/>
    </i>
  </rowItems>
  <colItems count="1">
    <i/>
  </colItems>
  <dataFields count="1">
    <dataField name="Sum of Consildated Eur" fld="13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FBD199-0816-46A7-9D92-8C5771813C2A}" name="PivotTable4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53" firstHeaderRow="1" firstDataRow="1" firstDataCol="1"/>
  <pivotFields count="27">
    <pivotField axis="axisRow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m="1" x="50"/>
        <item x="19"/>
        <item x="18"/>
        <item x="20"/>
        <item x="21"/>
        <item x="22"/>
        <item x="23"/>
        <item x="24"/>
        <item x="25"/>
        <item x="26"/>
        <item x="28"/>
        <item x="30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h="1" x="49"/>
        <item x="27"/>
        <item x="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9"/>
    </i>
    <i>
      <x v="50"/>
    </i>
    <i t="grand">
      <x/>
    </i>
  </rowItems>
  <colItems count="1">
    <i/>
  </colItems>
  <dataFields count="1">
    <dataField name="Sum of Cons EUR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76A428-2833-44A7-98D0-ACAFD34A10DD}" name="PivotTable3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6" firstHeaderRow="1" firstDataRow="1" firstDataCol="1"/>
  <pivotFields count="27">
    <pivotField axis="axisRow" showAll="0">
      <items count="58">
        <item x="0"/>
        <item m="1" x="44"/>
        <item x="1"/>
        <item m="1" x="45"/>
        <item x="2"/>
        <item x="3"/>
        <item x="4"/>
        <item m="1" x="46"/>
        <item x="5"/>
        <item x="6"/>
        <item m="1" x="42"/>
        <item x="8"/>
        <item x="9"/>
        <item m="1" x="47"/>
        <item x="10"/>
        <item x="11"/>
        <item x="12"/>
        <item x="13"/>
        <item x="14"/>
        <item x="15"/>
        <item m="1" x="43"/>
        <item m="1" x="48"/>
        <item x="16"/>
        <item x="17"/>
        <item m="1" x="49"/>
        <item x="18"/>
        <item x="19"/>
        <item x="20"/>
        <item x="22"/>
        <item m="1" x="50"/>
        <item m="1" x="51"/>
        <item x="23"/>
        <item m="1" x="52"/>
        <item x="24"/>
        <item x="25"/>
        <item x="26"/>
        <item x="27"/>
        <item x="28"/>
        <item x="29"/>
        <item x="30"/>
        <item m="1" x="53"/>
        <item x="31"/>
        <item x="32"/>
        <item m="1" x="54"/>
        <item x="33"/>
        <item x="34"/>
        <item x="35"/>
        <item m="1" x="55"/>
        <item x="36"/>
        <item x="37"/>
        <item m="1" x="56"/>
        <item x="38"/>
        <item x="39"/>
        <item x="40"/>
        <item x="41"/>
        <item x="7"/>
        <item x="21"/>
        <item t="default"/>
      </items>
    </pivotField>
    <pivotField showAll="0"/>
    <pivotField numFmtId="167" showAll="0"/>
    <pivotField numFmtId="167" showAll="0"/>
    <pivotField numFmtId="167" showAll="0"/>
    <pivotField numFmtId="167" showAll="0"/>
    <pivotField numFmtId="167" showAll="0"/>
    <pivotField numFmtId="167" showAll="0"/>
    <pivotField numFmtId="167" showAll="0"/>
    <pivotField numFmtId="167" showAll="0"/>
    <pivotField numFmtId="167" showAll="0"/>
    <pivotField numFmtId="167" showAll="0"/>
    <pivotField numFmtId="167" showAll="0"/>
    <pivotField dataField="1" numFmtId="170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</pivotFields>
  <rowFields count="1">
    <field x="0"/>
  </rowFields>
  <rowItems count="43">
    <i>
      <x/>
    </i>
    <i>
      <x v="2"/>
    </i>
    <i>
      <x v="4"/>
    </i>
    <i>
      <x v="5"/>
    </i>
    <i>
      <x v="6"/>
    </i>
    <i>
      <x v="8"/>
    </i>
    <i>
      <x v="9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>
      <x v="22"/>
    </i>
    <i>
      <x v="23"/>
    </i>
    <i>
      <x v="25"/>
    </i>
    <i>
      <x v="26"/>
    </i>
    <i>
      <x v="27"/>
    </i>
    <i>
      <x v="28"/>
    </i>
    <i>
      <x v="31"/>
    </i>
    <i>
      <x v="33"/>
    </i>
    <i>
      <x v="34"/>
    </i>
    <i>
      <x v="35"/>
    </i>
    <i>
      <x v="36"/>
    </i>
    <i>
      <x v="37"/>
    </i>
    <i>
      <x v="38"/>
    </i>
    <i>
      <x v="39"/>
    </i>
    <i>
      <x v="41"/>
    </i>
    <i>
      <x v="42"/>
    </i>
    <i>
      <x v="44"/>
    </i>
    <i>
      <x v="45"/>
    </i>
    <i>
      <x v="46"/>
    </i>
    <i>
      <x v="48"/>
    </i>
    <i>
      <x v="49"/>
    </i>
    <i>
      <x v="51"/>
    </i>
    <i>
      <x v="52"/>
    </i>
    <i>
      <x v="53"/>
    </i>
    <i>
      <x v="54"/>
    </i>
    <i>
      <x v="55"/>
    </i>
    <i>
      <x v="56"/>
    </i>
    <i t="grand">
      <x/>
    </i>
  </rowItems>
  <colItems count="1">
    <i/>
  </colItems>
  <dataFields count="1">
    <dataField name="Sum of Consolidated Eur" fld="13" baseField="0" baseItem="0" numFmtId="17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7D28B1-D220-4CF1-B8E8-4FEDBB451E11}" name="PivotTable1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5:H16" firstHeaderRow="1" firstDataRow="1" firstDataCol="1"/>
  <pivotFields count="2">
    <pivotField axis="axisRow" showAll="0" sortType="ascending">
      <items count="55">
        <item x="28"/>
        <item x="29"/>
        <item m="1" x="51"/>
        <item m="1" x="52"/>
        <item h="1" x="17"/>
        <item x="0"/>
        <item h="1" x="30"/>
        <item h="1" x="1"/>
        <item h="1" x="50"/>
        <item h="1" x="2"/>
        <item h="1" x="3"/>
        <item h="1" x="46"/>
        <item h="1" x="31"/>
        <item h="1" x="18"/>
        <item h="1" x="4"/>
        <item h="1" x="5"/>
        <item h="1" x="6"/>
        <item h="1" x="19"/>
        <item h="1" x="7"/>
        <item x="8"/>
        <item h="1" x="9"/>
        <item h="1" x="49"/>
        <item h="1" x="32"/>
        <item x="10"/>
        <item h="1" x="20"/>
        <item h="1" x="21"/>
        <item h="1" x="33"/>
        <item h="1" x="11"/>
        <item h="1" x="12"/>
        <item h="1" x="34"/>
        <item h="1" x="35"/>
        <item x="45"/>
        <item h="1" x="36"/>
        <item h="1" x="37"/>
        <item x="38"/>
        <item m="1" x="53"/>
        <item h="1" x="22"/>
        <item x="23"/>
        <item x="13"/>
        <item h="1" x="39"/>
        <item h="1" x="48"/>
        <item h="1" x="40"/>
        <item h="1" x="24"/>
        <item h="1" x="25"/>
        <item h="1" x="41"/>
        <item h="1" x="14"/>
        <item h="1" x="26"/>
        <item h="1" x="42"/>
        <item h="1" x="15"/>
        <item h="1" x="43"/>
        <item h="1" x="16"/>
        <item x="44"/>
        <item h="1" x="27"/>
        <item h="1" x="47"/>
        <item t="default"/>
      </items>
    </pivotField>
    <pivotField dataField="1" numFmtId="43" showAll="0"/>
  </pivotFields>
  <rowFields count="1">
    <field x="0"/>
  </rowFields>
  <rowItems count="11">
    <i>
      <x/>
    </i>
    <i>
      <x v="1"/>
    </i>
    <i>
      <x v="5"/>
    </i>
    <i>
      <x v="19"/>
    </i>
    <i>
      <x v="23"/>
    </i>
    <i>
      <x v="31"/>
    </i>
    <i>
      <x v="34"/>
    </i>
    <i>
      <x v="37"/>
    </i>
    <i>
      <x v="38"/>
    </i>
    <i>
      <x v="51"/>
    </i>
    <i t="grand">
      <x/>
    </i>
  </rowItems>
  <colItems count="1">
    <i/>
  </colItems>
  <dataFields count="1">
    <dataField name="Sum of Amount" fld="1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235A96-01B7-420D-A640-E9BB8BC1CD07}" name="PivotTable1" cacheId="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5:E56" firstHeaderRow="1" firstDataRow="1" firstDataCol="1"/>
  <pivotFields count="2">
    <pivotField axis="axisRow" showAll="0">
      <items count="51">
        <item x="48"/>
        <item x="25"/>
        <item x="26"/>
        <item x="14"/>
        <item x="0"/>
        <item x="27"/>
        <item x="1"/>
        <item x="38"/>
        <item x="2"/>
        <item x="28"/>
        <item x="15"/>
        <item x="40"/>
        <item x="41"/>
        <item x="3"/>
        <item x="16"/>
        <item x="4"/>
        <item x="5"/>
        <item x="42"/>
        <item x="17"/>
        <item x="6"/>
        <item x="18"/>
        <item x="43"/>
        <item x="29"/>
        <item x="7"/>
        <item x="8"/>
        <item x="45"/>
        <item x="30"/>
        <item x="44"/>
        <item x="39"/>
        <item x="31"/>
        <item x="32"/>
        <item x="19"/>
        <item x="20"/>
        <item x="9"/>
        <item x="10"/>
        <item x="33"/>
        <item x="46"/>
        <item x="21"/>
        <item x="49"/>
        <item x="22"/>
        <item x="34"/>
        <item x="11"/>
        <item x="23"/>
        <item x="35"/>
        <item x="12"/>
        <item x="36"/>
        <item x="13"/>
        <item x="37"/>
        <item x="24"/>
        <item x="47"/>
        <item t="default"/>
      </items>
    </pivotField>
    <pivotField dataField="1" numFmtId="43" showAl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Revenue" fld="1" baseField="0" baseItem="0" numFmtId="2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1E230E-EB9B-4BFF-A004-816B3ABFDB55}" name="PivotTable2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40:M44" firstHeaderRow="1" firstDataRow="1" firstDataCol="1"/>
  <pivotFields count="3">
    <pivotField showAll="0"/>
    <pivotField dataField="1" numFmtId="43" showAll="0"/>
    <pivotField axis="axisRow" showAll="0">
      <items count="4">
        <item x="0"/>
        <item x="1"/>
        <item x="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1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091FC3-7C7B-4671-B793-0A16D6F9C3D3}" name="PivotTable12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6" firstHeaderRow="1" firstDataRow="1" firstDataCol="1"/>
  <pivotFields count="27">
    <pivotField axis="axisRow" showAll="0">
      <items count="58">
        <item x="4"/>
        <item x="6"/>
        <item m="1" x="42"/>
        <item x="8"/>
        <item x="11"/>
        <item x="13"/>
        <item x="14"/>
        <item x="16"/>
        <item x="19"/>
        <item x="20"/>
        <item x="28"/>
        <item x="29"/>
        <item m="1" x="54"/>
        <item x="34"/>
        <item x="37"/>
        <item x="39"/>
        <item m="1" x="44"/>
        <item m="1" x="45"/>
        <item x="3"/>
        <item m="1" x="46"/>
        <item m="1" x="47"/>
        <item x="10"/>
        <item x="12"/>
        <item x="15"/>
        <item m="1" x="48"/>
        <item x="17"/>
        <item m="1" x="49"/>
        <item m="1" x="50"/>
        <item m="1" x="51"/>
        <item m="1" x="52"/>
        <item x="26"/>
        <item x="27"/>
        <item m="1" x="53"/>
        <item x="31"/>
        <item x="32"/>
        <item x="35"/>
        <item m="1" x="55"/>
        <item m="1" x="56"/>
        <item x="41"/>
        <item x="0"/>
        <item x="1"/>
        <item x="2"/>
        <item x="5"/>
        <item x="9"/>
        <item m="1" x="43"/>
        <item x="18"/>
        <item x="22"/>
        <item x="23"/>
        <item x="24"/>
        <item x="25"/>
        <item x="30"/>
        <item x="33"/>
        <item x="36"/>
        <item x="38"/>
        <item x="40"/>
        <item x="7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0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dataField="1" numFmtId="166" showAll="0"/>
  </pivotFields>
  <rowFields count="1">
    <field x="0"/>
  </rowFields>
  <rowItems count="43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8"/>
    </i>
    <i>
      <x v="21"/>
    </i>
    <i>
      <x v="22"/>
    </i>
    <i>
      <x v="23"/>
    </i>
    <i>
      <x v="25"/>
    </i>
    <i>
      <x v="30"/>
    </i>
    <i>
      <x v="31"/>
    </i>
    <i>
      <x v="33"/>
    </i>
    <i>
      <x v="34"/>
    </i>
    <i>
      <x v="35"/>
    </i>
    <i>
      <x v="38"/>
    </i>
    <i>
      <x v="39"/>
    </i>
    <i>
      <x v="40"/>
    </i>
    <i>
      <x v="41"/>
    </i>
    <i>
      <x v="42"/>
    </i>
    <i>
      <x v="43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 t="grand">
      <x/>
    </i>
  </rowItems>
  <colItems count="1">
    <i/>
  </colItems>
  <dataFields count="1">
    <dataField name="Sum of Consol USD" fld="2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0C633F-C26C-4DA7-9E77-2FADAE169E68}" name="PivotTable2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N52" firstHeaderRow="1" firstDataRow="1" firstDataCol="1"/>
  <pivotFields count="27">
    <pivotField axis="axisRow" showAll="0">
      <items count="54">
        <item x="0"/>
        <item x="3"/>
        <item x="4"/>
        <item x="5"/>
        <item x="6"/>
        <item x="7"/>
        <item x="8"/>
        <item x="9"/>
        <item x="11"/>
        <item x="13"/>
        <item x="10"/>
        <item x="12"/>
        <item m="1" x="49"/>
        <item m="1" x="50"/>
        <item x="14"/>
        <item x="15"/>
        <item x="16"/>
        <item x="17"/>
        <item x="18"/>
        <item m="1" x="51"/>
        <item x="20"/>
        <item x="21"/>
        <item x="23"/>
        <item x="25"/>
        <item x="24"/>
        <item m="1" x="52"/>
        <item x="26"/>
        <item x="27"/>
        <item x="31"/>
        <item x="32"/>
        <item x="35"/>
        <item x="33"/>
        <item x="34"/>
        <item x="36"/>
        <item x="37"/>
        <item x="38"/>
        <item x="40"/>
        <item x="41"/>
        <item x="42"/>
        <item x="43"/>
        <item x="44"/>
        <item m="1" x="48"/>
        <item x="46"/>
        <item x="2"/>
        <item x="29"/>
        <item x="30"/>
        <item x="22"/>
        <item x="28"/>
        <item x="39"/>
        <item x="47"/>
        <item x="1"/>
        <item x="19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>
      <x v="15"/>
    </i>
    <i>
      <x v="16"/>
    </i>
    <i>
      <x v="17"/>
    </i>
    <i>
      <x v="18"/>
    </i>
    <i>
      <x v="20"/>
    </i>
    <i>
      <x v="21"/>
    </i>
    <i>
      <x v="22"/>
    </i>
    <i>
      <x v="23"/>
    </i>
    <i>
      <x v="24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Items count="1">
    <i/>
  </colItems>
  <dataFields count="1">
    <dataField name="Sum of CONSOL USD" fld="2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1B15FD-25F8-463D-B6FC-C346996D1E71}" name="PivotTable1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54" firstHeaderRow="1" firstDataRow="1" firstDataCol="1"/>
  <pivotFields count="27">
    <pivotField axis="axisRow" showAll="0">
      <items count="57">
        <item x="0"/>
        <item x="2"/>
        <item x="3"/>
        <item x="4"/>
        <item x="5"/>
        <item x="6"/>
        <item x="7"/>
        <item x="8"/>
        <item x="9"/>
        <item x="11"/>
        <item x="13"/>
        <item x="10"/>
        <item x="12"/>
        <item m="1" x="51"/>
        <item m="1" x="52"/>
        <item x="14"/>
        <item x="15"/>
        <item m="1" x="55"/>
        <item x="16"/>
        <item x="17"/>
        <item x="18"/>
        <item m="1" x="53"/>
        <item x="20"/>
        <item x="21"/>
        <item x="22"/>
        <item x="23"/>
        <item x="25"/>
        <item x="24"/>
        <item x="26"/>
        <item x="27"/>
        <item x="28"/>
        <item x="29"/>
        <item x="30"/>
        <item x="31"/>
        <item x="32"/>
        <item x="33"/>
        <item x="36"/>
        <item x="34"/>
        <item x="35"/>
        <item x="38"/>
        <item x="37"/>
        <item m="1" x="54"/>
        <item x="39"/>
        <item x="40"/>
        <item x="41"/>
        <item x="42"/>
        <item x="43"/>
        <item x="44"/>
        <item x="45"/>
        <item m="1" x="50"/>
        <item x="47"/>
        <item x="48"/>
        <item x="1"/>
        <item x="19"/>
        <item x="49"/>
        <item x="4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dataField="1" numFmtId="166" showAl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5"/>
    </i>
    <i>
      <x v="16"/>
    </i>
    <i>
      <x v="18"/>
    </i>
    <i>
      <x v="19"/>
    </i>
    <i>
      <x v="20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2"/>
    </i>
    <i>
      <x v="43"/>
    </i>
    <i>
      <x v="44"/>
    </i>
    <i>
      <x v="45"/>
    </i>
    <i>
      <x v="46"/>
    </i>
    <i>
      <x v="47"/>
    </i>
    <i>
      <x v="48"/>
    </i>
    <i>
      <x v="50"/>
    </i>
    <i>
      <x v="51"/>
    </i>
    <i>
      <x v="52"/>
    </i>
    <i>
      <x v="53"/>
    </i>
    <i>
      <x v="54"/>
    </i>
    <i>
      <x v="55"/>
    </i>
    <i t="grand">
      <x/>
    </i>
  </rowItems>
  <colItems count="1">
    <i/>
  </colItems>
  <dataFields count="1">
    <dataField name="Sum of Consol USD" fld="26" baseField="0" baseItem="0" numFmtId="166"/>
  </dataFields>
  <formats count="2">
    <format dxfId="1">
      <pivotArea grandRow="1" outline="0" collapsedLevelsAreSubtotals="1" fieldPosition="0"/>
    </format>
    <format dxfId="2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045CDA-582A-4F21-84DF-AA1BFC3DCC70}" name="PivotTable14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40" firstHeaderRow="1" firstDataRow="1" firstDataCol="1"/>
  <pivotFields count="27">
    <pivotField axis="axisRow" showAll="0">
      <items count="39">
        <item x="2"/>
        <item x="3"/>
        <item x="4"/>
        <item x="5"/>
        <item x="6"/>
        <item x="9"/>
        <item x="10"/>
        <item x="11"/>
        <item x="12"/>
        <item x="15"/>
        <item x="16"/>
        <item x="19"/>
        <item x="23"/>
        <item x="28"/>
        <item x="30"/>
        <item x="32"/>
        <item x="1"/>
        <item x="7"/>
        <item x="8"/>
        <item x="13"/>
        <item x="14"/>
        <item x="21"/>
        <item x="22"/>
        <item x="26"/>
        <item x="29"/>
        <item x="0"/>
        <item x="17"/>
        <item x="18"/>
        <item x="20"/>
        <item x="24"/>
        <item x="25"/>
        <item x="27"/>
        <item x="31"/>
        <item x="33"/>
        <item m="1" x="37"/>
        <item m="1" x="36"/>
        <item x="34"/>
        <item x="35"/>
        <item t="default"/>
      </items>
    </pivotField>
    <pivotField numFmtId="164" showAll="0"/>
    <pivotField numFmtId="168" showAll="0"/>
    <pivotField numFmtId="164" showAll="0"/>
    <pivotField numFmtId="168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dataField="1" numFmtId="166" showAll="0"/>
  </pivotFields>
  <rowFields count="1">
    <field x="0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6"/>
    </i>
    <i>
      <x v="37"/>
    </i>
    <i t="grand">
      <x/>
    </i>
  </rowItems>
  <colItems count="1">
    <i/>
  </colItems>
  <dataFields count="1">
    <dataField name="Sum of Consol USD" fld="2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0FD94-7A09-4FEB-936B-DE6D5A8401F0}" name="PivotTable13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53" firstHeaderRow="1" firstDataRow="1" firstDataCol="1"/>
  <pivotFields count="27">
    <pivotField axis="axisRow" showAll="0">
      <items count="50">
        <item x="4"/>
        <item x="6"/>
        <item x="7"/>
        <item x="8"/>
        <item x="11"/>
        <item x="12"/>
        <item x="13"/>
        <item x="15"/>
        <item x="16"/>
        <item x="17"/>
        <item x="18"/>
        <item x="23"/>
        <item x="24"/>
        <item x="34"/>
        <item x="40"/>
        <item x="43"/>
        <item x="45"/>
        <item x="3"/>
        <item x="10"/>
        <item x="14"/>
        <item x="20"/>
        <item x="21"/>
        <item x="32"/>
        <item x="33"/>
        <item x="37"/>
        <item x="38"/>
        <item x="41"/>
        <item x="47"/>
        <item x="0"/>
        <item x="1"/>
        <item x="2"/>
        <item x="5"/>
        <item x="9"/>
        <item x="19"/>
        <item x="22"/>
        <item x="25"/>
        <item x="26"/>
        <item x="28"/>
        <item x="30"/>
        <item x="29"/>
        <item x="31"/>
        <item x="35"/>
        <item x="36"/>
        <item x="39"/>
        <item x="42"/>
        <item x="44"/>
        <item x="46"/>
        <item x="27"/>
        <item x="48"/>
        <item t="default"/>
      </items>
    </pivotField>
    <pivotField numFmtId="169" showAll="0"/>
    <pivotField numFmtId="169" showAll="0"/>
    <pivotField numFmtId="169" showAll="0"/>
    <pivotField numFmtId="169" showAll="0"/>
    <pivotField numFmtId="169" showAll="0"/>
    <pivotField numFmtId="169" showAll="0"/>
    <pivotField showAll="0"/>
    <pivotField showAll="0"/>
    <pivotField showAll="0"/>
    <pivotField showAll="0"/>
    <pivotField numFmtId="169" showAll="0"/>
    <pivotField numFmtId="169" showAll="0"/>
    <pivotField numFmtId="169" showAll="0"/>
    <pivotField numFmtId="171" showAll="0"/>
    <pivotField numFmtId="171" showAll="0"/>
    <pivotField numFmtId="171" showAll="0"/>
    <pivotField numFmtId="171" showAll="0"/>
    <pivotField numFmtId="171" showAll="0"/>
    <pivotField numFmtId="171" showAll="0"/>
    <pivotField numFmtId="171" showAll="0"/>
    <pivotField numFmtId="171" showAll="0"/>
    <pivotField numFmtId="171" showAll="0"/>
    <pivotField numFmtId="171" showAll="0"/>
    <pivotField numFmtId="171" showAll="0"/>
    <pivotField numFmtId="2" showAll="0"/>
    <pivotField dataField="1" numFmtId="171" showAll="0"/>
  </pivotFields>
  <rowFields count="1">
    <field x="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Consol USD" fld="26" baseField="0" baseItem="0"/>
  </dataFields>
  <formats count="1"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printerSettings" Target="../printerSettings/printerSettings3.bin"/><Relationship Id="rId5" Type="http://schemas.openxmlformats.org/officeDocument/2006/relationships/pivotTable" Target="../pivotTables/pivotTable13.xml"/><Relationship Id="rId4" Type="http://schemas.openxmlformats.org/officeDocument/2006/relationships/pivotTable" Target="../pivotTables/pivotTable1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E626E-0BAA-47EE-BB87-B60AD9FB5819}">
  <dimension ref="A1:D14"/>
  <sheetViews>
    <sheetView workbookViewId="0">
      <selection activeCell="J15" sqref="J15"/>
    </sheetView>
  </sheetViews>
  <sheetFormatPr defaultRowHeight="14.45"/>
  <cols>
    <col min="1" max="1" width="20.5703125" bestFit="1" customWidth="1"/>
    <col min="2" max="2" width="13.28515625" style="5" bestFit="1" customWidth="1"/>
    <col min="3" max="3" width="13.28515625" bestFit="1" customWidth="1"/>
    <col min="4" max="4" width="11.7109375" bestFit="1" customWidth="1"/>
  </cols>
  <sheetData>
    <row r="1" spans="1:4">
      <c r="A1" t="s">
        <v>0</v>
      </c>
      <c r="B1" s="5" t="s">
        <v>1</v>
      </c>
      <c r="C1" t="s">
        <v>2</v>
      </c>
      <c r="D1" t="s">
        <v>3</v>
      </c>
    </row>
    <row r="2" spans="1:4">
      <c r="A2" t="s">
        <v>4</v>
      </c>
      <c r="B2" s="5">
        <f>'Deferred Maintenance'!AA51</f>
        <v>2739365.1125221741</v>
      </c>
      <c r="C2" s="33">
        <v>2133853.38</v>
      </c>
      <c r="D2" s="35">
        <f>B2-C2</f>
        <v>605511.73252217425</v>
      </c>
    </row>
    <row r="3" spans="1:4">
      <c r="A3" t="s">
        <v>5</v>
      </c>
      <c r="B3" s="5">
        <f>'3rd Party Maintenance'!AA45</f>
        <v>178875.81577928268</v>
      </c>
      <c r="C3" s="33">
        <v>130966.08</v>
      </c>
      <c r="D3" s="35">
        <f t="shared" ref="D3:D7" si="0">B3-C3</f>
        <v>47909.735779282681</v>
      </c>
    </row>
    <row r="4" spans="1:4">
      <c r="A4" t="s">
        <v>6</v>
      </c>
      <c r="B4" s="5">
        <f>Hosting!AA38</f>
        <v>591425.96649175987</v>
      </c>
      <c r="C4" s="33">
        <v>460483.53</v>
      </c>
      <c r="D4" s="35">
        <f t="shared" si="0"/>
        <v>130942.43649175984</v>
      </c>
    </row>
    <row r="5" spans="1:4">
      <c r="A5" t="s">
        <v>7</v>
      </c>
      <c r="B5" s="5">
        <f>PS!AA53</f>
        <v>711077.97380281286</v>
      </c>
      <c r="C5" s="34">
        <f>374650.81+469779.47</f>
        <v>844430.28</v>
      </c>
      <c r="D5" s="35">
        <f t="shared" si="0"/>
        <v>-133352.30619718716</v>
      </c>
    </row>
    <row r="6" spans="1:4">
      <c r="A6" t="s">
        <v>8</v>
      </c>
      <c r="B6" s="5">
        <f>Licence!AA52</f>
        <v>241612.41801214567</v>
      </c>
      <c r="C6" s="34">
        <v>209063.37</v>
      </c>
      <c r="D6" s="35">
        <f t="shared" si="0"/>
        <v>32549.048012145679</v>
      </c>
    </row>
    <row r="7" spans="1:4">
      <c r="A7" t="s">
        <v>9</v>
      </c>
      <c r="B7" s="5">
        <v>375.72</v>
      </c>
      <c r="C7" s="34">
        <v>375.72</v>
      </c>
      <c r="D7" s="35">
        <f t="shared" si="0"/>
        <v>0</v>
      </c>
    </row>
    <row r="8" spans="1:4" ht="15" thickBot="1">
      <c r="A8" s="31" t="s">
        <v>10</v>
      </c>
      <c r="B8" s="32">
        <f>SUM(B2:B7)</f>
        <v>4462733.0066081751</v>
      </c>
      <c r="C8" s="32">
        <f t="shared" ref="C8:D8" si="1">SUM(C2:C7)</f>
        <v>3779172.3600000008</v>
      </c>
      <c r="D8" s="32">
        <f t="shared" si="1"/>
        <v>683560.64660817524</v>
      </c>
    </row>
    <row r="9" spans="1:4" ht="15" thickTop="1"/>
    <row r="11" spans="1:4">
      <c r="A11" t="s">
        <v>11</v>
      </c>
      <c r="B11" s="5" t="e">
        <f>C8-B12</f>
        <v>#REF!</v>
      </c>
    </row>
    <row r="12" spans="1:4">
      <c r="A12" t="s">
        <v>12</v>
      </c>
      <c r="B12" s="5" t="e">
        <f>GETPIVOTDATA("Amount",'Consolidated Revenue'!$D$2,"Customer","Denis Brinicombe")+GETPIVOTDATA("Amount",'Consolidated Revenue'!$D$2,"Customer","Denis Brinicombe Group")+GETPIVOTDATA("Amount",'Consolidated Revenue'!$D$2,"Customer","East Coast Viners")+GETPIVOTDATA("Amount",'Consolidated Revenue'!$D$2,"Customer","OMSCO")</f>
        <v>#REF!</v>
      </c>
    </row>
    <row r="14" spans="1:4">
      <c r="A14" t="s">
        <v>13</v>
      </c>
      <c r="B14" s="5" t="e">
        <f>SUM(B11:B13)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286E7-1CE7-4836-AC8C-40CF285E03EA}">
  <dimension ref="A1:B47"/>
  <sheetViews>
    <sheetView workbookViewId="0">
      <selection activeCell="B47" sqref="B47"/>
    </sheetView>
  </sheetViews>
  <sheetFormatPr defaultRowHeight="14.45"/>
  <cols>
    <col min="1" max="1" width="29.7109375" bestFit="1" customWidth="1"/>
    <col min="2" max="2" width="12" style="5" bestFit="1" customWidth="1"/>
  </cols>
  <sheetData>
    <row r="1" spans="1:2">
      <c r="A1" t="s">
        <v>14</v>
      </c>
      <c r="B1" s="5" t="s">
        <v>1</v>
      </c>
    </row>
    <row r="2" spans="1:2">
      <c r="A2" t="s">
        <v>15</v>
      </c>
      <c r="B2" s="5">
        <v>506750.96606648422</v>
      </c>
    </row>
    <row r="3" spans="1:2">
      <c r="A3" t="s">
        <v>16</v>
      </c>
      <c r="B3" s="5">
        <v>279561.23982425994</v>
      </c>
    </row>
    <row r="4" spans="1:2">
      <c r="A4" t="s">
        <v>17</v>
      </c>
      <c r="B4" s="5">
        <v>196069.75681801426</v>
      </c>
    </row>
    <row r="5" spans="1:2">
      <c r="A5" t="s">
        <v>18</v>
      </c>
      <c r="B5" s="5">
        <v>190597.75723345415</v>
      </c>
    </row>
    <row r="6" spans="1:2">
      <c r="A6" t="s">
        <v>19</v>
      </c>
      <c r="B6" s="5">
        <v>175401.07349196725</v>
      </c>
    </row>
    <row r="7" spans="1:2">
      <c r="A7" t="s">
        <v>20</v>
      </c>
      <c r="B7" s="5">
        <v>167267.15118898838</v>
      </c>
    </row>
    <row r="8" spans="1:2">
      <c r="A8" t="s">
        <v>21</v>
      </c>
      <c r="B8" s="5">
        <v>147268.71270931014</v>
      </c>
    </row>
    <row r="9" spans="1:2">
      <c r="A9" t="s">
        <v>22</v>
      </c>
      <c r="B9" s="5">
        <v>141864.45186584446</v>
      </c>
    </row>
    <row r="10" spans="1:2">
      <c r="A10" t="s">
        <v>23</v>
      </c>
      <c r="B10" s="5">
        <v>137071.36163959908</v>
      </c>
    </row>
    <row r="11" spans="1:2">
      <c r="A11" t="s">
        <v>24</v>
      </c>
      <c r="B11" s="5">
        <v>134300.56414136966</v>
      </c>
    </row>
    <row r="12" spans="1:2">
      <c r="A12" t="s">
        <v>25</v>
      </c>
      <c r="B12" s="5">
        <v>130824.86264849106</v>
      </c>
    </row>
    <row r="13" spans="1:2">
      <c r="A13" t="s">
        <v>26</v>
      </c>
      <c r="B13" s="5">
        <v>127732.93218652505</v>
      </c>
    </row>
    <row r="14" spans="1:2">
      <c r="A14" t="s">
        <v>27</v>
      </c>
      <c r="B14" s="5">
        <v>102327.42524202136</v>
      </c>
    </row>
    <row r="15" spans="1:2">
      <c r="A15" t="s">
        <v>28</v>
      </c>
      <c r="B15" s="5">
        <v>99371.312296862656</v>
      </c>
    </row>
    <row r="16" spans="1:2">
      <c r="A16" t="s">
        <v>29</v>
      </c>
      <c r="B16" s="5">
        <v>93508.503359375973</v>
      </c>
    </row>
    <row r="17" spans="1:2">
      <c r="A17" t="s">
        <v>30</v>
      </c>
      <c r="B17" s="5">
        <v>76850.754203901932</v>
      </c>
    </row>
    <row r="18" spans="1:2">
      <c r="A18" t="s">
        <v>31</v>
      </c>
      <c r="B18" s="5">
        <v>65823.030454041582</v>
      </c>
    </row>
    <row r="19" spans="1:2">
      <c r="A19" t="s">
        <v>32</v>
      </c>
      <c r="B19" s="5">
        <v>65148.154626364645</v>
      </c>
    </row>
    <row r="20" spans="1:2">
      <c r="A20" t="s">
        <v>33</v>
      </c>
      <c r="B20" s="5">
        <v>60251.523005411931</v>
      </c>
    </row>
    <row r="21" spans="1:2">
      <c r="A21" t="s">
        <v>34</v>
      </c>
      <c r="B21" s="5">
        <v>57869.562598867124</v>
      </c>
    </row>
    <row r="22" spans="1:2">
      <c r="A22" t="s">
        <v>35</v>
      </c>
      <c r="B22" s="5">
        <v>56387.617906567953</v>
      </c>
    </row>
    <row r="23" spans="1:2">
      <c r="A23" t="s">
        <v>36</v>
      </c>
      <c r="B23" s="5">
        <v>54261.433954996188</v>
      </c>
    </row>
    <row r="24" spans="1:2">
      <c r="A24" t="s">
        <v>37</v>
      </c>
      <c r="B24" s="5">
        <v>52194.31260319912</v>
      </c>
    </row>
    <row r="25" spans="1:2">
      <c r="A25" t="s">
        <v>38</v>
      </c>
      <c r="B25" s="5">
        <v>51317.680698947304</v>
      </c>
    </row>
    <row r="26" spans="1:2">
      <c r="A26" t="s">
        <v>39</v>
      </c>
      <c r="B26" s="5">
        <v>49886.318776504457</v>
      </c>
    </row>
    <row r="27" spans="1:2">
      <c r="A27" t="s">
        <v>40</v>
      </c>
      <c r="B27" s="5">
        <v>49414.183283826445</v>
      </c>
    </row>
    <row r="28" spans="1:2">
      <c r="A28" t="s">
        <v>41</v>
      </c>
      <c r="B28" s="5">
        <v>43430.584717971644</v>
      </c>
    </row>
    <row r="29" spans="1:2">
      <c r="A29" t="s">
        <v>42</v>
      </c>
      <c r="B29" s="5">
        <v>43355.951738087155</v>
      </c>
    </row>
    <row r="30" spans="1:2">
      <c r="A30" t="s">
        <v>43</v>
      </c>
      <c r="B30" s="5">
        <v>40526.069262417863</v>
      </c>
    </row>
    <row r="31" spans="1:2">
      <c r="A31" t="s">
        <v>44</v>
      </c>
      <c r="B31" s="5">
        <v>39724.200044518191</v>
      </c>
    </row>
    <row r="32" spans="1:2">
      <c r="A32" t="s">
        <v>45</v>
      </c>
      <c r="B32" s="5">
        <v>34505.661597747734</v>
      </c>
    </row>
    <row r="33" spans="1:2">
      <c r="A33" t="s">
        <v>46</v>
      </c>
      <c r="B33" s="5">
        <v>33670.636332446789</v>
      </c>
    </row>
    <row r="34" spans="1:2">
      <c r="A34" t="s">
        <v>47</v>
      </c>
      <c r="B34" s="5">
        <v>32113.716924151828</v>
      </c>
    </row>
    <row r="35" spans="1:2">
      <c r="A35" t="s">
        <v>48</v>
      </c>
      <c r="B35" s="5">
        <v>30322.369836953847</v>
      </c>
    </row>
    <row r="36" spans="1:2">
      <c r="A36" t="s">
        <v>49</v>
      </c>
      <c r="B36" s="5">
        <v>30175.773799302202</v>
      </c>
    </row>
    <row r="37" spans="1:2">
      <c r="A37" t="s">
        <v>50</v>
      </c>
      <c r="B37" s="5">
        <v>27494.37902407056</v>
      </c>
    </row>
    <row r="38" spans="1:2">
      <c r="A38" t="s">
        <v>51</v>
      </c>
      <c r="B38" s="5">
        <v>26546.528454450367</v>
      </c>
    </row>
    <row r="39" spans="1:2">
      <c r="A39" t="s">
        <v>52</v>
      </c>
      <c r="B39" s="5">
        <v>25952.58390173901</v>
      </c>
    </row>
    <row r="40" spans="1:2">
      <c r="A40" t="s">
        <v>53</v>
      </c>
      <c r="B40" s="5">
        <v>25382.378839029934</v>
      </c>
    </row>
    <row r="41" spans="1:2">
      <c r="A41" t="s">
        <v>54</v>
      </c>
      <c r="B41" s="5">
        <v>17701.797440697097</v>
      </c>
    </row>
    <row r="42" spans="1:2">
      <c r="A42" t="s">
        <v>55</v>
      </c>
      <c r="B42" s="5">
        <v>16778.727890395181</v>
      </c>
    </row>
    <row r="43" spans="1:2">
      <c r="A43" t="s">
        <v>56</v>
      </c>
      <c r="B43" s="5">
        <v>15688.141588336061</v>
      </c>
    </row>
    <row r="44" spans="1:2">
      <c r="A44" t="s">
        <v>57</v>
      </c>
      <c r="B44" s="5">
        <v>10555.293367458744</v>
      </c>
    </row>
    <row r="45" spans="1:2">
      <c r="A45" t="s">
        <v>58</v>
      </c>
      <c r="B45" s="5">
        <v>8933.2531861847656</v>
      </c>
    </row>
    <row r="46" spans="1:2">
      <c r="A46" t="s">
        <v>59</v>
      </c>
      <c r="B46" s="5">
        <v>5838.4002455562932</v>
      </c>
    </row>
    <row r="47" spans="1:2">
      <c r="A47" t="s">
        <v>60</v>
      </c>
      <c r="B47" s="5">
        <v>1153.3540813344698</v>
      </c>
    </row>
  </sheetData>
  <sortState xmlns:xlrd2="http://schemas.microsoft.com/office/spreadsheetml/2017/richdata2" ref="A2:B47">
    <sortCondition descending="1" ref="B2:B4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45FFA-4496-43C1-9E3D-63DB6DBD2A0A}">
  <dimension ref="A1:E224"/>
  <sheetViews>
    <sheetView workbookViewId="0">
      <selection activeCell="I34" sqref="I34"/>
    </sheetView>
  </sheetViews>
  <sheetFormatPr defaultRowHeight="14.45"/>
  <cols>
    <col min="1" max="1" width="31.7109375" bestFit="1" customWidth="1"/>
    <col min="2" max="2" width="12.42578125" style="5" bestFit="1" customWidth="1"/>
    <col min="4" max="4" width="27" bestFit="1" customWidth="1"/>
    <col min="5" max="5" width="14.42578125" style="5" bestFit="1" customWidth="1"/>
  </cols>
  <sheetData>
    <row r="1" spans="1:5">
      <c r="A1" t="s">
        <v>14</v>
      </c>
      <c r="B1" s="5" t="s">
        <v>1</v>
      </c>
    </row>
    <row r="2" spans="1:5">
      <c r="A2" t="s">
        <v>18</v>
      </c>
      <c r="B2" s="5">
        <v>13380.451797078927</v>
      </c>
      <c r="D2" s="29" t="s">
        <v>61</v>
      </c>
      <c r="E2" t="s">
        <v>62</v>
      </c>
    </row>
    <row r="3" spans="1:5">
      <c r="A3" t="s">
        <v>17</v>
      </c>
      <c r="B3" s="5">
        <v>2100.0703325441559</v>
      </c>
      <c r="D3" s="30" t="s">
        <v>18</v>
      </c>
      <c r="E3">
        <v>190597.75723345415</v>
      </c>
    </row>
    <row r="4" spans="1:5">
      <c r="A4" t="s">
        <v>17</v>
      </c>
      <c r="B4" s="5">
        <v>0</v>
      </c>
      <c r="D4" s="30" t="s">
        <v>17</v>
      </c>
      <c r="E4">
        <v>196069.75681801426</v>
      </c>
    </row>
    <row r="5" spans="1:5">
      <c r="A5" t="s">
        <v>54</v>
      </c>
      <c r="B5" s="5">
        <v>0</v>
      </c>
      <c r="D5" s="30" t="s">
        <v>54</v>
      </c>
      <c r="E5">
        <v>17701.797440697097</v>
      </c>
    </row>
    <row r="6" spans="1:5">
      <c r="A6" t="s">
        <v>23</v>
      </c>
      <c r="B6" s="5">
        <v>5555.9744055460451</v>
      </c>
      <c r="D6" s="30" t="s">
        <v>23</v>
      </c>
      <c r="E6">
        <v>137071.36163959908</v>
      </c>
    </row>
    <row r="7" spans="1:5">
      <c r="A7" t="s">
        <v>56</v>
      </c>
      <c r="B7" s="5">
        <v>2551.7331229323904</v>
      </c>
      <c r="D7" s="30" t="s">
        <v>56</v>
      </c>
      <c r="E7">
        <v>15688.141588336061</v>
      </c>
    </row>
    <row r="8" spans="1:5">
      <c r="A8" t="s">
        <v>27</v>
      </c>
      <c r="B8" s="5">
        <v>0</v>
      </c>
      <c r="D8" s="30" t="s">
        <v>27</v>
      </c>
      <c r="E8">
        <v>102327.42524202136</v>
      </c>
    </row>
    <row r="9" spans="1:5">
      <c r="A9" t="s">
        <v>38</v>
      </c>
      <c r="B9" s="5">
        <v>845.48721200591842</v>
      </c>
      <c r="D9" s="30" t="s">
        <v>38</v>
      </c>
      <c r="E9">
        <v>51317.680698947304</v>
      </c>
    </row>
    <row r="10" spans="1:5">
      <c r="A10" t="s">
        <v>49</v>
      </c>
      <c r="B10" s="5">
        <v>5185.6009332320864</v>
      </c>
      <c r="D10" s="30" t="s">
        <v>49</v>
      </c>
      <c r="E10">
        <v>30175.773799302202</v>
      </c>
    </row>
    <row r="11" spans="1:5">
      <c r="A11" t="s">
        <v>42</v>
      </c>
      <c r="B11" s="5">
        <v>0</v>
      </c>
      <c r="D11" s="30" t="s">
        <v>42</v>
      </c>
      <c r="E11">
        <v>43355.951738087155</v>
      </c>
    </row>
    <row r="12" spans="1:5">
      <c r="A12" t="s">
        <v>37</v>
      </c>
      <c r="B12" s="5">
        <v>0</v>
      </c>
      <c r="D12" s="30" t="s">
        <v>37</v>
      </c>
      <c r="E12">
        <v>52194.31260319912</v>
      </c>
    </row>
    <row r="13" spans="1:5">
      <c r="A13" t="s">
        <v>55</v>
      </c>
      <c r="B13" s="5">
        <v>0</v>
      </c>
      <c r="D13" s="30" t="s">
        <v>55</v>
      </c>
      <c r="E13">
        <v>16778.727890395181</v>
      </c>
    </row>
    <row r="14" spans="1:5">
      <c r="A14" t="s">
        <v>58</v>
      </c>
      <c r="B14" s="5">
        <v>0</v>
      </c>
      <c r="D14" s="30" t="s">
        <v>58</v>
      </c>
      <c r="E14">
        <v>8933.2531861847656</v>
      </c>
    </row>
    <row r="15" spans="1:5">
      <c r="A15" t="s">
        <v>36</v>
      </c>
      <c r="B15" s="5">
        <v>10104.726861024625</v>
      </c>
      <c r="D15" s="30" t="s">
        <v>36</v>
      </c>
      <c r="E15">
        <v>54261.433954996188</v>
      </c>
    </row>
    <row r="16" spans="1:5">
      <c r="A16" t="s">
        <v>63</v>
      </c>
      <c r="B16" s="5">
        <v>0</v>
      </c>
      <c r="D16" s="30" t="s">
        <v>63</v>
      </c>
      <c r="E16">
        <v>0</v>
      </c>
    </row>
    <row r="17" spans="1:5">
      <c r="A17" t="s">
        <v>20</v>
      </c>
      <c r="B17" s="5">
        <v>0</v>
      </c>
      <c r="D17" s="30" t="s">
        <v>20</v>
      </c>
      <c r="E17">
        <v>167267.15118898838</v>
      </c>
    </row>
    <row r="18" spans="1:5">
      <c r="A18" t="s">
        <v>44</v>
      </c>
      <c r="B18" s="5">
        <v>0</v>
      </c>
      <c r="D18" s="30" t="s">
        <v>44</v>
      </c>
      <c r="E18">
        <v>39724.200044518191</v>
      </c>
    </row>
    <row r="19" spans="1:5">
      <c r="A19" t="s">
        <v>32</v>
      </c>
      <c r="B19" s="5">
        <v>0</v>
      </c>
      <c r="D19" s="30" t="s">
        <v>32</v>
      </c>
      <c r="E19">
        <v>65148.154626364645</v>
      </c>
    </row>
    <row r="20" spans="1:5">
      <c r="A20" t="s">
        <v>22</v>
      </c>
      <c r="B20" s="5">
        <v>0</v>
      </c>
      <c r="D20" s="30" t="s">
        <v>22</v>
      </c>
      <c r="E20">
        <v>141864.45186584446</v>
      </c>
    </row>
    <row r="21" spans="1:5">
      <c r="A21" t="s">
        <v>46</v>
      </c>
      <c r="B21" s="5">
        <v>0</v>
      </c>
      <c r="D21" s="30" t="s">
        <v>46</v>
      </c>
      <c r="E21">
        <v>33670.636332446789</v>
      </c>
    </row>
    <row r="22" spans="1:5">
      <c r="A22" t="s">
        <v>19</v>
      </c>
      <c r="B22" s="5">
        <v>8137.7284112406342</v>
      </c>
      <c r="D22" s="30" t="s">
        <v>19</v>
      </c>
      <c r="E22">
        <v>175401.07349196725</v>
      </c>
    </row>
    <row r="23" spans="1:5">
      <c r="A23" t="s">
        <v>15</v>
      </c>
      <c r="B23" s="5">
        <v>0</v>
      </c>
      <c r="D23" s="30" t="s">
        <v>15</v>
      </c>
      <c r="E23">
        <v>506750.96606648422</v>
      </c>
    </row>
    <row r="24" spans="1:5">
      <c r="A24" t="s">
        <v>16</v>
      </c>
      <c r="B24" s="5">
        <v>0</v>
      </c>
      <c r="D24" s="30" t="s">
        <v>16</v>
      </c>
      <c r="E24">
        <v>279561.23982425994</v>
      </c>
    </row>
    <row r="25" spans="1:5">
      <c r="A25" t="s">
        <v>52</v>
      </c>
      <c r="B25" s="5">
        <v>4438.7609515858003</v>
      </c>
      <c r="D25" s="30" t="s">
        <v>52</v>
      </c>
      <c r="E25">
        <v>25952.58390173901</v>
      </c>
    </row>
    <row r="26" spans="1:5">
      <c r="A26" t="s">
        <v>29</v>
      </c>
      <c r="B26" s="5">
        <v>14406.694003485189</v>
      </c>
      <c r="D26" s="30" t="s">
        <v>45</v>
      </c>
      <c r="E26">
        <v>34505.661597747734</v>
      </c>
    </row>
    <row r="27" spans="1:5">
      <c r="A27" t="s">
        <v>30</v>
      </c>
      <c r="B27" s="5">
        <v>14153.671675645024</v>
      </c>
      <c r="D27" s="30" t="s">
        <v>29</v>
      </c>
      <c r="E27">
        <v>93508.503359375973</v>
      </c>
    </row>
    <row r="28" spans="1:5">
      <c r="A28" t="s">
        <v>51</v>
      </c>
      <c r="B28" s="5">
        <v>0</v>
      </c>
      <c r="D28" s="30" t="s">
        <v>30</v>
      </c>
      <c r="E28">
        <v>76850.754203901932</v>
      </c>
    </row>
    <row r="29" spans="1:5">
      <c r="A29" t="s">
        <v>64</v>
      </c>
      <c r="B29" s="5">
        <v>0</v>
      </c>
      <c r="D29" s="30" t="s">
        <v>51</v>
      </c>
      <c r="E29">
        <v>26546.528454450367</v>
      </c>
    </row>
    <row r="30" spans="1:5">
      <c r="A30" t="s">
        <v>57</v>
      </c>
      <c r="B30" s="5">
        <v>0</v>
      </c>
      <c r="D30" s="30" t="s">
        <v>64</v>
      </c>
      <c r="E30">
        <v>0</v>
      </c>
    </row>
    <row r="31" spans="1:5">
      <c r="A31" t="s">
        <v>31</v>
      </c>
      <c r="B31" s="5">
        <v>0</v>
      </c>
      <c r="D31" s="30" t="s">
        <v>57</v>
      </c>
      <c r="E31">
        <v>10555.293367458744</v>
      </c>
    </row>
    <row r="32" spans="1:5">
      <c r="A32" t="s">
        <v>40</v>
      </c>
      <c r="B32" s="5">
        <v>0</v>
      </c>
      <c r="D32" s="30" t="s">
        <v>31</v>
      </c>
      <c r="E32">
        <v>65823.030454041582</v>
      </c>
    </row>
    <row r="33" spans="1:5">
      <c r="A33" t="s">
        <v>40</v>
      </c>
      <c r="B33" s="5">
        <v>10277.845298612359</v>
      </c>
      <c r="D33" s="30" t="s">
        <v>21</v>
      </c>
      <c r="E33">
        <v>147268.71270931014</v>
      </c>
    </row>
    <row r="34" spans="1:5">
      <c r="A34" t="s">
        <v>21</v>
      </c>
      <c r="B34" s="5">
        <v>0</v>
      </c>
      <c r="D34" s="30" t="s">
        <v>35</v>
      </c>
      <c r="E34">
        <v>56387.617906567953</v>
      </c>
    </row>
    <row r="35" spans="1:5">
      <c r="A35" t="s">
        <v>21</v>
      </c>
      <c r="B35" s="5">
        <v>0</v>
      </c>
      <c r="D35" s="30" t="s">
        <v>24</v>
      </c>
      <c r="E35">
        <v>134300.56414136966</v>
      </c>
    </row>
    <row r="36" spans="1:5">
      <c r="A36" t="s">
        <v>35</v>
      </c>
      <c r="B36" s="5">
        <v>4952.2929116180794</v>
      </c>
      <c r="D36" s="30" t="s">
        <v>26</v>
      </c>
      <c r="E36">
        <v>127732.93218652505</v>
      </c>
    </row>
    <row r="37" spans="1:5">
      <c r="A37" t="s">
        <v>24</v>
      </c>
      <c r="B37" s="5">
        <v>17463.578129172671</v>
      </c>
      <c r="D37" s="30" t="s">
        <v>47</v>
      </c>
      <c r="E37">
        <v>32113.716924151828</v>
      </c>
    </row>
    <row r="38" spans="1:5">
      <c r="A38" t="s">
        <v>26</v>
      </c>
      <c r="B38" s="5">
        <v>29975.970454390445</v>
      </c>
      <c r="D38" s="30" t="s">
        <v>39</v>
      </c>
      <c r="E38">
        <v>49886.318776504457</v>
      </c>
    </row>
    <row r="39" spans="1:5">
      <c r="A39" t="s">
        <v>39</v>
      </c>
      <c r="B39" s="5">
        <v>5477.2359602495953</v>
      </c>
      <c r="D39" s="30" t="s">
        <v>65</v>
      </c>
      <c r="E39">
        <v>0</v>
      </c>
    </row>
    <row r="40" spans="1:5">
      <c r="A40" t="s">
        <v>47</v>
      </c>
      <c r="B40" s="5">
        <v>0</v>
      </c>
      <c r="D40" s="30" t="s">
        <v>41</v>
      </c>
      <c r="E40">
        <v>43430.584717971644</v>
      </c>
    </row>
    <row r="41" spans="1:5">
      <c r="A41" t="s">
        <v>41</v>
      </c>
      <c r="B41" s="5">
        <v>0</v>
      </c>
      <c r="D41" s="30" t="s">
        <v>60</v>
      </c>
      <c r="E41">
        <v>1153.3540813344698</v>
      </c>
    </row>
    <row r="42" spans="1:5">
      <c r="A42" t="s">
        <v>60</v>
      </c>
      <c r="B42" s="5">
        <v>0</v>
      </c>
      <c r="D42" s="30" t="s">
        <v>25</v>
      </c>
      <c r="E42">
        <v>130824.86264849106</v>
      </c>
    </row>
    <row r="43" spans="1:5">
      <c r="A43" t="s">
        <v>25</v>
      </c>
      <c r="B43" s="5">
        <v>14444.187658886065</v>
      </c>
      <c r="D43" s="30" t="s">
        <v>43</v>
      </c>
      <c r="E43">
        <v>40526.069262417863</v>
      </c>
    </row>
    <row r="44" spans="1:5">
      <c r="A44" t="s">
        <v>43</v>
      </c>
      <c r="B44" s="5">
        <v>0</v>
      </c>
      <c r="D44" s="30" t="s">
        <v>33</v>
      </c>
      <c r="E44">
        <v>60251.523005411931</v>
      </c>
    </row>
    <row r="45" spans="1:5">
      <c r="A45" t="s">
        <v>33</v>
      </c>
      <c r="B45" s="5">
        <v>20229.335927904354</v>
      </c>
      <c r="D45" s="30" t="s">
        <v>28</v>
      </c>
      <c r="E45">
        <v>99371.312296862656</v>
      </c>
    </row>
    <row r="46" spans="1:5">
      <c r="A46" t="s">
        <v>28</v>
      </c>
      <c r="B46" s="5">
        <v>19329.244728242782</v>
      </c>
      <c r="D46" s="30" t="s">
        <v>53</v>
      </c>
      <c r="E46">
        <v>25382.378839029934</v>
      </c>
    </row>
    <row r="47" spans="1:5">
      <c r="A47" t="s">
        <v>53</v>
      </c>
      <c r="B47" s="5">
        <v>0</v>
      </c>
      <c r="D47" s="30" t="s">
        <v>59</v>
      </c>
      <c r="E47">
        <v>5838.4002455562932</v>
      </c>
    </row>
    <row r="48" spans="1:5">
      <c r="A48" t="s">
        <v>59</v>
      </c>
      <c r="B48" s="5">
        <v>0</v>
      </c>
      <c r="D48" s="30" t="s">
        <v>48</v>
      </c>
      <c r="E48">
        <v>30322.369836953847</v>
      </c>
    </row>
    <row r="49" spans="1:5">
      <c r="A49" t="s">
        <v>48</v>
      </c>
      <c r="B49" s="5">
        <v>6052.8024475332077</v>
      </c>
      <c r="D49" s="30" t="s">
        <v>50</v>
      </c>
      <c r="E49">
        <v>27494.37902407056</v>
      </c>
    </row>
    <row r="50" spans="1:5">
      <c r="A50" t="s">
        <v>50</v>
      </c>
      <c r="B50" s="5">
        <v>0</v>
      </c>
      <c r="D50" s="30" t="s">
        <v>34</v>
      </c>
      <c r="E50">
        <v>57869.562598867124</v>
      </c>
    </row>
    <row r="51" spans="1:5">
      <c r="A51" t="s">
        <v>34</v>
      </c>
      <c r="B51" s="5">
        <v>0</v>
      </c>
      <c r="D51" s="30" t="s">
        <v>40</v>
      </c>
      <c r="E51">
        <v>49414.183283826445</v>
      </c>
    </row>
    <row r="52" spans="1:5">
      <c r="A52" t="s">
        <v>18</v>
      </c>
      <c r="B52" s="5">
        <v>44205.374275514638</v>
      </c>
      <c r="D52" s="30" t="s">
        <v>66</v>
      </c>
      <c r="E52">
        <v>3779172.4450980476</v>
      </c>
    </row>
    <row r="53" spans="1:5">
      <c r="A53" t="s">
        <v>17</v>
      </c>
      <c r="B53" s="5">
        <v>25410.285813030827</v>
      </c>
    </row>
    <row r="54" spans="1:5">
      <c r="A54" t="s">
        <v>17</v>
      </c>
      <c r="B54" s="5">
        <v>0</v>
      </c>
    </row>
    <row r="55" spans="1:5">
      <c r="A55" t="s">
        <v>54</v>
      </c>
      <c r="B55" s="5">
        <v>0</v>
      </c>
    </row>
    <row r="56" spans="1:5">
      <c r="A56" t="s">
        <v>23</v>
      </c>
      <c r="B56" s="5">
        <v>14208.374957074795</v>
      </c>
    </row>
    <row r="57" spans="1:5">
      <c r="A57" t="s">
        <v>56</v>
      </c>
      <c r="B57" s="5">
        <v>134.07354093016363</v>
      </c>
    </row>
    <row r="58" spans="1:5">
      <c r="A58" t="s">
        <v>27</v>
      </c>
      <c r="B58" s="5">
        <v>11532.682051862204</v>
      </c>
    </row>
    <row r="59" spans="1:5">
      <c r="A59" t="s">
        <v>38</v>
      </c>
      <c r="B59" s="5">
        <v>1039.7169544296632</v>
      </c>
    </row>
    <row r="60" spans="1:5">
      <c r="A60" t="s">
        <v>49</v>
      </c>
      <c r="B60" s="5">
        <v>2747.5789563660342</v>
      </c>
    </row>
    <row r="61" spans="1:5">
      <c r="A61" t="s">
        <v>42</v>
      </c>
      <c r="B61" s="5">
        <v>25816.400899251614</v>
      </c>
    </row>
    <row r="62" spans="1:5">
      <c r="A62" t="s">
        <v>37</v>
      </c>
      <c r="B62" s="5">
        <v>13132.502051366537</v>
      </c>
    </row>
    <row r="63" spans="1:5">
      <c r="A63" t="s">
        <v>55</v>
      </c>
      <c r="B63" s="5">
        <v>1004.0160642570281</v>
      </c>
    </row>
    <row r="64" spans="1:5">
      <c r="A64" t="s">
        <v>58</v>
      </c>
      <c r="B64" s="5">
        <v>0</v>
      </c>
    </row>
    <row r="65" spans="1:2">
      <c r="A65" t="s">
        <v>36</v>
      </c>
      <c r="B65" s="5">
        <v>3727.2327788291291</v>
      </c>
    </row>
    <row r="66" spans="1:2">
      <c r="A66" t="s">
        <v>20</v>
      </c>
      <c r="B66" s="5">
        <v>85854.000437646202</v>
      </c>
    </row>
    <row r="67" spans="1:2">
      <c r="A67" t="s">
        <v>44</v>
      </c>
      <c r="B67" s="5">
        <v>4019.8209194760648</v>
      </c>
    </row>
    <row r="68" spans="1:2">
      <c r="A68" t="s">
        <v>32</v>
      </c>
      <c r="B68" s="5">
        <v>16197.116047827152</v>
      </c>
    </row>
    <row r="69" spans="1:2">
      <c r="A69" t="s">
        <v>22</v>
      </c>
      <c r="B69" s="5">
        <v>30651.001144397418</v>
      </c>
    </row>
    <row r="70" spans="1:2">
      <c r="A70" t="s">
        <v>46</v>
      </c>
      <c r="B70" s="5">
        <v>2510.0401606425703</v>
      </c>
    </row>
    <row r="71" spans="1:2">
      <c r="A71" t="s">
        <v>19</v>
      </c>
      <c r="B71" s="5">
        <v>166887.6250807266</v>
      </c>
    </row>
    <row r="72" spans="1:2">
      <c r="A72" t="s">
        <v>15</v>
      </c>
      <c r="B72" s="5">
        <v>159245.92421770099</v>
      </c>
    </row>
    <row r="73" spans="1:2">
      <c r="A73" t="s">
        <v>16</v>
      </c>
      <c r="B73" s="5">
        <v>20644.376604670244</v>
      </c>
    </row>
    <row r="74" spans="1:2">
      <c r="A74" t="s">
        <v>52</v>
      </c>
      <c r="B74" s="5">
        <v>0</v>
      </c>
    </row>
    <row r="75" spans="1:2">
      <c r="A75" t="s">
        <v>45</v>
      </c>
      <c r="B75" s="5">
        <v>34505.661597747734</v>
      </c>
    </row>
    <row r="76" spans="1:2">
      <c r="A76" t="s">
        <v>29</v>
      </c>
      <c r="B76" s="5">
        <v>4105.5036069727339</v>
      </c>
    </row>
    <row r="77" spans="1:2">
      <c r="A77" t="s">
        <v>30</v>
      </c>
      <c r="B77" s="5">
        <v>24671.907910928225</v>
      </c>
    </row>
    <row r="78" spans="1:2">
      <c r="A78" t="s">
        <v>51</v>
      </c>
      <c r="B78" s="5">
        <v>-0.89442400226436458</v>
      </c>
    </row>
    <row r="79" spans="1:2">
      <c r="A79" t="s">
        <v>64</v>
      </c>
      <c r="B79" s="5">
        <v>0</v>
      </c>
    </row>
    <row r="80" spans="1:2">
      <c r="A80" t="s">
        <v>57</v>
      </c>
      <c r="B80" s="5">
        <v>0</v>
      </c>
    </row>
    <row r="81" spans="1:2">
      <c r="A81" t="s">
        <v>31</v>
      </c>
      <c r="B81" s="5">
        <v>5750.1623251565479</v>
      </c>
    </row>
    <row r="82" spans="1:2">
      <c r="A82" t="s">
        <v>40</v>
      </c>
      <c r="B82" s="5">
        <v>0</v>
      </c>
    </row>
    <row r="83" spans="1:2">
      <c r="A83" t="s">
        <v>40</v>
      </c>
      <c r="B83" s="5">
        <v>2634.512770033984</v>
      </c>
    </row>
    <row r="84" spans="1:2">
      <c r="A84" t="s">
        <v>21</v>
      </c>
      <c r="B84" s="5">
        <v>0</v>
      </c>
    </row>
    <row r="85" spans="1:2">
      <c r="A85" t="s">
        <v>21</v>
      </c>
      <c r="B85" s="5">
        <v>29698.536851631521</v>
      </c>
    </row>
    <row r="86" spans="1:2">
      <c r="A86" t="s">
        <v>35</v>
      </c>
      <c r="B86" s="5">
        <v>5066.6017903959682</v>
      </c>
    </row>
    <row r="87" spans="1:2">
      <c r="A87" t="s">
        <v>24</v>
      </c>
      <c r="B87" s="5">
        <v>17976.718936738976</v>
      </c>
    </row>
    <row r="88" spans="1:2">
      <c r="A88" t="s">
        <v>26</v>
      </c>
      <c r="B88" s="5">
        <v>13179.753098073972</v>
      </c>
    </row>
    <row r="89" spans="1:2">
      <c r="A89" t="s">
        <v>39</v>
      </c>
      <c r="B89" s="5">
        <v>3351.2364671260043</v>
      </c>
    </row>
    <row r="90" spans="1:2">
      <c r="A90" t="s">
        <v>47</v>
      </c>
      <c r="B90" s="5">
        <v>0</v>
      </c>
    </row>
    <row r="91" spans="1:2">
      <c r="A91" t="s">
        <v>65</v>
      </c>
      <c r="B91" s="5">
        <v>0</v>
      </c>
    </row>
    <row r="92" spans="1:2">
      <c r="A92" t="s">
        <v>41</v>
      </c>
      <c r="B92" s="5">
        <v>3777.2253668015792</v>
      </c>
    </row>
    <row r="93" spans="1:2">
      <c r="A93" t="s">
        <v>60</v>
      </c>
      <c r="B93" s="5">
        <v>0</v>
      </c>
    </row>
    <row r="94" spans="1:2">
      <c r="A94" t="s">
        <v>25</v>
      </c>
      <c r="B94" s="5">
        <v>39084.61811202894</v>
      </c>
    </row>
    <row r="95" spans="1:2">
      <c r="A95" t="s">
        <v>43</v>
      </c>
      <c r="B95" s="5">
        <v>717.23929853812228</v>
      </c>
    </row>
    <row r="96" spans="1:2">
      <c r="A96" t="s">
        <v>33</v>
      </c>
      <c r="B96" s="5">
        <v>3226.7195018397961</v>
      </c>
    </row>
    <row r="97" spans="1:2">
      <c r="A97" t="s">
        <v>28</v>
      </c>
      <c r="B97" s="5">
        <v>17307.695891343625</v>
      </c>
    </row>
    <row r="98" spans="1:2">
      <c r="A98" t="s">
        <v>53</v>
      </c>
      <c r="B98" s="5">
        <v>1004.0054533348833</v>
      </c>
    </row>
    <row r="99" spans="1:2">
      <c r="A99" t="s">
        <v>59</v>
      </c>
      <c r="B99" s="5">
        <v>0</v>
      </c>
    </row>
    <row r="100" spans="1:2">
      <c r="A100" t="s">
        <v>48</v>
      </c>
      <c r="B100" s="5">
        <v>6735.7079392811056</v>
      </c>
    </row>
    <row r="101" spans="1:2">
      <c r="A101" t="s">
        <v>50</v>
      </c>
      <c r="B101" s="5">
        <v>0</v>
      </c>
    </row>
    <row r="102" spans="1:2">
      <c r="A102" t="s">
        <v>34</v>
      </c>
      <c r="B102" s="5">
        <v>2669.2184526270912</v>
      </c>
    </row>
    <row r="103" spans="1:2">
      <c r="A103" t="s">
        <v>18</v>
      </c>
      <c r="B103" s="5">
        <v>9417.0760798366246</v>
      </c>
    </row>
    <row r="104" spans="1:2">
      <c r="A104" t="s">
        <v>54</v>
      </c>
      <c r="B104" s="5">
        <v>7195.402800615635</v>
      </c>
    </row>
    <row r="105" spans="1:2">
      <c r="A105" t="s">
        <v>23</v>
      </c>
      <c r="B105" s="5">
        <v>27211.215376091219</v>
      </c>
    </row>
    <row r="106" spans="1:2">
      <c r="A106" t="s">
        <v>27</v>
      </c>
      <c r="B106" s="5">
        <v>25153.701981504702</v>
      </c>
    </row>
    <row r="107" spans="1:2">
      <c r="A107" t="s">
        <v>38</v>
      </c>
      <c r="B107" s="5">
        <v>7468.5531342283548</v>
      </c>
    </row>
    <row r="108" spans="1:2">
      <c r="A108" t="s">
        <v>49</v>
      </c>
      <c r="B108" s="5">
        <v>5194.4388676679337</v>
      </c>
    </row>
    <row r="109" spans="1:2">
      <c r="A109" t="s">
        <v>42</v>
      </c>
      <c r="B109" s="5">
        <v>6148.2053744477871</v>
      </c>
    </row>
    <row r="110" spans="1:2">
      <c r="A110" t="s">
        <v>37</v>
      </c>
      <c r="B110" s="5">
        <v>6106.4569548362651</v>
      </c>
    </row>
    <row r="111" spans="1:2">
      <c r="A111" t="s">
        <v>44</v>
      </c>
      <c r="B111" s="5">
        <v>1482.4210662687565</v>
      </c>
    </row>
    <row r="112" spans="1:2">
      <c r="A112" t="s">
        <v>32</v>
      </c>
      <c r="B112" s="5">
        <v>21210.620109035986</v>
      </c>
    </row>
    <row r="113" spans="1:2">
      <c r="A113" t="s">
        <v>22</v>
      </c>
      <c r="B113" s="5">
        <v>23149.714632854622</v>
      </c>
    </row>
    <row r="114" spans="1:2">
      <c r="A114" t="s">
        <v>46</v>
      </c>
      <c r="B114" s="5">
        <v>1467.7464388352832</v>
      </c>
    </row>
    <row r="115" spans="1:2">
      <c r="A115" t="s">
        <v>15</v>
      </c>
      <c r="B115" s="5">
        <v>15600.688075105594</v>
      </c>
    </row>
    <row r="116" spans="1:2">
      <c r="A116" t="s">
        <v>16</v>
      </c>
      <c r="B116" s="5">
        <v>106089.0777432061</v>
      </c>
    </row>
    <row r="117" spans="1:2">
      <c r="A117" t="s">
        <v>52</v>
      </c>
      <c r="B117" s="5">
        <v>6148.2053744477871</v>
      </c>
    </row>
    <row r="118" spans="1:2">
      <c r="A118" t="s">
        <v>29</v>
      </c>
      <c r="B118" s="5">
        <v>6101.3582328852226</v>
      </c>
    </row>
    <row r="119" spans="1:2">
      <c r="A119" t="s">
        <v>30</v>
      </c>
      <c r="B119" s="5">
        <v>6510.351582115054</v>
      </c>
    </row>
    <row r="120" spans="1:2">
      <c r="A120" t="s">
        <v>51</v>
      </c>
      <c r="B120" s="5">
        <v>6106.4042820888371</v>
      </c>
    </row>
    <row r="121" spans="1:2">
      <c r="A121" t="s">
        <v>57</v>
      </c>
      <c r="B121" s="5">
        <v>7255.8289764651672</v>
      </c>
    </row>
    <row r="122" spans="1:2">
      <c r="A122" t="s">
        <v>31</v>
      </c>
      <c r="B122" s="5">
        <v>20423.194138634113</v>
      </c>
    </row>
    <row r="123" spans="1:2">
      <c r="A123" t="s">
        <v>21</v>
      </c>
      <c r="B123" s="5">
        <v>8162.8958253752562</v>
      </c>
    </row>
    <row r="124" spans="1:2">
      <c r="A124" t="s">
        <v>21</v>
      </c>
      <c r="B124" s="5">
        <v>8162.8958253752562</v>
      </c>
    </row>
    <row r="125" spans="1:2">
      <c r="A125" t="s">
        <v>35</v>
      </c>
      <c r="B125" s="5">
        <v>9912.0102837701688</v>
      </c>
    </row>
    <row r="126" spans="1:2">
      <c r="A126" t="s">
        <v>24</v>
      </c>
      <c r="B126" s="5">
        <v>20875.463417150888</v>
      </c>
    </row>
    <row r="127" spans="1:2">
      <c r="A127" t="s">
        <v>26</v>
      </c>
      <c r="B127" s="5">
        <v>6101.3582328852226</v>
      </c>
    </row>
    <row r="128" spans="1:2">
      <c r="A128" t="s">
        <v>47</v>
      </c>
      <c r="B128" s="5">
        <v>9912.0102837701688</v>
      </c>
    </row>
    <row r="129" spans="1:2">
      <c r="A129" t="s">
        <v>39</v>
      </c>
      <c r="B129" s="5">
        <v>8919.3712893883639</v>
      </c>
    </row>
    <row r="130" spans="1:2">
      <c r="A130" t="s">
        <v>25</v>
      </c>
      <c r="B130" s="5">
        <v>7989.9606610192677</v>
      </c>
    </row>
    <row r="131" spans="1:2">
      <c r="A131" t="s">
        <v>43</v>
      </c>
      <c r="B131" s="5">
        <v>19415.448600289932</v>
      </c>
    </row>
    <row r="132" spans="1:2">
      <c r="A132" t="s">
        <v>33</v>
      </c>
      <c r="B132" s="5">
        <v>8383.9106735836303</v>
      </c>
    </row>
    <row r="133" spans="1:2">
      <c r="A133" t="s">
        <v>28</v>
      </c>
      <c r="B133" s="5">
        <v>14128.600664534115</v>
      </c>
    </row>
    <row r="134" spans="1:2">
      <c r="A134" t="s">
        <v>53</v>
      </c>
      <c r="B134" s="5">
        <v>9386.7898868517059</v>
      </c>
    </row>
    <row r="135" spans="1:2">
      <c r="A135" t="s">
        <v>48</v>
      </c>
      <c r="B135" s="5">
        <v>5506.6857179101517</v>
      </c>
    </row>
    <row r="136" spans="1:2">
      <c r="A136" t="s">
        <v>50</v>
      </c>
      <c r="B136" s="5">
        <v>8185.492775227538</v>
      </c>
    </row>
    <row r="137" spans="1:2">
      <c r="A137" t="s">
        <v>18</v>
      </c>
      <c r="B137" s="5">
        <v>115667.62766219156</v>
      </c>
    </row>
    <row r="138" spans="1:2">
      <c r="A138" t="s">
        <v>17</v>
      </c>
      <c r="B138" s="5">
        <v>145008.84643165668</v>
      </c>
    </row>
    <row r="139" spans="1:2">
      <c r="A139" t="s">
        <v>17</v>
      </c>
      <c r="B139" s="5">
        <v>6831.6974796245013</v>
      </c>
    </row>
    <row r="140" spans="1:2">
      <c r="A140" t="s">
        <v>54</v>
      </c>
      <c r="B140" s="5">
        <v>10045.708256525681</v>
      </c>
    </row>
    <row r="141" spans="1:2">
      <c r="A141" t="s">
        <v>23</v>
      </c>
      <c r="B141" s="5">
        <v>85300.185542195293</v>
      </c>
    </row>
    <row r="142" spans="1:2">
      <c r="A142" t="s">
        <v>56</v>
      </c>
      <c r="B142" s="5">
        <v>12783.722214281635</v>
      </c>
    </row>
    <row r="143" spans="1:2">
      <c r="A143" t="s">
        <v>27</v>
      </c>
      <c r="B143" s="5">
        <v>61715.657379321601</v>
      </c>
    </row>
    <row r="144" spans="1:2">
      <c r="A144" t="s">
        <v>38</v>
      </c>
      <c r="B144" s="5">
        <v>39705.19106604017</v>
      </c>
    </row>
    <row r="145" spans="1:2">
      <c r="A145" t="s">
        <v>49</v>
      </c>
      <c r="B145" s="5">
        <v>16546.141620848262</v>
      </c>
    </row>
    <row r="146" spans="1:2">
      <c r="A146" t="s">
        <v>42</v>
      </c>
      <c r="B146" s="5">
        <v>10697.950882694562</v>
      </c>
    </row>
    <row r="147" spans="1:2">
      <c r="A147" t="s">
        <v>37</v>
      </c>
      <c r="B147" s="5">
        <v>31513.700499888804</v>
      </c>
    </row>
    <row r="148" spans="1:2">
      <c r="A148" t="s">
        <v>55</v>
      </c>
      <c r="B148" s="5">
        <v>15774.711826138153</v>
      </c>
    </row>
    <row r="149" spans="1:2">
      <c r="A149" t="s">
        <v>58</v>
      </c>
      <c r="B149" s="5">
        <v>8933.2531861847656</v>
      </c>
    </row>
    <row r="150" spans="1:2">
      <c r="A150" t="s">
        <v>36</v>
      </c>
      <c r="B150" s="5">
        <v>36034.797375324029</v>
      </c>
    </row>
    <row r="151" spans="1:2">
      <c r="A151" t="s">
        <v>20</v>
      </c>
      <c r="B151" s="5">
        <v>81413.150751342182</v>
      </c>
    </row>
    <row r="152" spans="1:2">
      <c r="A152" t="s">
        <v>44</v>
      </c>
      <c r="B152" s="5">
        <v>34142.917333982739</v>
      </c>
    </row>
    <row r="153" spans="1:2">
      <c r="A153" t="s">
        <v>32</v>
      </c>
      <c r="B153" s="5">
        <v>26112.95698856657</v>
      </c>
    </row>
    <row r="154" spans="1:2">
      <c r="A154" t="s">
        <v>22</v>
      </c>
      <c r="B154" s="5">
        <v>82898.604337593468</v>
      </c>
    </row>
    <row r="155" spans="1:2">
      <c r="A155" t="s">
        <v>46</v>
      </c>
      <c r="B155" s="5">
        <v>29692.849732968934</v>
      </c>
    </row>
    <row r="156" spans="1:2">
      <c r="A156" t="s">
        <v>15</v>
      </c>
      <c r="B156" s="5">
        <v>302823.24490871822</v>
      </c>
    </row>
    <row r="157" spans="1:2">
      <c r="A157" t="s">
        <v>16</v>
      </c>
      <c r="B157" s="5">
        <v>140482.00982859835</v>
      </c>
    </row>
    <row r="158" spans="1:2">
      <c r="A158" t="s">
        <v>52</v>
      </c>
      <c r="B158" s="5">
        <v>15044.96695846203</v>
      </c>
    </row>
    <row r="159" spans="1:2">
      <c r="A159" t="s">
        <v>29</v>
      </c>
      <c r="B159" s="5">
        <v>65024.754191455133</v>
      </c>
    </row>
    <row r="160" spans="1:2">
      <c r="A160" t="s">
        <v>30</v>
      </c>
      <c r="B160" s="5">
        <v>30271.008777446117</v>
      </c>
    </row>
    <row r="161" spans="1:2">
      <c r="A161" t="s">
        <v>51</v>
      </c>
      <c r="B161" s="5">
        <v>19085.56971769713</v>
      </c>
    </row>
    <row r="162" spans="1:2">
      <c r="A162" t="s">
        <v>57</v>
      </c>
      <c r="B162" s="5">
        <v>2872.4780312423018</v>
      </c>
    </row>
    <row r="163" spans="1:2">
      <c r="A163" t="s">
        <v>31</v>
      </c>
      <c r="B163" s="5">
        <v>39649.673990250929</v>
      </c>
    </row>
    <row r="164" spans="1:2">
      <c r="A164" t="s">
        <v>40</v>
      </c>
      <c r="B164" s="5">
        <v>4549.1454513992658</v>
      </c>
    </row>
    <row r="165" spans="1:2">
      <c r="A165" t="s">
        <v>40</v>
      </c>
      <c r="B165" s="5">
        <v>30059.241977432892</v>
      </c>
    </row>
    <row r="166" spans="1:2">
      <c r="A166" t="s">
        <v>21</v>
      </c>
      <c r="B166" s="5">
        <v>51147.060229760995</v>
      </c>
    </row>
    <row r="167" spans="1:2">
      <c r="A167" t="s">
        <v>21</v>
      </c>
      <c r="B167" s="5">
        <v>47803.994692344917</v>
      </c>
    </row>
    <row r="168" spans="1:2">
      <c r="A168" t="s">
        <v>35</v>
      </c>
      <c r="B168" s="5">
        <v>35947.060041097517</v>
      </c>
    </row>
    <row r="169" spans="1:2">
      <c r="A169" t="s">
        <v>24</v>
      </c>
      <c r="B169" s="5">
        <v>76212.747452718409</v>
      </c>
    </row>
    <row r="170" spans="1:2">
      <c r="A170" t="s">
        <v>26</v>
      </c>
      <c r="B170" s="5">
        <v>71612.392495303618</v>
      </c>
    </row>
    <row r="171" spans="1:2">
      <c r="A171" t="s">
        <v>47</v>
      </c>
      <c r="B171" s="5">
        <v>20909.127953045194</v>
      </c>
    </row>
    <row r="172" spans="1:2">
      <c r="A172" t="s">
        <v>39</v>
      </c>
      <c r="B172" s="5">
        <v>30777.801780874001</v>
      </c>
    </row>
    <row r="173" spans="1:2">
      <c r="A173" t="s">
        <v>41</v>
      </c>
      <c r="B173" s="5">
        <v>37537.969141709531</v>
      </c>
    </row>
    <row r="174" spans="1:2">
      <c r="A174" t="s">
        <v>60</v>
      </c>
      <c r="B174" s="5">
        <v>1153.3540813344698</v>
      </c>
    </row>
    <row r="175" spans="1:2">
      <c r="A175" t="s">
        <v>25</v>
      </c>
      <c r="B175" s="5">
        <v>65970.583196588253</v>
      </c>
    </row>
    <row r="176" spans="1:2">
      <c r="A176" t="s">
        <v>43</v>
      </c>
      <c r="B176" s="5">
        <v>19048.551310804651</v>
      </c>
    </row>
    <row r="177" spans="1:2">
      <c r="A177" t="s">
        <v>33</v>
      </c>
      <c r="B177" s="5">
        <v>26866.513043367155</v>
      </c>
    </row>
    <row r="178" spans="1:2">
      <c r="A178" t="s">
        <v>28</v>
      </c>
      <c r="B178" s="5">
        <v>45435.595557652545</v>
      </c>
    </row>
    <row r="179" spans="1:2">
      <c r="A179" t="s">
        <v>53</v>
      </c>
      <c r="B179" s="5">
        <v>13862.543157721693</v>
      </c>
    </row>
    <row r="180" spans="1:2">
      <c r="A180" t="s">
        <v>59</v>
      </c>
      <c r="B180" s="5">
        <v>5171.1418811369285</v>
      </c>
    </row>
    <row r="181" spans="1:2">
      <c r="A181" t="s">
        <v>48</v>
      </c>
      <c r="B181" s="5">
        <v>11455.57961168896</v>
      </c>
    </row>
    <row r="182" spans="1:2">
      <c r="A182" t="s">
        <v>50</v>
      </c>
      <c r="B182" s="5">
        <v>18523.609326536225</v>
      </c>
    </row>
    <row r="183" spans="1:2">
      <c r="A183" t="s">
        <v>34</v>
      </c>
      <c r="B183" s="5">
        <v>53736.004146240033</v>
      </c>
    </row>
    <row r="184" spans="1:2">
      <c r="A184" t="s">
        <v>18</v>
      </c>
      <c r="B184" s="5">
        <v>7927.2274188323836</v>
      </c>
    </row>
    <row r="185" spans="1:2">
      <c r="A185" t="s">
        <v>17</v>
      </c>
      <c r="B185" s="5">
        <v>16373.334072579131</v>
      </c>
    </row>
    <row r="186" spans="1:2">
      <c r="A186" t="s">
        <v>17</v>
      </c>
      <c r="B186" s="5">
        <v>345.52268857895081</v>
      </c>
    </row>
    <row r="187" spans="1:2">
      <c r="A187" t="s">
        <v>54</v>
      </c>
      <c r="B187" s="5">
        <v>460.68638355578219</v>
      </c>
    </row>
    <row r="188" spans="1:2">
      <c r="A188" t="s">
        <v>23</v>
      </c>
      <c r="B188" s="5">
        <v>4795.6113586917299</v>
      </c>
    </row>
    <row r="189" spans="1:2">
      <c r="A189" t="s">
        <v>56</v>
      </c>
      <c r="B189" s="5">
        <v>218.61271019187103</v>
      </c>
    </row>
    <row r="190" spans="1:2">
      <c r="A190" t="s">
        <v>27</v>
      </c>
      <c r="B190" s="5">
        <v>3925.3838293328649</v>
      </c>
    </row>
    <row r="191" spans="1:2">
      <c r="A191" t="s">
        <v>38</v>
      </c>
      <c r="B191" s="5">
        <v>2258.7323322431962</v>
      </c>
    </row>
    <row r="192" spans="1:2">
      <c r="A192" t="s">
        <v>49</v>
      </c>
      <c r="B192" s="5">
        <v>502.01342118788148</v>
      </c>
    </row>
    <row r="193" spans="1:2">
      <c r="A193" t="s">
        <v>42</v>
      </c>
      <c r="B193" s="5">
        <v>693.39458169319573</v>
      </c>
    </row>
    <row r="194" spans="1:2">
      <c r="A194" t="s">
        <v>37</v>
      </c>
      <c r="B194" s="5">
        <v>1441.6530971075163</v>
      </c>
    </row>
    <row r="195" spans="1:2">
      <c r="A195" t="s">
        <v>36</v>
      </c>
      <c r="B195" s="5">
        <v>4394.6769398184024</v>
      </c>
    </row>
    <row r="196" spans="1:2">
      <c r="A196" t="s">
        <v>44</v>
      </c>
      <c r="B196" s="5">
        <v>79.040724790629838</v>
      </c>
    </row>
    <row r="197" spans="1:2">
      <c r="A197" t="s">
        <v>32</v>
      </c>
      <c r="B197" s="5">
        <v>1627.4614809349359</v>
      </c>
    </row>
    <row r="198" spans="1:2">
      <c r="A198" t="s">
        <v>22</v>
      </c>
      <c r="B198" s="5">
        <v>5165.1317509989303</v>
      </c>
    </row>
    <row r="199" spans="1:2">
      <c r="A199" t="s">
        <v>15</v>
      </c>
      <c r="B199" s="5">
        <v>29081.108864959464</v>
      </c>
    </row>
    <row r="200" spans="1:2">
      <c r="A200" t="s">
        <v>16</v>
      </c>
      <c r="B200" s="5">
        <v>12345.775647785205</v>
      </c>
    </row>
    <row r="201" spans="1:2">
      <c r="A201" t="s">
        <v>52</v>
      </c>
      <c r="B201" s="5">
        <v>320.65061724339478</v>
      </c>
    </row>
    <row r="202" spans="1:2">
      <c r="A202" t="s">
        <v>29</v>
      </c>
      <c r="B202" s="5">
        <v>3870.1933245776868</v>
      </c>
    </row>
    <row r="203" spans="1:2">
      <c r="A203" t="s">
        <v>30</v>
      </c>
      <c r="B203" s="5">
        <v>1243.8142577675148</v>
      </c>
    </row>
    <row r="204" spans="1:2">
      <c r="A204" t="s">
        <v>51</v>
      </c>
      <c r="B204" s="5">
        <v>1355.4488786666625</v>
      </c>
    </row>
    <row r="205" spans="1:2">
      <c r="A205" t="s">
        <v>57</v>
      </c>
      <c r="B205" s="5">
        <v>426.98635975127394</v>
      </c>
    </row>
    <row r="206" spans="1:2">
      <c r="A206" t="s">
        <v>40</v>
      </c>
      <c r="B206" s="5">
        <v>1893.4377863479469</v>
      </c>
    </row>
    <row r="207" spans="1:2">
      <c r="A207" t="s">
        <v>21</v>
      </c>
      <c r="B207" s="5">
        <v>1320.1265342413687</v>
      </c>
    </row>
    <row r="208" spans="1:2">
      <c r="A208" t="s">
        <v>21</v>
      </c>
      <c r="B208" s="5">
        <v>973.20275058082984</v>
      </c>
    </row>
    <row r="209" spans="1:2">
      <c r="A209" t="s">
        <v>35</v>
      </c>
      <c r="B209" s="5">
        <v>509.65287968621658</v>
      </c>
    </row>
    <row r="210" spans="1:2">
      <c r="A210" t="s">
        <v>24</v>
      </c>
      <c r="B210" s="5">
        <v>1772.056205588726</v>
      </c>
    </row>
    <row r="211" spans="1:2">
      <c r="A211" t="s">
        <v>26</v>
      </c>
      <c r="B211" s="5">
        <v>6863.4579058717882</v>
      </c>
    </row>
    <row r="212" spans="1:2">
      <c r="A212" t="s">
        <v>47</v>
      </c>
      <c r="B212" s="5">
        <v>1292.5786873364643</v>
      </c>
    </row>
    <row r="213" spans="1:2">
      <c r="A213" t="s">
        <v>39</v>
      </c>
      <c r="B213" s="5">
        <v>1360.6732788664947</v>
      </c>
    </row>
    <row r="214" spans="1:2">
      <c r="A214" t="s">
        <v>41</v>
      </c>
      <c r="B214" s="5">
        <v>2115.3902094605387</v>
      </c>
    </row>
    <row r="215" spans="1:2">
      <c r="A215" t="s">
        <v>25</v>
      </c>
      <c r="B215" s="5">
        <v>3335.5130199685404</v>
      </c>
    </row>
    <row r="216" spans="1:2">
      <c r="A216" t="s">
        <v>43</v>
      </c>
      <c r="B216" s="5">
        <v>1344.8300527851545</v>
      </c>
    </row>
    <row r="217" spans="1:2">
      <c r="A217" t="s">
        <v>33</v>
      </c>
      <c r="B217" s="5">
        <v>1545.0438587169922</v>
      </c>
    </row>
    <row r="218" spans="1:2">
      <c r="A218" t="s">
        <v>28</v>
      </c>
      <c r="B218" s="5">
        <v>3170.1754550895926</v>
      </c>
    </row>
    <row r="219" spans="1:2">
      <c r="A219" t="s">
        <v>53</v>
      </c>
      <c r="B219" s="5">
        <v>1129.0403411216519</v>
      </c>
    </row>
    <row r="220" spans="1:2">
      <c r="A220" t="s">
        <v>59</v>
      </c>
      <c r="B220" s="5">
        <v>667.25836441936485</v>
      </c>
    </row>
    <row r="221" spans="1:2">
      <c r="A221" t="s">
        <v>48</v>
      </c>
      <c r="B221" s="5">
        <v>571.59412054042161</v>
      </c>
    </row>
    <row r="222" spans="1:2">
      <c r="A222" t="s">
        <v>50</v>
      </c>
      <c r="B222" s="5">
        <v>785.27692230679997</v>
      </c>
    </row>
    <row r="223" spans="1:2">
      <c r="A223" t="s">
        <v>34</v>
      </c>
      <c r="B223" s="5">
        <v>1464.34</v>
      </c>
    </row>
    <row r="224" spans="1:2">
      <c r="A224" t="s">
        <v>19</v>
      </c>
      <c r="B224" s="5">
        <v>375.72</v>
      </c>
    </row>
  </sheetData>
  <autoFilter ref="A1:B224" xr:uid="{E5445FFA-4496-43C1-9E3D-63DB6DBD2A0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3598A-6B2E-4059-9174-2CD62B963BBF}">
  <sheetPr filterMode="1"/>
  <dimension ref="A1:O132"/>
  <sheetViews>
    <sheetView zoomScale="80" zoomScaleNormal="80" workbookViewId="0">
      <selection activeCell="G58" sqref="G58"/>
    </sheetView>
  </sheetViews>
  <sheetFormatPr defaultRowHeight="14.45"/>
  <cols>
    <col min="1" max="1" width="23.5703125" bestFit="1" customWidth="1"/>
    <col min="2" max="2" width="22.28515625" style="5" bestFit="1" customWidth="1"/>
    <col min="4" max="4" width="28.85546875" bestFit="1" customWidth="1"/>
    <col min="5" max="5" width="15.5703125" style="5" bestFit="1" customWidth="1"/>
    <col min="7" max="7" width="28.28515625" bestFit="1" customWidth="1"/>
    <col min="8" max="8" width="21.28515625" style="5" bestFit="1" customWidth="1"/>
    <col min="11" max="11" width="29.7109375" bestFit="1" customWidth="1"/>
    <col min="12" max="12" width="13.28515625" style="5" bestFit="1" customWidth="1"/>
    <col min="14" max="14" width="28.85546875" bestFit="1" customWidth="1"/>
    <col min="15" max="15" width="14.42578125" bestFit="1" customWidth="1"/>
  </cols>
  <sheetData>
    <row r="1" spans="1:15">
      <c r="A1" s="108" t="s">
        <v>5</v>
      </c>
      <c r="B1" s="108"/>
      <c r="D1" s="108" t="s">
        <v>67</v>
      </c>
      <c r="E1" s="108"/>
      <c r="G1" s="108" t="s">
        <v>6</v>
      </c>
      <c r="H1" s="108"/>
    </row>
    <row r="2" spans="1:15">
      <c r="A2" s="108"/>
      <c r="B2" s="108"/>
      <c r="D2" s="108"/>
      <c r="E2" s="108"/>
      <c r="G2" s="108"/>
      <c r="H2" s="108"/>
    </row>
    <row r="3" spans="1:15">
      <c r="A3" s="29" t="s">
        <v>61</v>
      </c>
      <c r="B3" s="5" t="s">
        <v>68</v>
      </c>
      <c r="D3" s="29" t="s">
        <v>61</v>
      </c>
      <c r="E3" s="5" t="s">
        <v>69</v>
      </c>
      <c r="G3" s="29" t="s">
        <v>61</v>
      </c>
      <c r="H3" s="5" t="s">
        <v>70</v>
      </c>
      <c r="K3" s="85" t="s">
        <v>14</v>
      </c>
      <c r="L3" s="86" t="s">
        <v>1</v>
      </c>
    </row>
    <row r="4" spans="1:15" hidden="1">
      <c r="A4" s="30" t="s">
        <v>71</v>
      </c>
      <c r="B4" s="14">
        <v>9651.4499999999989</v>
      </c>
      <c r="D4" s="30" t="s">
        <v>71</v>
      </c>
      <c r="E4">
        <v>139228.06000000006</v>
      </c>
      <c r="G4" s="30" t="s">
        <v>71</v>
      </c>
      <c r="H4" s="22">
        <v>10567.26</v>
      </c>
      <c r="K4" t="s">
        <v>72</v>
      </c>
      <c r="L4" s="5">
        <v>2423519.1880517672</v>
      </c>
    </row>
    <row r="5" spans="1:15">
      <c r="A5" s="30" t="s">
        <v>73</v>
      </c>
      <c r="B5" s="5">
        <v>19128.440000000002</v>
      </c>
      <c r="D5" s="30" t="s">
        <v>74</v>
      </c>
      <c r="E5" s="5">
        <v>170337.21551819539</v>
      </c>
      <c r="G5" s="30" t="s">
        <v>75</v>
      </c>
      <c r="H5" s="5">
        <v>8074.24</v>
      </c>
      <c r="K5" t="s">
        <v>76</v>
      </c>
      <c r="L5" s="5">
        <v>-0.5</v>
      </c>
      <c r="N5" s="29" t="s">
        <v>61</v>
      </c>
      <c r="O5" t="s">
        <v>62</v>
      </c>
    </row>
    <row r="6" spans="1:15">
      <c r="A6" s="30" t="s">
        <v>77</v>
      </c>
      <c r="B6" s="5">
        <v>387.73</v>
      </c>
      <c r="D6" s="30" t="s">
        <v>77</v>
      </c>
      <c r="E6" s="5">
        <v>7666.1</v>
      </c>
      <c r="G6" s="30" t="s">
        <v>23</v>
      </c>
      <c r="H6" s="5">
        <v>30534.76</v>
      </c>
      <c r="K6" t="s">
        <v>76</v>
      </c>
      <c r="L6" s="5">
        <v>0</v>
      </c>
      <c r="N6" s="87" t="s">
        <v>71</v>
      </c>
      <c r="O6" s="35">
        <v>159446.77000000008</v>
      </c>
    </row>
    <row r="7" spans="1:15">
      <c r="A7" s="30" t="s">
        <v>75</v>
      </c>
      <c r="B7" s="5">
        <v>516.95000000000005</v>
      </c>
      <c r="D7" s="30" t="s">
        <v>75</v>
      </c>
      <c r="E7" s="5">
        <v>11829.44629834254</v>
      </c>
      <c r="G7" s="30" t="s">
        <v>27</v>
      </c>
      <c r="H7" s="5">
        <v>28225.96</v>
      </c>
      <c r="K7" s="30" t="s">
        <v>71</v>
      </c>
      <c r="L7" s="14">
        <v>9651.4499999999989</v>
      </c>
      <c r="N7" s="87" t="s">
        <v>73</v>
      </c>
      <c r="O7" s="35">
        <v>197519.47000000003</v>
      </c>
    </row>
    <row r="8" spans="1:15">
      <c r="A8" s="30" t="s">
        <v>23</v>
      </c>
      <c r="B8" s="5">
        <v>5817.83</v>
      </c>
      <c r="D8" s="30" t="s">
        <v>23</v>
      </c>
      <c r="E8" s="5">
        <v>98598.38</v>
      </c>
      <c r="G8" s="30" t="s">
        <v>38</v>
      </c>
      <c r="H8" s="5">
        <v>8380.75</v>
      </c>
      <c r="K8" t="s">
        <v>71</v>
      </c>
      <c r="L8" s="5">
        <v>139228.06000000006</v>
      </c>
      <c r="N8" s="87" t="s">
        <v>75</v>
      </c>
      <c r="O8" s="35">
        <v>20420.636298342542</v>
      </c>
    </row>
    <row r="9" spans="1:15">
      <c r="A9" s="30" t="s">
        <v>56</v>
      </c>
      <c r="B9" s="5">
        <v>260.11</v>
      </c>
      <c r="D9" s="30" t="s">
        <v>56</v>
      </c>
      <c r="E9" s="5">
        <v>14425.44</v>
      </c>
      <c r="G9" s="30" t="s">
        <v>49</v>
      </c>
      <c r="H9" s="5">
        <v>5828.88</v>
      </c>
      <c r="K9" t="s">
        <v>71</v>
      </c>
      <c r="L9" s="5">
        <v>10567.26</v>
      </c>
      <c r="N9" s="87" t="s">
        <v>23</v>
      </c>
      <c r="O9" s="35">
        <v>134950.97</v>
      </c>
    </row>
    <row r="10" spans="1:15">
      <c r="A10" s="30" t="s">
        <v>78</v>
      </c>
      <c r="B10" s="5">
        <v>4404.83</v>
      </c>
      <c r="D10" s="30" t="s">
        <v>27</v>
      </c>
      <c r="E10" s="5">
        <v>73404.02</v>
      </c>
      <c r="G10" s="30" t="s">
        <v>42</v>
      </c>
      <c r="H10" s="5">
        <v>6899.14</v>
      </c>
      <c r="K10" s="30" t="s">
        <v>73</v>
      </c>
      <c r="L10" s="14">
        <v>19128.440000000002</v>
      </c>
      <c r="N10" s="87" t="s">
        <v>56</v>
      </c>
      <c r="O10" s="35">
        <v>14685.550000000001</v>
      </c>
    </row>
    <row r="11" spans="1:15">
      <c r="A11" s="30" t="s">
        <v>49</v>
      </c>
      <c r="B11" s="5">
        <v>639.1</v>
      </c>
      <c r="D11" s="30" t="s">
        <v>38</v>
      </c>
      <c r="E11" s="5">
        <v>48255.920000000006</v>
      </c>
      <c r="G11" s="30" t="s">
        <v>37</v>
      </c>
      <c r="H11" s="5">
        <v>6852.29</v>
      </c>
      <c r="K11" s="30" t="s">
        <v>73</v>
      </c>
      <c r="L11" s="5">
        <v>170337.2</v>
      </c>
      <c r="N11" s="87" t="s">
        <v>78</v>
      </c>
      <c r="O11" s="35">
        <v>106034.81</v>
      </c>
    </row>
    <row r="12" spans="1:15">
      <c r="A12" s="30" t="s">
        <v>42</v>
      </c>
      <c r="B12" s="5">
        <v>778.09</v>
      </c>
      <c r="D12" s="30" t="s">
        <v>49</v>
      </c>
      <c r="E12" s="5">
        <v>29512.679999999997</v>
      </c>
      <c r="G12" s="30" t="s">
        <v>79</v>
      </c>
      <c r="H12" s="5">
        <v>1663.48</v>
      </c>
      <c r="K12" s="30" t="s">
        <v>73</v>
      </c>
      <c r="L12" s="14">
        <v>387.73</v>
      </c>
      <c r="N12" s="87" t="s">
        <v>38</v>
      </c>
      <c r="O12" s="35">
        <v>56636.670000000006</v>
      </c>
    </row>
    <row r="13" spans="1:15">
      <c r="A13" s="30" t="s">
        <v>37</v>
      </c>
      <c r="B13" s="5">
        <v>1691.89</v>
      </c>
      <c r="D13" s="30" t="s">
        <v>80</v>
      </c>
      <c r="E13" s="5">
        <v>17409.400000000001</v>
      </c>
      <c r="G13" s="30" t="s">
        <v>32</v>
      </c>
      <c r="H13" s="5">
        <v>19633.030000000002</v>
      </c>
      <c r="K13" s="30" t="s">
        <v>73</v>
      </c>
      <c r="L13" s="5">
        <v>7666.1</v>
      </c>
      <c r="N13" s="87" t="s">
        <v>49</v>
      </c>
      <c r="O13" s="35">
        <v>35980.659999999996</v>
      </c>
    </row>
    <row r="14" spans="1:15">
      <c r="A14" s="30" t="s">
        <v>36</v>
      </c>
      <c r="B14" s="5">
        <v>4931.43</v>
      </c>
      <c r="D14" s="30" t="s">
        <v>37</v>
      </c>
      <c r="E14" s="5">
        <v>37525.119999999995</v>
      </c>
      <c r="G14" s="30" t="s">
        <v>22</v>
      </c>
      <c r="H14" s="5">
        <v>25977.19</v>
      </c>
      <c r="K14" s="30" t="s">
        <v>75</v>
      </c>
      <c r="L14" s="14">
        <v>516.95000000000005</v>
      </c>
      <c r="N14" s="87" t="s">
        <v>42</v>
      </c>
      <c r="O14" s="35">
        <v>7677.2300000000005</v>
      </c>
    </row>
    <row r="15" spans="1:15">
      <c r="A15" s="30" t="s">
        <v>79</v>
      </c>
      <c r="B15" s="5">
        <v>88.69</v>
      </c>
      <c r="D15" s="30" t="s">
        <v>55</v>
      </c>
      <c r="E15" s="5">
        <v>17695.96</v>
      </c>
      <c r="G15" s="30" t="s">
        <v>46</v>
      </c>
      <c r="H15" s="5">
        <v>1647.01</v>
      </c>
      <c r="K15" t="s">
        <v>75</v>
      </c>
      <c r="L15" s="5">
        <v>11829.44629834254</v>
      </c>
      <c r="N15" s="87" t="s">
        <v>80</v>
      </c>
      <c r="O15" s="35">
        <v>17409.400000000001</v>
      </c>
    </row>
    <row r="16" spans="1:15">
      <c r="A16" s="30" t="s">
        <v>32</v>
      </c>
      <c r="B16" s="5">
        <v>1869.56</v>
      </c>
      <c r="D16" s="30" t="s">
        <v>58</v>
      </c>
      <c r="E16" s="5">
        <v>10021.240000000002</v>
      </c>
      <c r="G16" s="30" t="s">
        <v>16</v>
      </c>
      <c r="H16" s="5">
        <v>123019.93999999999</v>
      </c>
      <c r="K16" t="s">
        <v>75</v>
      </c>
      <c r="L16" s="5">
        <v>8074.24</v>
      </c>
      <c r="N16" s="87" t="s">
        <v>37</v>
      </c>
      <c r="O16" s="35">
        <v>46069.299999999996</v>
      </c>
    </row>
    <row r="17" spans="1:15">
      <c r="A17" s="30" t="s">
        <v>22</v>
      </c>
      <c r="B17" s="5">
        <v>5882.16</v>
      </c>
      <c r="D17" s="30" t="s">
        <v>36</v>
      </c>
      <c r="E17" s="5">
        <v>41181.339999999997</v>
      </c>
      <c r="G17" s="30" t="s">
        <v>81</v>
      </c>
      <c r="H17" s="5">
        <v>6899.14</v>
      </c>
      <c r="K17" s="30" t="s">
        <v>23</v>
      </c>
      <c r="L17" s="14">
        <v>5817.83</v>
      </c>
      <c r="N17" s="87" t="s">
        <v>55</v>
      </c>
      <c r="O17" s="35">
        <v>17695.96</v>
      </c>
    </row>
    <row r="18" spans="1:15">
      <c r="A18" s="30" t="s">
        <v>19</v>
      </c>
      <c r="B18" s="5">
        <v>3203.4299999999994</v>
      </c>
      <c r="D18" s="30" t="s">
        <v>79</v>
      </c>
      <c r="E18" s="5">
        <v>38313.1</v>
      </c>
      <c r="G18" s="30" t="s">
        <v>45</v>
      </c>
      <c r="H18" s="5">
        <v>8660.24</v>
      </c>
      <c r="K18" t="s">
        <v>23</v>
      </c>
      <c r="L18" s="5">
        <v>98598.38</v>
      </c>
      <c r="N18" s="87" t="s">
        <v>58</v>
      </c>
      <c r="O18" s="35">
        <v>10021.240000000002</v>
      </c>
    </row>
    <row r="19" spans="1:15">
      <c r="A19" s="30" t="s">
        <v>16</v>
      </c>
      <c r="B19" s="5">
        <v>13788.91</v>
      </c>
      <c r="D19" s="30" t="s">
        <v>32</v>
      </c>
      <c r="E19" s="5">
        <v>31133.299999999996</v>
      </c>
      <c r="G19" s="30" t="s">
        <v>30</v>
      </c>
      <c r="H19" s="5">
        <v>7305.52</v>
      </c>
      <c r="K19" t="s">
        <v>23</v>
      </c>
      <c r="L19" s="5">
        <v>30534.76</v>
      </c>
      <c r="N19" s="87" t="s">
        <v>36</v>
      </c>
      <c r="O19" s="35">
        <v>46112.77</v>
      </c>
    </row>
    <row r="20" spans="1:15">
      <c r="A20" s="30" t="s">
        <v>81</v>
      </c>
      <c r="B20" s="5">
        <v>359.48000000000008</v>
      </c>
      <c r="D20" s="30" t="s">
        <v>22</v>
      </c>
      <c r="E20" s="5">
        <v>111777.58000000003</v>
      </c>
      <c r="G20" s="30" t="s">
        <v>51</v>
      </c>
      <c r="H20" s="5">
        <v>6852.23</v>
      </c>
      <c r="K20" s="30" t="s">
        <v>56</v>
      </c>
      <c r="L20" s="14">
        <v>260.11</v>
      </c>
      <c r="N20" s="87" t="s">
        <v>79</v>
      </c>
      <c r="O20" s="35">
        <v>40065.270000000004</v>
      </c>
    </row>
    <row r="21" spans="1:15">
      <c r="A21" s="30" t="s">
        <v>29</v>
      </c>
      <c r="B21" s="5">
        <v>1133</v>
      </c>
      <c r="D21" s="30" t="s">
        <v>46</v>
      </c>
      <c r="E21" s="5">
        <v>33319.5</v>
      </c>
      <c r="G21" s="30" t="s">
        <v>82</v>
      </c>
      <c r="H21" s="5">
        <v>8142.05</v>
      </c>
      <c r="K21" t="s">
        <v>56</v>
      </c>
      <c r="L21" s="5">
        <v>14425.44</v>
      </c>
      <c r="N21" s="87" t="s">
        <v>32</v>
      </c>
      <c r="O21" s="35">
        <v>52635.89</v>
      </c>
    </row>
    <row r="22" spans="1:15">
      <c r="A22" s="30" t="s">
        <v>30</v>
      </c>
      <c r="B22" s="5">
        <v>1395.73</v>
      </c>
      <c r="D22" s="30" t="s">
        <v>83</v>
      </c>
      <c r="E22" s="5">
        <v>31047.489999999998</v>
      </c>
      <c r="G22" s="30" t="s">
        <v>84</v>
      </c>
      <c r="H22" s="5">
        <v>22917.65</v>
      </c>
      <c r="K22" s="30" t="s">
        <v>78</v>
      </c>
      <c r="L22" s="14">
        <v>4404.83</v>
      </c>
      <c r="N22" s="87" t="s">
        <v>22</v>
      </c>
      <c r="O22" s="35">
        <v>143636.93000000002</v>
      </c>
    </row>
    <row r="23" spans="1:15">
      <c r="A23" s="30" t="s">
        <v>51</v>
      </c>
      <c r="B23" s="5">
        <v>1521</v>
      </c>
      <c r="D23" s="30" t="s">
        <v>16</v>
      </c>
      <c r="E23" s="5">
        <v>161591.85999999999</v>
      </c>
      <c r="G23" s="30" t="s">
        <v>21</v>
      </c>
      <c r="H23" s="5">
        <v>9159.9</v>
      </c>
      <c r="K23" t="s">
        <v>27</v>
      </c>
      <c r="L23" s="5">
        <v>73404.02</v>
      </c>
      <c r="N23" s="87" t="s">
        <v>46</v>
      </c>
      <c r="O23" s="35">
        <v>34966.51</v>
      </c>
    </row>
    <row r="24" spans="1:15">
      <c r="A24" s="30" t="s">
        <v>82</v>
      </c>
      <c r="B24" s="5">
        <v>479.14</v>
      </c>
      <c r="D24" s="30" t="s">
        <v>81</v>
      </c>
      <c r="E24" s="5">
        <v>17595.649999999998</v>
      </c>
      <c r="G24" s="30" t="s">
        <v>85</v>
      </c>
      <c r="H24" s="5">
        <v>9159.9</v>
      </c>
      <c r="K24" t="s">
        <v>27</v>
      </c>
      <c r="L24" s="5">
        <v>28225.96</v>
      </c>
      <c r="N24" s="87" t="s">
        <v>19</v>
      </c>
      <c r="O24" s="35">
        <v>34250.92</v>
      </c>
    </row>
    <row r="25" spans="1:15">
      <c r="A25" s="30" t="s">
        <v>40</v>
      </c>
      <c r="B25" s="5">
        <v>2699.14</v>
      </c>
      <c r="D25" s="30" t="s">
        <v>45</v>
      </c>
      <c r="E25" s="5">
        <v>3247.59</v>
      </c>
      <c r="G25" s="30" t="s">
        <v>86</v>
      </c>
      <c r="H25" s="5">
        <v>11122.65</v>
      </c>
      <c r="K25" s="30" t="s">
        <v>87</v>
      </c>
      <c r="L25" s="14">
        <v>2805.91</v>
      </c>
      <c r="N25" s="87" t="s">
        <v>16</v>
      </c>
      <c r="O25" s="35">
        <v>298400.70999999996</v>
      </c>
    </row>
    <row r="26" spans="1:15">
      <c r="A26" s="30" t="s">
        <v>21</v>
      </c>
      <c r="B26" s="5">
        <v>1481.37</v>
      </c>
      <c r="D26" s="30" t="s">
        <v>29</v>
      </c>
      <c r="E26" s="5">
        <v>10594.79</v>
      </c>
      <c r="G26" s="30" t="s">
        <v>88</v>
      </c>
      <c r="H26" s="5">
        <v>23425.17</v>
      </c>
      <c r="K26" t="s">
        <v>38</v>
      </c>
      <c r="L26" s="5">
        <v>48255.920000000006</v>
      </c>
      <c r="N26" s="87" t="s">
        <v>81</v>
      </c>
      <c r="O26" s="35">
        <v>24854.269999999997</v>
      </c>
    </row>
    <row r="27" spans="1:15">
      <c r="A27" s="30" t="s">
        <v>85</v>
      </c>
      <c r="B27" s="5">
        <v>1092.07</v>
      </c>
      <c r="D27" s="30" t="s">
        <v>30</v>
      </c>
      <c r="E27" s="5">
        <v>34478.24933333334</v>
      </c>
      <c r="G27" s="30" t="s">
        <v>26</v>
      </c>
      <c r="H27" s="5">
        <v>8037.35</v>
      </c>
      <c r="K27" t="s">
        <v>38</v>
      </c>
      <c r="L27" s="5">
        <v>8380.75</v>
      </c>
      <c r="N27" s="87" t="s">
        <v>45</v>
      </c>
      <c r="O27" s="35">
        <v>11907.83</v>
      </c>
    </row>
    <row r="28" spans="1:15">
      <c r="A28" s="30" t="s">
        <v>86</v>
      </c>
      <c r="B28" s="5">
        <v>792.62</v>
      </c>
      <c r="D28" s="30" t="s">
        <v>51</v>
      </c>
      <c r="E28" s="5">
        <v>21379.555753424662</v>
      </c>
      <c r="G28" s="30" t="s">
        <v>89</v>
      </c>
      <c r="H28" s="5">
        <v>12085.06</v>
      </c>
      <c r="K28" s="30" t="s">
        <v>49</v>
      </c>
      <c r="L28" s="14">
        <v>639.1</v>
      </c>
      <c r="N28" s="87" t="s">
        <v>29</v>
      </c>
      <c r="O28" s="35">
        <v>11727.79</v>
      </c>
    </row>
    <row r="29" spans="1:15">
      <c r="A29" s="30" t="s">
        <v>88</v>
      </c>
      <c r="B29" s="5">
        <v>2884.2</v>
      </c>
      <c r="D29" s="30" t="s">
        <v>82</v>
      </c>
      <c r="E29" s="5">
        <v>4458.6000000000004</v>
      </c>
      <c r="G29" s="30" t="s">
        <v>90</v>
      </c>
      <c r="H29" s="5">
        <v>11122.65</v>
      </c>
      <c r="K29" t="s">
        <v>49</v>
      </c>
      <c r="L29" s="5">
        <v>29512.679999999997</v>
      </c>
      <c r="N29" s="87" t="s">
        <v>30</v>
      </c>
      <c r="O29" s="35">
        <v>43179.49933333334</v>
      </c>
    </row>
    <row r="30" spans="1:15">
      <c r="A30" s="30" t="s">
        <v>26</v>
      </c>
      <c r="B30" s="5">
        <v>9479.6899999999987</v>
      </c>
      <c r="D30" s="30" t="s">
        <v>84</v>
      </c>
      <c r="E30" s="5">
        <v>44492.44</v>
      </c>
      <c r="G30" s="30" t="s">
        <v>91</v>
      </c>
      <c r="H30" s="5">
        <v>8965.85</v>
      </c>
      <c r="K30" t="s">
        <v>49</v>
      </c>
      <c r="L30" s="5">
        <v>5828.88</v>
      </c>
      <c r="N30" s="87" t="s">
        <v>51</v>
      </c>
      <c r="O30" s="35">
        <v>29753.325753424655</v>
      </c>
    </row>
    <row r="31" spans="1:15">
      <c r="A31" s="30" t="s">
        <v>39</v>
      </c>
      <c r="B31" s="5">
        <v>2393.0200000000004</v>
      </c>
      <c r="D31" s="30" t="s">
        <v>40</v>
      </c>
      <c r="E31" s="5">
        <v>38596.92</v>
      </c>
      <c r="G31" s="30" t="s">
        <v>92</v>
      </c>
      <c r="H31" s="5">
        <v>21786.83</v>
      </c>
      <c r="K31" s="30" t="s">
        <v>42</v>
      </c>
      <c r="L31" s="14">
        <v>778.09</v>
      </c>
      <c r="N31" s="87" t="s">
        <v>82</v>
      </c>
      <c r="O31" s="35">
        <v>13079.79</v>
      </c>
    </row>
    <row r="32" spans="1:15">
      <c r="A32" s="30" t="s">
        <v>90</v>
      </c>
      <c r="B32" s="5">
        <v>1450.45</v>
      </c>
      <c r="D32" s="30" t="s">
        <v>93</v>
      </c>
      <c r="E32" s="5">
        <v>1309.8</v>
      </c>
      <c r="G32" s="30" t="s">
        <v>33</v>
      </c>
      <c r="H32" s="5">
        <v>9407.91</v>
      </c>
      <c r="K32" t="s">
        <v>42</v>
      </c>
      <c r="L32" s="5">
        <v>6899.14</v>
      </c>
      <c r="N32" s="87" t="s">
        <v>84</v>
      </c>
      <c r="O32" s="35">
        <v>67410.09</v>
      </c>
    </row>
    <row r="33" spans="1:15">
      <c r="A33" s="30" t="s">
        <v>94</v>
      </c>
      <c r="B33" s="5">
        <v>2373.7600000000002</v>
      </c>
      <c r="D33" s="30" t="s">
        <v>21</v>
      </c>
      <c r="E33" s="5">
        <v>57909.1</v>
      </c>
      <c r="G33" s="30" t="s">
        <v>95</v>
      </c>
      <c r="H33" s="5">
        <v>15854.24</v>
      </c>
      <c r="K33" t="s">
        <v>80</v>
      </c>
      <c r="L33" s="5">
        <v>17409.400000000001</v>
      </c>
      <c r="N33" s="87" t="s">
        <v>40</v>
      </c>
      <c r="O33" s="35">
        <v>41296.06</v>
      </c>
    </row>
    <row r="34" spans="1:15">
      <c r="A34" s="30" t="s">
        <v>91</v>
      </c>
      <c r="B34" s="5">
        <v>4084.21</v>
      </c>
      <c r="D34" s="30" t="s">
        <v>85</v>
      </c>
      <c r="E34" s="5">
        <v>54157.72</v>
      </c>
      <c r="G34" s="30" t="s">
        <v>53</v>
      </c>
      <c r="H34" s="5">
        <v>11639.97</v>
      </c>
      <c r="K34" s="30" t="s">
        <v>37</v>
      </c>
      <c r="L34" s="14">
        <v>1691.89</v>
      </c>
      <c r="N34" s="30" t="s">
        <v>93</v>
      </c>
      <c r="O34" s="35">
        <v>1309.8</v>
      </c>
    </row>
    <row r="35" spans="1:15">
      <c r="A35" s="30" t="s">
        <v>92</v>
      </c>
      <c r="B35" s="5">
        <v>1509.09</v>
      </c>
      <c r="D35" s="30" t="s">
        <v>86</v>
      </c>
      <c r="E35" s="5">
        <v>41797.67</v>
      </c>
      <c r="G35" s="30" t="s">
        <v>96</v>
      </c>
      <c r="H35" s="5">
        <v>6179.26</v>
      </c>
      <c r="K35" t="s">
        <v>37</v>
      </c>
      <c r="L35" s="5">
        <v>37525.119999999995</v>
      </c>
      <c r="N35" s="87" t="s">
        <v>21</v>
      </c>
      <c r="O35" s="35">
        <v>68550.37</v>
      </c>
    </row>
    <row r="36" spans="1:15">
      <c r="A36" s="30" t="s">
        <v>33</v>
      </c>
      <c r="B36" s="5">
        <v>1770.82</v>
      </c>
      <c r="D36" s="30" t="s">
        <v>88</v>
      </c>
      <c r="E36" s="5">
        <v>94288.75</v>
      </c>
      <c r="G36" s="30" t="s">
        <v>50</v>
      </c>
      <c r="H36" s="5">
        <v>9184.2900000000009</v>
      </c>
      <c r="K36" t="s">
        <v>37</v>
      </c>
      <c r="L36" s="5">
        <v>6852.29</v>
      </c>
      <c r="N36" s="30" t="s">
        <v>85</v>
      </c>
      <c r="O36" s="35">
        <v>64409.69</v>
      </c>
    </row>
    <row r="37" spans="1:15">
      <c r="A37" s="30" t="s">
        <v>95</v>
      </c>
      <c r="B37" s="5">
        <v>3816.72</v>
      </c>
      <c r="D37" s="30" t="s">
        <v>26</v>
      </c>
      <c r="E37" s="5">
        <v>98559.21666666666</v>
      </c>
      <c r="G37" s="30" t="s">
        <v>97</v>
      </c>
      <c r="H37" s="5">
        <v>17829.080000000002</v>
      </c>
      <c r="K37" t="s">
        <v>55</v>
      </c>
      <c r="L37" s="5">
        <v>17695.96</v>
      </c>
      <c r="N37" s="87" t="s">
        <v>86</v>
      </c>
      <c r="O37" s="35">
        <v>53712.94</v>
      </c>
    </row>
    <row r="38" spans="1:15">
      <c r="A38" s="30" t="s">
        <v>53</v>
      </c>
      <c r="B38" s="5">
        <v>1266.94</v>
      </c>
      <c r="D38" s="30" t="s">
        <v>89</v>
      </c>
      <c r="E38" s="5">
        <v>40830.230000000003</v>
      </c>
      <c r="G38" s="30" t="s">
        <v>98</v>
      </c>
      <c r="H38" s="5">
        <v>438.34000000000003</v>
      </c>
      <c r="K38" t="s">
        <v>58</v>
      </c>
      <c r="L38" s="5">
        <v>10021.240000000002</v>
      </c>
      <c r="N38" s="87" t="s">
        <v>88</v>
      </c>
      <c r="O38" s="35">
        <v>120598.12</v>
      </c>
    </row>
    <row r="39" spans="1:15">
      <c r="A39" s="30" t="s">
        <v>59</v>
      </c>
      <c r="B39" s="5">
        <v>748.76</v>
      </c>
      <c r="D39" s="30" t="s">
        <v>90</v>
      </c>
      <c r="E39" s="5">
        <v>23657.579999999998</v>
      </c>
      <c r="G39" s="30" t="s">
        <v>72</v>
      </c>
      <c r="H39" s="5">
        <v>0</v>
      </c>
      <c r="K39" s="30" t="s">
        <v>36</v>
      </c>
      <c r="L39" s="14">
        <v>4931.43</v>
      </c>
      <c r="N39" s="87" t="s">
        <v>26</v>
      </c>
      <c r="O39" s="35">
        <v>116076.25666666667</v>
      </c>
    </row>
    <row r="40" spans="1:15">
      <c r="A40" s="30" t="s">
        <v>96</v>
      </c>
      <c r="B40" s="5">
        <v>641.41</v>
      </c>
      <c r="D40" s="30" t="s">
        <v>94</v>
      </c>
      <c r="E40" s="5">
        <v>43950.240000000005</v>
      </c>
      <c r="G40" s="30" t="s">
        <v>66</v>
      </c>
      <c r="H40" s="5">
        <v>523479.21</v>
      </c>
      <c r="K40" t="s">
        <v>36</v>
      </c>
      <c r="L40" s="5">
        <v>41181.339999999997</v>
      </c>
      <c r="N40" s="87" t="s">
        <v>39</v>
      </c>
      <c r="O40" s="35">
        <v>55308.31</v>
      </c>
    </row>
    <row r="41" spans="1:15">
      <c r="A41" s="30" t="s">
        <v>50</v>
      </c>
      <c r="B41" s="5">
        <v>881.19</v>
      </c>
      <c r="D41" s="30" t="s">
        <v>91</v>
      </c>
      <c r="E41" s="5">
        <v>78296.979999999981</v>
      </c>
      <c r="K41" s="30" t="s">
        <v>79</v>
      </c>
      <c r="L41" s="14">
        <v>88.69</v>
      </c>
      <c r="N41" s="87" t="s">
        <v>90</v>
      </c>
      <c r="O41" s="35">
        <v>36230.68</v>
      </c>
    </row>
    <row r="42" spans="1:15">
      <c r="A42" s="30" t="s">
        <v>97</v>
      </c>
      <c r="B42" s="5">
        <v>33235.040000000001</v>
      </c>
      <c r="D42" s="30" t="s">
        <v>92</v>
      </c>
      <c r="E42" s="5">
        <v>21375.119999999999</v>
      </c>
      <c r="K42" t="s">
        <v>79</v>
      </c>
      <c r="L42" s="5">
        <v>38313.1</v>
      </c>
      <c r="N42" s="87" t="s">
        <v>94</v>
      </c>
      <c r="O42" s="35">
        <v>46324.000000000007</v>
      </c>
    </row>
    <row r="43" spans="1:15">
      <c r="A43" s="30" t="s">
        <v>99</v>
      </c>
      <c r="B43" s="5">
        <v>1603.6799999999998</v>
      </c>
      <c r="D43" s="30" t="s">
        <v>33</v>
      </c>
      <c r="E43" s="5">
        <v>31446.020000000004</v>
      </c>
      <c r="K43" t="s">
        <v>79</v>
      </c>
      <c r="L43" s="5">
        <v>1663.48</v>
      </c>
      <c r="N43" s="87" t="s">
        <v>91</v>
      </c>
      <c r="O43" s="35">
        <v>91347.04</v>
      </c>
    </row>
    <row r="44" spans="1:15">
      <c r="A44" s="30" t="s">
        <v>87</v>
      </c>
      <c r="B44" s="5">
        <v>2805.91</v>
      </c>
      <c r="D44" s="30" t="s">
        <v>95</v>
      </c>
      <c r="E44" s="5">
        <v>64598.700000000004</v>
      </c>
      <c r="K44" s="30" t="s">
        <v>32</v>
      </c>
      <c r="L44" s="14">
        <v>1869.56</v>
      </c>
      <c r="N44" s="87" t="s">
        <v>92</v>
      </c>
      <c r="O44" s="35">
        <v>44671.040000000001</v>
      </c>
    </row>
    <row r="45" spans="1:15">
      <c r="A45" s="30" t="s">
        <v>100</v>
      </c>
      <c r="B45" s="5">
        <v>3192.0010989010989</v>
      </c>
      <c r="D45" s="30" t="s">
        <v>53</v>
      </c>
      <c r="E45" s="5">
        <v>15550.879999999994</v>
      </c>
      <c r="K45" t="s">
        <v>32</v>
      </c>
      <c r="L45" s="5">
        <v>31133.299999999996</v>
      </c>
      <c r="N45" s="87" t="s">
        <v>33</v>
      </c>
      <c r="O45" s="35">
        <v>42624.75</v>
      </c>
    </row>
    <row r="46" spans="1:15">
      <c r="A46" s="30" t="s">
        <v>66</v>
      </c>
      <c r="B46" s="5">
        <v>158131.04109890107</v>
      </c>
      <c r="D46" s="30" t="s">
        <v>59</v>
      </c>
      <c r="E46" s="5">
        <v>1434.19</v>
      </c>
      <c r="K46" t="s">
        <v>32</v>
      </c>
      <c r="L46" s="5">
        <v>19633.030000000002</v>
      </c>
      <c r="N46" s="87" t="s">
        <v>95</v>
      </c>
      <c r="O46" s="35">
        <v>84269.66</v>
      </c>
    </row>
    <row r="47" spans="1:15">
      <c r="D47" s="30" t="s">
        <v>96</v>
      </c>
      <c r="E47" s="5">
        <v>13958.33</v>
      </c>
      <c r="K47" s="30" t="s">
        <v>22</v>
      </c>
      <c r="L47" s="14">
        <v>5882.16</v>
      </c>
      <c r="N47" s="87" t="s">
        <v>53</v>
      </c>
      <c r="O47" s="35">
        <v>28457.789999999994</v>
      </c>
    </row>
    <row r="48" spans="1:15">
      <c r="D48" s="30" t="s">
        <v>50</v>
      </c>
      <c r="E48" s="5">
        <v>20778.080000000002</v>
      </c>
      <c r="K48" t="s">
        <v>22</v>
      </c>
      <c r="L48" s="5">
        <v>111777.58000000003</v>
      </c>
      <c r="N48" s="87" t="s">
        <v>59</v>
      </c>
      <c r="O48" s="35">
        <v>2182.9499999999998</v>
      </c>
    </row>
    <row r="49" spans="4:15">
      <c r="D49" s="30" t="s">
        <v>97</v>
      </c>
      <c r="E49" s="5">
        <v>349646.52999999991</v>
      </c>
      <c r="K49" t="s">
        <v>22</v>
      </c>
      <c r="L49" s="5">
        <v>25977.19</v>
      </c>
      <c r="N49" s="87" t="s">
        <v>96</v>
      </c>
      <c r="O49" s="35">
        <v>20779</v>
      </c>
    </row>
    <row r="50" spans="4:15">
      <c r="D50" s="30" t="s">
        <v>99</v>
      </c>
      <c r="E50" s="5">
        <v>58557.100000000006</v>
      </c>
      <c r="K50" t="s">
        <v>46</v>
      </c>
      <c r="L50" s="5">
        <v>33319.5</v>
      </c>
      <c r="N50" s="87" t="s">
        <v>50</v>
      </c>
      <c r="O50" s="35">
        <v>30843.56</v>
      </c>
    </row>
    <row r="51" spans="4:15">
      <c r="D51" s="30" t="s">
        <v>100</v>
      </c>
      <c r="E51" s="5">
        <v>12300</v>
      </c>
      <c r="K51" t="s">
        <v>46</v>
      </c>
      <c r="L51" s="5">
        <v>1647.01</v>
      </c>
      <c r="N51" s="87" t="s">
        <v>97</v>
      </c>
      <c r="O51" s="35">
        <v>400710.63999999996</v>
      </c>
    </row>
    <row r="52" spans="4:15">
      <c r="D52" s="30" t="s">
        <v>76</v>
      </c>
      <c r="E52" s="5">
        <v>0</v>
      </c>
      <c r="K52" s="30" t="s">
        <v>19</v>
      </c>
      <c r="L52" s="14">
        <v>3203.4299999999994</v>
      </c>
      <c r="N52" s="30" t="s">
        <v>76</v>
      </c>
      <c r="O52" s="35">
        <v>-0.5</v>
      </c>
    </row>
    <row r="53" spans="4:15">
      <c r="D53" s="30" t="s">
        <v>66</v>
      </c>
      <c r="E53" s="5">
        <v>2423519.1835699631</v>
      </c>
      <c r="K53" s="30" t="s">
        <v>19</v>
      </c>
      <c r="L53" s="5">
        <v>31047.489999999998</v>
      </c>
      <c r="N53" s="30" t="s">
        <v>87</v>
      </c>
      <c r="O53" s="35">
        <v>2805.91</v>
      </c>
    </row>
    <row r="54" spans="4:15">
      <c r="K54" s="30" t="s">
        <v>16</v>
      </c>
      <c r="L54" s="14">
        <v>13788.91</v>
      </c>
      <c r="N54" s="30" t="s">
        <v>100</v>
      </c>
      <c r="O54" s="35">
        <v>15492.001098901099</v>
      </c>
    </row>
    <row r="55" spans="4:15">
      <c r="K55" t="s">
        <v>16</v>
      </c>
      <c r="L55" s="5">
        <v>161591.85999999999</v>
      </c>
      <c r="N55" s="30" t="s">
        <v>98</v>
      </c>
      <c r="O55" s="35">
        <v>60599.110000000008</v>
      </c>
    </row>
    <row r="56" spans="4:15">
      <c r="K56" t="s">
        <v>16</v>
      </c>
      <c r="L56" s="5">
        <v>123019.93999999999</v>
      </c>
      <c r="N56" s="30" t="s">
        <v>66</v>
      </c>
      <c r="O56" s="35">
        <v>3105129.4391506696</v>
      </c>
    </row>
    <row r="57" spans="4:15">
      <c r="K57" s="30" t="s">
        <v>81</v>
      </c>
      <c r="L57" s="14">
        <v>359.48000000000008</v>
      </c>
    </row>
    <row r="58" spans="4:15">
      <c r="K58" t="s">
        <v>81</v>
      </c>
      <c r="L58" s="5">
        <v>17595.649999999998</v>
      </c>
    </row>
    <row r="59" spans="4:15">
      <c r="K59" t="s">
        <v>81</v>
      </c>
      <c r="L59" s="5">
        <v>6899.14</v>
      </c>
    </row>
    <row r="60" spans="4:15">
      <c r="K60" t="s">
        <v>45</v>
      </c>
      <c r="L60" s="5">
        <v>3247.59</v>
      </c>
    </row>
    <row r="61" spans="4:15">
      <c r="K61" t="s">
        <v>45</v>
      </c>
      <c r="L61" s="5">
        <v>8660.24</v>
      </c>
    </row>
    <row r="62" spans="4:15">
      <c r="K62" s="30" t="s">
        <v>29</v>
      </c>
      <c r="L62" s="14">
        <v>1133</v>
      </c>
    </row>
    <row r="63" spans="4:15">
      <c r="K63" t="s">
        <v>29</v>
      </c>
      <c r="L63" s="5">
        <v>10594.79</v>
      </c>
    </row>
    <row r="64" spans="4:15">
      <c r="K64" s="30" t="s">
        <v>30</v>
      </c>
      <c r="L64" s="14">
        <v>1395.73</v>
      </c>
    </row>
    <row r="65" spans="11:12">
      <c r="K65" t="s">
        <v>30</v>
      </c>
      <c r="L65" s="5">
        <v>34478.24933333334</v>
      </c>
    </row>
    <row r="66" spans="11:12">
      <c r="K66" t="s">
        <v>30</v>
      </c>
      <c r="L66" s="5">
        <v>7305.52</v>
      </c>
    </row>
    <row r="67" spans="11:12">
      <c r="K67" s="30" t="s">
        <v>51</v>
      </c>
      <c r="L67" s="14">
        <v>1521</v>
      </c>
    </row>
    <row r="68" spans="11:12">
      <c r="K68" t="s">
        <v>51</v>
      </c>
      <c r="L68" s="5">
        <v>21380.095753424655</v>
      </c>
    </row>
    <row r="69" spans="11:12">
      <c r="K69" t="s">
        <v>51</v>
      </c>
      <c r="L69" s="5">
        <v>6852.23</v>
      </c>
    </row>
    <row r="70" spans="11:12">
      <c r="K70" s="30" t="s">
        <v>82</v>
      </c>
      <c r="L70" s="14">
        <v>479.14</v>
      </c>
    </row>
    <row r="71" spans="11:12">
      <c r="K71" t="s">
        <v>82</v>
      </c>
      <c r="L71" s="5">
        <v>4458.6000000000004</v>
      </c>
    </row>
    <row r="72" spans="11:12">
      <c r="K72" t="s">
        <v>82</v>
      </c>
      <c r="L72" s="5">
        <v>8142.05</v>
      </c>
    </row>
    <row r="73" spans="11:12">
      <c r="K73" t="s">
        <v>84</v>
      </c>
      <c r="L73" s="5">
        <v>44492.44</v>
      </c>
    </row>
    <row r="74" spans="11:12">
      <c r="K74" t="s">
        <v>84</v>
      </c>
      <c r="L74" s="5">
        <v>22917.65</v>
      </c>
    </row>
    <row r="75" spans="11:12">
      <c r="K75" s="30" t="s">
        <v>100</v>
      </c>
      <c r="L75" s="14">
        <v>3192.0010989010989</v>
      </c>
    </row>
    <row r="76" spans="11:12">
      <c r="K76" t="s">
        <v>100</v>
      </c>
      <c r="L76" s="5">
        <v>12300</v>
      </c>
    </row>
    <row r="77" spans="11:12">
      <c r="K77" s="30" t="s">
        <v>40</v>
      </c>
      <c r="L77" s="14">
        <v>2699.14</v>
      </c>
    </row>
    <row r="78" spans="11:12">
      <c r="K78" t="s">
        <v>40</v>
      </c>
      <c r="L78" s="5">
        <v>38596.92</v>
      </c>
    </row>
    <row r="79" spans="11:12">
      <c r="K79" t="s">
        <v>93</v>
      </c>
      <c r="L79" s="5">
        <v>1309.8</v>
      </c>
    </row>
    <row r="80" spans="11:12">
      <c r="K80" s="30" t="s">
        <v>21</v>
      </c>
      <c r="L80" s="14">
        <v>1481.37</v>
      </c>
    </row>
    <row r="81" spans="11:12">
      <c r="K81" t="s">
        <v>21</v>
      </c>
      <c r="L81" s="5">
        <v>57909.1</v>
      </c>
    </row>
    <row r="82" spans="11:12">
      <c r="K82" t="s">
        <v>21</v>
      </c>
      <c r="L82" s="5">
        <v>9159.9</v>
      </c>
    </row>
    <row r="83" spans="11:12">
      <c r="K83" s="30" t="s">
        <v>85</v>
      </c>
      <c r="L83" s="14">
        <v>1092.07</v>
      </c>
    </row>
    <row r="84" spans="11:12">
      <c r="K84" t="s">
        <v>85</v>
      </c>
      <c r="L84" s="5">
        <v>54157.72</v>
      </c>
    </row>
    <row r="85" spans="11:12">
      <c r="K85" t="s">
        <v>85</v>
      </c>
      <c r="L85" s="5">
        <v>9159.9</v>
      </c>
    </row>
    <row r="86" spans="11:12">
      <c r="K86" s="30" t="s">
        <v>86</v>
      </c>
      <c r="L86" s="14">
        <v>792.62</v>
      </c>
    </row>
    <row r="87" spans="11:12">
      <c r="K87" t="s">
        <v>86</v>
      </c>
      <c r="L87" s="5">
        <v>41797.67</v>
      </c>
    </row>
    <row r="88" spans="11:12">
      <c r="K88" t="s">
        <v>86</v>
      </c>
      <c r="L88" s="5">
        <v>11122.65</v>
      </c>
    </row>
    <row r="89" spans="11:12">
      <c r="K89" s="30" t="s">
        <v>88</v>
      </c>
      <c r="L89" s="14">
        <v>2884.2</v>
      </c>
    </row>
    <row r="90" spans="11:12">
      <c r="K90" t="s">
        <v>88</v>
      </c>
      <c r="L90" s="5">
        <v>94288.75</v>
      </c>
    </row>
    <row r="91" spans="11:12">
      <c r="K91" t="s">
        <v>88</v>
      </c>
      <c r="L91" s="5">
        <v>23425.17</v>
      </c>
    </row>
    <row r="92" spans="11:12">
      <c r="K92" s="30" t="s">
        <v>26</v>
      </c>
      <c r="L92" s="14">
        <v>9479.6899999999987</v>
      </c>
    </row>
    <row r="93" spans="11:12">
      <c r="K93" t="s">
        <v>26</v>
      </c>
      <c r="L93" s="5">
        <v>98559.21666666666</v>
      </c>
    </row>
    <row r="94" spans="11:12">
      <c r="K94" t="s">
        <v>26</v>
      </c>
      <c r="L94" s="5">
        <v>8037.35</v>
      </c>
    </row>
    <row r="95" spans="11:12">
      <c r="K95" t="s">
        <v>39</v>
      </c>
      <c r="L95" s="5">
        <v>40830.230000000003</v>
      </c>
    </row>
    <row r="96" spans="11:12">
      <c r="K96" t="s">
        <v>39</v>
      </c>
      <c r="L96" s="5">
        <v>12085.06</v>
      </c>
    </row>
    <row r="97" spans="11:12">
      <c r="K97" s="30" t="s">
        <v>39</v>
      </c>
      <c r="L97" s="14">
        <v>2393.0200000000004</v>
      </c>
    </row>
    <row r="98" spans="11:12">
      <c r="K98" s="30" t="s">
        <v>90</v>
      </c>
      <c r="L98" s="14">
        <v>1450.45</v>
      </c>
    </row>
    <row r="99" spans="11:12">
      <c r="K99" t="s">
        <v>90</v>
      </c>
      <c r="L99" s="5">
        <v>23657.579999999998</v>
      </c>
    </row>
    <row r="100" spans="11:12">
      <c r="K100" t="s">
        <v>90</v>
      </c>
      <c r="L100" s="5">
        <v>11122.65</v>
      </c>
    </row>
    <row r="101" spans="11:12">
      <c r="K101" s="30" t="s">
        <v>94</v>
      </c>
      <c r="L101" s="14">
        <v>2373.7600000000002</v>
      </c>
    </row>
    <row r="102" spans="11:12">
      <c r="K102" t="s">
        <v>94</v>
      </c>
      <c r="L102" s="5">
        <v>43950.240000000005</v>
      </c>
    </row>
    <row r="103" spans="11:12">
      <c r="K103" s="30" t="s">
        <v>91</v>
      </c>
      <c r="L103" s="14">
        <v>4084.21</v>
      </c>
    </row>
    <row r="104" spans="11:12">
      <c r="K104" t="s">
        <v>91</v>
      </c>
      <c r="L104" s="5">
        <v>78296.979999999981</v>
      </c>
    </row>
    <row r="105" spans="11:12">
      <c r="K105" t="s">
        <v>91</v>
      </c>
      <c r="L105" s="5">
        <v>8965.85</v>
      </c>
    </row>
    <row r="106" spans="11:12">
      <c r="K106" s="30" t="s">
        <v>92</v>
      </c>
      <c r="L106" s="14">
        <v>1509.09</v>
      </c>
    </row>
    <row r="107" spans="11:12">
      <c r="K107" t="s">
        <v>92</v>
      </c>
      <c r="L107" s="5">
        <v>21375.119999999999</v>
      </c>
    </row>
    <row r="108" spans="11:12">
      <c r="K108" t="s">
        <v>92</v>
      </c>
      <c r="L108" s="5">
        <v>21786.83</v>
      </c>
    </row>
    <row r="109" spans="11:12">
      <c r="K109" s="30" t="s">
        <v>33</v>
      </c>
      <c r="L109" s="14">
        <v>1770.82</v>
      </c>
    </row>
    <row r="110" spans="11:12">
      <c r="K110" t="s">
        <v>33</v>
      </c>
      <c r="L110" s="5">
        <v>31446.020000000004</v>
      </c>
    </row>
    <row r="111" spans="11:12">
      <c r="K111" t="s">
        <v>33</v>
      </c>
      <c r="L111" s="5">
        <v>9407.91</v>
      </c>
    </row>
    <row r="112" spans="11:12">
      <c r="K112" s="30" t="s">
        <v>95</v>
      </c>
      <c r="L112" s="14">
        <v>3816.72</v>
      </c>
    </row>
    <row r="113" spans="11:12">
      <c r="K113" t="s">
        <v>95</v>
      </c>
      <c r="L113" s="5">
        <v>64598.700000000004</v>
      </c>
    </row>
    <row r="114" spans="11:12">
      <c r="K114" t="s">
        <v>95</v>
      </c>
      <c r="L114" s="5">
        <v>15854.24</v>
      </c>
    </row>
    <row r="115" spans="11:12">
      <c r="K115" s="30" t="s">
        <v>53</v>
      </c>
      <c r="L115" s="14">
        <v>1266.94</v>
      </c>
    </row>
    <row r="116" spans="11:12">
      <c r="K116" t="s">
        <v>53</v>
      </c>
      <c r="L116" s="5">
        <v>15550.879999999994</v>
      </c>
    </row>
    <row r="117" spans="11:12">
      <c r="K117" t="s">
        <v>53</v>
      </c>
      <c r="L117" s="5">
        <v>11639.97</v>
      </c>
    </row>
    <row r="118" spans="11:12">
      <c r="K118" s="30" t="s">
        <v>59</v>
      </c>
      <c r="L118" s="14">
        <v>748.76</v>
      </c>
    </row>
    <row r="119" spans="11:12">
      <c r="K119" t="s">
        <v>59</v>
      </c>
      <c r="L119" s="5">
        <v>1434.19</v>
      </c>
    </row>
    <row r="120" spans="11:12">
      <c r="K120" s="30" t="s">
        <v>96</v>
      </c>
      <c r="L120" s="14">
        <v>641.41</v>
      </c>
    </row>
    <row r="121" spans="11:12">
      <c r="K121" t="s">
        <v>96</v>
      </c>
      <c r="L121" s="5">
        <v>13958.33</v>
      </c>
    </row>
    <row r="122" spans="11:12">
      <c r="K122" t="s">
        <v>96</v>
      </c>
      <c r="L122" s="5">
        <v>6179.26</v>
      </c>
    </row>
    <row r="123" spans="11:12">
      <c r="K123" s="30" t="s">
        <v>50</v>
      </c>
      <c r="L123" s="14">
        <v>881.19</v>
      </c>
    </row>
    <row r="124" spans="11:12">
      <c r="K124" t="s">
        <v>50</v>
      </c>
      <c r="L124" s="5">
        <v>20778.080000000002</v>
      </c>
    </row>
    <row r="125" spans="11:12">
      <c r="K125" t="s">
        <v>50</v>
      </c>
      <c r="L125" s="5">
        <v>9184.2900000000009</v>
      </c>
    </row>
    <row r="126" spans="11:12">
      <c r="K126" s="30" t="s">
        <v>97</v>
      </c>
      <c r="L126" s="14">
        <v>33235.040000000001</v>
      </c>
    </row>
    <row r="127" spans="11:12">
      <c r="K127" t="s">
        <v>97</v>
      </c>
      <c r="L127" s="5">
        <v>349646.51999999996</v>
      </c>
    </row>
    <row r="128" spans="11:12">
      <c r="K128" t="s">
        <v>97</v>
      </c>
      <c r="L128" s="5">
        <v>17829.080000000002</v>
      </c>
    </row>
    <row r="129" spans="11:12">
      <c r="K129" t="s">
        <v>98</v>
      </c>
      <c r="L129" s="14">
        <v>1603.6799999999998</v>
      </c>
    </row>
    <row r="130" spans="11:12">
      <c r="K130" t="s">
        <v>98</v>
      </c>
      <c r="L130" s="5">
        <v>58557.090000000011</v>
      </c>
    </row>
    <row r="131" spans="11:12">
      <c r="K131" t="s">
        <v>98</v>
      </c>
      <c r="L131" s="5">
        <v>438.34000000000003</v>
      </c>
    </row>
    <row r="132" spans="11:12">
      <c r="L132" s="5">
        <f>SUBTOTAL(9,L5:L131)</f>
        <v>3105129.4391506687</v>
      </c>
    </row>
  </sheetData>
  <autoFilter ref="K3:L131" xr:uid="{BAC3598A-6B2E-4059-9174-2CD62B963BBF}">
    <filterColumn colId="0">
      <filters>
        <filter val="Adj"/>
        <filter val="Arrabawn"/>
        <filter val="Aurivo"/>
        <filter val="Aurivo NI"/>
        <filter val="BallyJamesDuff"/>
        <filter val="Bandon Co-Op"/>
        <filter val="Bandon Vale Cheese"/>
        <filter val="Barryroe Co-op"/>
        <filter val="Brett Brother"/>
        <filter val="Brett Brothers"/>
        <filter val="Callan Co-Op"/>
        <filter val="Carbery"/>
        <filter val="Centenary Thurles Co-Op"/>
        <filter val="Centenary Thurles Feed &amp; Grain"/>
        <filter val="Centenary Thurles Fresh Milk"/>
        <filter val="Centenary Thurles Stores"/>
        <filter val="Dan O'Connor"/>
        <filter val="Denis Brinicombe"/>
        <filter val="Drinagh Co-Op"/>
        <filter val="Drinagh Dairies"/>
        <filter val="East Coast Viners"/>
        <filter val="ECV"/>
        <filter val="Heat Merchants"/>
        <filter val="Hopkins"/>
        <filter val="ICMSA"/>
        <filter val="Irish International Traders"/>
        <filter val="J.McKenna"/>
        <filter val="John McCarthy"/>
        <filter val="Kelliher Mills"/>
        <filter val="Kerry"/>
        <filter val="Kiernan Milling"/>
        <filter val="Lacpatrick Dairies"/>
        <filter val="Lacpatrick Dairies NI"/>
        <filter val="Lakeland Dairies"/>
        <filter val="Lakeland Dairies NI"/>
        <filter val="Lee Strand"/>
        <filter val="Lisavaird"/>
        <filter val="M.D O'Shea"/>
        <filter val="McDonnell"/>
        <filter val="McDonnell Bros"/>
        <filter val="McDonogh"/>
        <filter val="Morris DIY"/>
        <filter val="North Cork"/>
        <filter val="Organic Herd"/>
        <filter val="Peter Curran"/>
        <filter val="Richard Boyle"/>
        <filter val="Smiths Building"/>
        <filter val="Smiths Tools"/>
        <filter val="Strathroy Dairy"/>
        <filter val="T&amp;A Building"/>
        <filter val="Tirlan"/>
        <filter val="Wallaces"/>
        <filter val="Wallaces Homevalue Hardware"/>
      </filters>
    </filterColumn>
  </autoFilter>
  <sortState xmlns:xlrd2="http://schemas.microsoft.com/office/spreadsheetml/2017/richdata2" ref="K4:L131">
    <sortCondition ref="K4:K131"/>
  </sortState>
  <mergeCells count="3">
    <mergeCell ref="A1:B2"/>
    <mergeCell ref="D1:E2"/>
    <mergeCell ref="G1:H2"/>
  </mergeCells>
  <pageMargins left="0.7" right="0.7" top="0.75" bottom="0.75" header="0.3" footer="0.3"/>
  <pageSetup paperSize="9" orientation="portrait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12809-E74F-4EFC-BDA6-0D083A1B79AF}">
  <dimension ref="A1:N175"/>
  <sheetViews>
    <sheetView topLeftCell="G1" workbookViewId="0">
      <selection activeCell="M3" sqref="M3"/>
    </sheetView>
  </sheetViews>
  <sheetFormatPr defaultRowHeight="14.45"/>
  <cols>
    <col min="1" max="1" width="29.7109375" bestFit="1" customWidth="1"/>
    <col min="2" max="2" width="11.5703125" style="5" bestFit="1" customWidth="1"/>
    <col min="7" max="7" width="14.28515625" bestFit="1" customWidth="1"/>
    <col min="8" max="8" width="14.42578125" style="5" bestFit="1" customWidth="1"/>
    <col min="13" max="13" width="21" bestFit="1" customWidth="1"/>
    <col min="14" max="14" width="11.5703125" bestFit="1" customWidth="1"/>
  </cols>
  <sheetData>
    <row r="1" spans="1:14">
      <c r="A1" t="s">
        <v>14</v>
      </c>
      <c r="B1" s="5" t="s">
        <v>1</v>
      </c>
    </row>
    <row r="2" spans="1:14">
      <c r="A2" s="30" t="s">
        <v>23</v>
      </c>
      <c r="B2" s="5">
        <v>111426.78752962446</v>
      </c>
    </row>
    <row r="3" spans="1:14">
      <c r="A3" t="s">
        <v>27</v>
      </c>
      <c r="B3" s="5">
        <v>82954.447531088299</v>
      </c>
    </row>
    <row r="4" spans="1:14">
      <c r="A4" t="s">
        <v>38</v>
      </c>
      <c r="B4" s="5">
        <v>54554.246247253381</v>
      </c>
    </row>
    <row r="5" spans="1:14">
      <c r="A5" t="s">
        <v>49</v>
      </c>
      <c r="B5" s="5">
        <v>33579.615308136163</v>
      </c>
      <c r="G5" s="29" t="s">
        <v>61</v>
      </c>
      <c r="H5" t="s">
        <v>62</v>
      </c>
    </row>
    <row r="6" spans="1:14">
      <c r="A6" t="s">
        <v>55</v>
      </c>
      <c r="B6" s="5">
        <v>19993.022566488773</v>
      </c>
      <c r="G6" s="30" t="s">
        <v>71</v>
      </c>
      <c r="H6" s="35">
        <v>180331.78572603638</v>
      </c>
      <c r="M6" s="30" t="s">
        <v>97</v>
      </c>
      <c r="N6" s="35">
        <v>452741.11319036904</v>
      </c>
    </row>
    <row r="7" spans="1:14">
      <c r="A7" t="s">
        <v>58</v>
      </c>
      <c r="B7" s="5">
        <v>11322.06884872027</v>
      </c>
      <c r="G7" s="30" t="s">
        <v>73</v>
      </c>
      <c r="H7" s="35">
        <v>223189.74589335243</v>
      </c>
      <c r="M7" s="30" t="s">
        <v>16</v>
      </c>
      <c r="N7" s="35">
        <v>337224.14432863821</v>
      </c>
    </row>
    <row r="8" spans="1:14">
      <c r="A8" s="30" t="s">
        <v>36</v>
      </c>
      <c r="B8" s="5">
        <v>46526.973384786514</v>
      </c>
      <c r="G8" s="30" t="s">
        <v>23</v>
      </c>
      <c r="H8" s="35">
        <v>152509.12906588044</v>
      </c>
      <c r="M8" s="30" t="s">
        <v>73</v>
      </c>
      <c r="N8" s="35">
        <v>223189.74589335243</v>
      </c>
    </row>
    <row r="9" spans="1:14">
      <c r="A9" t="s">
        <v>32</v>
      </c>
      <c r="B9" s="5">
        <v>35213.124946682801</v>
      </c>
      <c r="G9" s="30" t="s">
        <v>22</v>
      </c>
      <c r="H9" s="35">
        <v>162333.45969742394</v>
      </c>
      <c r="M9" s="30" t="s">
        <v>71</v>
      </c>
      <c r="N9" s="35">
        <v>180331.78572603638</v>
      </c>
    </row>
    <row r="10" spans="1:14">
      <c r="A10" t="s">
        <v>22</v>
      </c>
      <c r="B10" s="5">
        <v>126328.55920937254</v>
      </c>
      <c r="G10" s="30" t="s">
        <v>16</v>
      </c>
      <c r="H10" s="35">
        <v>337224.14432863821</v>
      </c>
      <c r="M10" s="30" t="s">
        <v>22</v>
      </c>
      <c r="N10" s="35">
        <v>162333.45969742394</v>
      </c>
    </row>
    <row r="11" spans="1:14">
      <c r="A11" s="30" t="s">
        <v>46</v>
      </c>
      <c r="B11" s="5">
        <v>37654.623200638016</v>
      </c>
      <c r="G11" s="30" t="s">
        <v>100</v>
      </c>
      <c r="H11" s="35">
        <v>18081.746501724701</v>
      </c>
      <c r="M11" s="30" t="s">
        <v>23</v>
      </c>
      <c r="N11" s="35">
        <v>152509.12906588044</v>
      </c>
    </row>
    <row r="12" spans="1:14">
      <c r="A12" t="s">
        <v>16</v>
      </c>
      <c r="B12" s="5">
        <v>182616.20374226049</v>
      </c>
      <c r="G12" s="30" t="s">
        <v>21</v>
      </c>
      <c r="H12" s="35">
        <v>150259.18636336745</v>
      </c>
      <c r="M12" s="30" t="s">
        <v>21</v>
      </c>
      <c r="N12" s="35">
        <v>150259.18636336745</v>
      </c>
    </row>
    <row r="13" spans="1:14">
      <c r="A13" t="s">
        <v>30</v>
      </c>
      <c r="B13" s="5">
        <v>38950.358759088864</v>
      </c>
      <c r="G13" s="30" t="s">
        <v>88</v>
      </c>
      <c r="H13" s="35">
        <v>136329.13237985867</v>
      </c>
      <c r="M13" s="30" t="s">
        <v>88</v>
      </c>
      <c r="N13" s="35">
        <v>136329.13237985867</v>
      </c>
    </row>
    <row r="14" spans="1:14">
      <c r="A14" t="s">
        <v>51</v>
      </c>
      <c r="B14" s="5">
        <v>24161.494475759617</v>
      </c>
      <c r="G14" s="30" t="s">
        <v>26</v>
      </c>
      <c r="H14" s="35">
        <v>131225.2095312007</v>
      </c>
      <c r="M14" s="30" t="s">
        <v>26</v>
      </c>
      <c r="N14" s="35">
        <v>131225.2095312007</v>
      </c>
    </row>
    <row r="15" spans="1:14">
      <c r="A15" t="s">
        <v>26</v>
      </c>
      <c r="B15" s="5">
        <v>111418.84417927418</v>
      </c>
      <c r="G15" s="30" t="s">
        <v>97</v>
      </c>
      <c r="H15" s="35">
        <v>452741.11319036904</v>
      </c>
      <c r="M15" s="30" t="s">
        <v>100</v>
      </c>
      <c r="N15" s="35">
        <v>18081.746501724701</v>
      </c>
    </row>
    <row r="16" spans="1:14">
      <c r="A16" s="30" t="s">
        <v>33</v>
      </c>
      <c r="B16" s="5">
        <v>35527.939003380285</v>
      </c>
      <c r="G16" s="30" t="s">
        <v>66</v>
      </c>
      <c r="H16" s="35">
        <v>1944224.652677852</v>
      </c>
    </row>
    <row r="17" spans="1:8">
      <c r="A17" t="s">
        <v>59</v>
      </c>
      <c r="B17" s="5">
        <v>1483.0263114282677</v>
      </c>
      <c r="H17"/>
    </row>
    <row r="18" spans="1:8">
      <c r="A18" t="s">
        <v>50</v>
      </c>
      <c r="B18" s="5">
        <v>23472.853092197696</v>
      </c>
      <c r="H18"/>
    </row>
    <row r="19" spans="1:8">
      <c r="A19" t="s">
        <v>75</v>
      </c>
      <c r="B19" s="5">
        <v>13364.832642817653</v>
      </c>
      <c r="H19"/>
    </row>
    <row r="20" spans="1:8">
      <c r="A20" t="s">
        <v>37</v>
      </c>
      <c r="B20" s="5">
        <v>42396.149797479149</v>
      </c>
      <c r="H20"/>
    </row>
    <row r="21" spans="1:8">
      <c r="A21" s="30" t="s">
        <v>79</v>
      </c>
      <c r="B21" s="5">
        <v>43297.928964971368</v>
      </c>
      <c r="H21"/>
    </row>
    <row r="22" spans="1:8">
      <c r="A22" t="s">
        <v>81</v>
      </c>
      <c r="B22" s="5">
        <v>19879.657201384522</v>
      </c>
      <c r="H22"/>
    </row>
    <row r="23" spans="1:8">
      <c r="A23" t="s">
        <v>45</v>
      </c>
      <c r="B23" s="5">
        <v>3670.1264352754397</v>
      </c>
      <c r="H23"/>
    </row>
    <row r="24" spans="1:8">
      <c r="A24" s="30" t="s">
        <v>86</v>
      </c>
      <c r="B24" s="5">
        <v>47235.868320791458</v>
      </c>
      <c r="H24"/>
    </row>
    <row r="25" spans="1:8">
      <c r="A25" t="s">
        <v>88</v>
      </c>
      <c r="B25" s="5">
        <v>106593.9658003012</v>
      </c>
      <c r="H25"/>
    </row>
    <row r="26" spans="1:8">
      <c r="A26" t="s">
        <v>94</v>
      </c>
      <c r="B26" s="5">
        <v>49655.296470075511</v>
      </c>
      <c r="H26"/>
    </row>
    <row r="27" spans="1:8">
      <c r="A27" t="s">
        <v>91</v>
      </c>
      <c r="B27" s="5">
        <v>88460.489740478617</v>
      </c>
      <c r="H27"/>
    </row>
    <row r="28" spans="1:8">
      <c r="A28" t="s">
        <v>95</v>
      </c>
      <c r="B28" s="5">
        <v>72984.07471907929</v>
      </c>
      <c r="H28"/>
    </row>
    <row r="29" spans="1:8">
      <c r="A29" s="30" t="s">
        <v>99</v>
      </c>
      <c r="B29" s="5">
        <v>66174.610977572665</v>
      </c>
      <c r="H29"/>
    </row>
    <row r="30" spans="1:8">
      <c r="A30" s="30" t="s">
        <v>71</v>
      </c>
      <c r="B30" s="5">
        <v>157459.35466644104</v>
      </c>
      <c r="H30"/>
    </row>
    <row r="31" spans="1:8">
      <c r="A31" t="s">
        <v>73</v>
      </c>
      <c r="B31" s="5">
        <v>192467.4415484069</v>
      </c>
      <c r="H31"/>
    </row>
    <row r="32" spans="1:8">
      <c r="A32" t="s">
        <v>73</v>
      </c>
      <c r="B32" s="5">
        <v>8663.5185677579502</v>
      </c>
      <c r="H32"/>
    </row>
    <row r="33" spans="1:8">
      <c r="A33" t="s">
        <v>56</v>
      </c>
      <c r="B33" s="5">
        <v>16302.300685886989</v>
      </c>
      <c r="H33"/>
    </row>
    <row r="34" spans="1:8">
      <c r="A34" s="30" t="s">
        <v>80</v>
      </c>
      <c r="B34" s="5">
        <v>19674.496830660344</v>
      </c>
      <c r="H34"/>
    </row>
    <row r="35" spans="1:8">
      <c r="A35" t="s">
        <v>83</v>
      </c>
      <c r="B35" s="5">
        <v>35119.209436615383</v>
      </c>
      <c r="H35"/>
    </row>
    <row r="36" spans="1:8">
      <c r="A36" t="s">
        <v>29</v>
      </c>
      <c r="B36" s="5">
        <v>11973.253660465718</v>
      </c>
      <c r="H36"/>
    </row>
    <row r="37" spans="1:8">
      <c r="A37" t="s">
        <v>82</v>
      </c>
      <c r="B37" s="5">
        <v>5036.8460767416973</v>
      </c>
      <c r="H37"/>
    </row>
    <row r="38" spans="1:8">
      <c r="A38" t="s">
        <v>84</v>
      </c>
      <c r="B38" s="5">
        <v>50281.248622488172</v>
      </c>
      <c r="H38"/>
    </row>
    <row r="39" spans="1:8">
      <c r="A39" s="30" t="s">
        <v>40</v>
      </c>
      <c r="B39" s="5">
        <v>43704.812541217914</v>
      </c>
      <c r="H39"/>
    </row>
    <row r="40" spans="1:8">
      <c r="A40" t="s">
        <v>93</v>
      </c>
      <c r="B40" s="5">
        <v>1377.5326972000482</v>
      </c>
      <c r="H40"/>
    </row>
    <row r="41" spans="1:8">
      <c r="A41" t="s">
        <v>21</v>
      </c>
      <c r="B41" s="5">
        <v>65443.519272139936</v>
      </c>
      <c r="H41"/>
    </row>
    <row r="42" spans="1:8">
      <c r="A42" t="s">
        <v>21</v>
      </c>
      <c r="B42" s="5">
        <v>61204.05588336131</v>
      </c>
      <c r="H42"/>
    </row>
    <row r="43" spans="1:8">
      <c r="A43" t="s">
        <v>89</v>
      </c>
      <c r="B43" s="5">
        <v>46142.55693649024</v>
      </c>
      <c r="H43"/>
    </row>
    <row r="44" spans="1:8">
      <c r="A44" s="30" t="s">
        <v>90</v>
      </c>
      <c r="B44" s="5">
        <v>26741.630626894239</v>
      </c>
      <c r="H44"/>
    </row>
    <row r="45" spans="1:8">
      <c r="A45" t="s">
        <v>92</v>
      </c>
      <c r="B45" s="5">
        <v>24156.187501865919</v>
      </c>
      <c r="H45"/>
    </row>
    <row r="46" spans="1:8">
      <c r="A46" t="s">
        <v>53</v>
      </c>
      <c r="B46" s="5">
        <v>17567.721449450346</v>
      </c>
      <c r="H46"/>
    </row>
    <row r="47" spans="1:8">
      <c r="A47" t="s">
        <v>96</v>
      </c>
      <c r="B47" s="5">
        <v>15774.416082479071</v>
      </c>
      <c r="H47"/>
    </row>
    <row r="48" spans="1:8">
      <c r="A48" t="s">
        <v>97</v>
      </c>
      <c r="B48" s="5">
        <v>395033.15845899063</v>
      </c>
      <c r="H48"/>
    </row>
    <row r="49" spans="1:8">
      <c r="A49" t="s">
        <v>100</v>
      </c>
      <c r="B49" s="5">
        <v>14344.661570211902</v>
      </c>
      <c r="H49"/>
    </row>
    <row r="50" spans="1:8">
      <c r="A50" t="s">
        <v>23</v>
      </c>
      <c r="B50" s="5">
        <v>34507.567110008051</v>
      </c>
      <c r="H50"/>
    </row>
    <row r="51" spans="1:8">
      <c r="A51" t="s">
        <v>27</v>
      </c>
      <c r="B51" s="5">
        <v>31898.374473694988</v>
      </c>
      <c r="H51"/>
    </row>
    <row r="52" spans="1:8">
      <c r="A52" s="30" t="s">
        <v>38</v>
      </c>
      <c r="B52" s="5">
        <v>9471.1500289244123</v>
      </c>
      <c r="H52"/>
    </row>
    <row r="53" spans="1:8">
      <c r="A53" t="s">
        <v>49</v>
      </c>
      <c r="B53" s="5">
        <v>6587.2621162302821</v>
      </c>
      <c r="H53"/>
    </row>
    <row r="54" spans="1:8">
      <c r="A54" t="s">
        <v>42</v>
      </c>
      <c r="B54" s="5">
        <v>7796.7711732904063</v>
      </c>
      <c r="H54"/>
    </row>
    <row r="55" spans="1:8">
      <c r="A55" s="30" t="s">
        <v>32</v>
      </c>
      <c r="B55" s="5">
        <v>22010.502782797194</v>
      </c>
      <c r="H55"/>
    </row>
    <row r="56" spans="1:8">
      <c r="A56" t="s">
        <v>22</v>
      </c>
      <c r="B56" s="5">
        <v>29357.022202055294</v>
      </c>
      <c r="H56"/>
    </row>
    <row r="57" spans="1:8">
      <c r="A57" t="s">
        <v>46</v>
      </c>
      <c r="B57" s="5">
        <v>1861.2986676775702</v>
      </c>
      <c r="H57"/>
    </row>
    <row r="58" spans="1:8">
      <c r="A58" t="s">
        <v>16</v>
      </c>
      <c r="B58" s="5">
        <v>139024.98734885888</v>
      </c>
      <c r="H58"/>
    </row>
    <row r="59" spans="1:8">
      <c r="A59" s="30" t="s">
        <v>30</v>
      </c>
      <c r="B59" s="5">
        <v>8256.0243366414561</v>
      </c>
      <c r="H59"/>
    </row>
    <row r="60" spans="1:8">
      <c r="A60" t="s">
        <v>51</v>
      </c>
      <c r="B60" s="5">
        <v>7743.7578215191652</v>
      </c>
      <c r="H60"/>
    </row>
    <row r="61" spans="1:8">
      <c r="A61" t="s">
        <v>21</v>
      </c>
      <c r="B61" s="5">
        <v>10351.673436141722</v>
      </c>
    </row>
    <row r="62" spans="1:8">
      <c r="A62" t="s">
        <v>26</v>
      </c>
      <c r="B62" s="5">
        <v>9083.0710479343306</v>
      </c>
    </row>
    <row r="63" spans="1:8">
      <c r="A63" s="30" t="s">
        <v>33</v>
      </c>
      <c r="B63" s="5">
        <v>10631.951444514902</v>
      </c>
    </row>
    <row r="64" spans="1:8">
      <c r="A64" t="s">
        <v>53</v>
      </c>
      <c r="B64" s="5">
        <v>13154.419616642817</v>
      </c>
    </row>
    <row r="65" spans="1:2">
      <c r="A65" t="s">
        <v>50</v>
      </c>
      <c r="B65" s="5">
        <v>10379.203527801508</v>
      </c>
    </row>
    <row r="66" spans="1:2">
      <c r="A66" t="s">
        <v>75</v>
      </c>
      <c r="B66" s="5">
        <v>9124.7607206446501</v>
      </c>
    </row>
    <row r="67" spans="1:2">
      <c r="A67" t="s">
        <v>37</v>
      </c>
      <c r="B67" s="5">
        <v>7743.8256279806083</v>
      </c>
    </row>
    <row r="68" spans="1:2">
      <c r="A68" t="s">
        <v>79</v>
      </c>
      <c r="B68" s="5">
        <v>1879.9115413435773</v>
      </c>
    </row>
    <row r="69" spans="1:2">
      <c r="A69" t="s">
        <v>81</v>
      </c>
      <c r="B69" s="5">
        <v>7796.7711732904063</v>
      </c>
    </row>
    <row r="70" spans="1:2">
      <c r="A70" t="s">
        <v>45</v>
      </c>
      <c r="B70" s="5">
        <v>9787.0038274011713</v>
      </c>
    </row>
    <row r="71" spans="1:2">
      <c r="A71" s="30" t="s">
        <v>86</v>
      </c>
      <c r="B71" s="5">
        <v>12569.792306084317</v>
      </c>
    </row>
    <row r="72" spans="1:2">
      <c r="A72" t="s">
        <v>88</v>
      </c>
      <c r="B72" s="5">
        <v>26472.964773207565</v>
      </c>
    </row>
    <row r="73" spans="1:2">
      <c r="A73" t="s">
        <v>91</v>
      </c>
      <c r="B73" s="5">
        <v>10132.376038759292</v>
      </c>
    </row>
    <row r="74" spans="1:2">
      <c r="A74" s="30" t="s">
        <v>95</v>
      </c>
      <c r="B74" s="5">
        <v>17916.998554374564</v>
      </c>
    </row>
    <row r="75" spans="1:2">
      <c r="A75" s="30" t="s">
        <v>71</v>
      </c>
      <c r="B75" s="5">
        <v>11942.141795740452</v>
      </c>
    </row>
    <row r="76" spans="1:2">
      <c r="A76" t="s">
        <v>82</v>
      </c>
      <c r="B76" s="5">
        <v>9201.3933231517512</v>
      </c>
    </row>
    <row r="77" spans="1:2">
      <c r="A77" s="30" t="s">
        <v>84</v>
      </c>
      <c r="B77" s="5">
        <v>25899.412518018031</v>
      </c>
    </row>
    <row r="78" spans="1:2">
      <c r="A78" t="s">
        <v>21</v>
      </c>
      <c r="B78" s="5">
        <v>10351.673436141722</v>
      </c>
    </row>
    <row r="79" spans="1:2">
      <c r="A79" t="s">
        <v>89</v>
      </c>
      <c r="B79" s="5">
        <v>13657.419248701281</v>
      </c>
    </row>
    <row r="80" spans="1:2">
      <c r="A80" t="s">
        <v>90</v>
      </c>
      <c r="B80" s="5">
        <v>12569.792306084317</v>
      </c>
    </row>
    <row r="81" spans="1:2">
      <c r="A81" s="30" t="s">
        <v>92</v>
      </c>
      <c r="B81" s="5">
        <v>24621.464139208456</v>
      </c>
    </row>
    <row r="82" spans="1:2">
      <c r="A82" t="s">
        <v>96</v>
      </c>
      <c r="B82" s="5">
        <v>6983.2292489015272</v>
      </c>
    </row>
    <row r="83" spans="1:2">
      <c r="A83" t="s">
        <v>97</v>
      </c>
      <c r="B83" s="5">
        <v>20148.780426297846</v>
      </c>
    </row>
    <row r="84" spans="1:2">
      <c r="A84" t="s">
        <v>98</v>
      </c>
      <c r="B84" s="5">
        <v>511.21835169530527</v>
      </c>
    </row>
    <row r="85" spans="1:2">
      <c r="A85" t="s">
        <v>23</v>
      </c>
      <c r="B85" s="5">
        <v>6574.7744262479273</v>
      </c>
    </row>
    <row r="86" spans="1:2">
      <c r="A86" t="s">
        <v>78</v>
      </c>
      <c r="B86" s="5">
        <v>4977.932259273588</v>
      </c>
    </row>
    <row r="87" spans="1:2">
      <c r="A87" t="s">
        <v>49</v>
      </c>
      <c r="B87" s="5">
        <v>722.25182513326274</v>
      </c>
    </row>
    <row r="88" spans="1:2">
      <c r="A88" t="s">
        <v>36</v>
      </c>
      <c r="B88" s="5">
        <v>5573.0469692018887</v>
      </c>
    </row>
    <row r="89" spans="1:2">
      <c r="A89" t="s">
        <v>32</v>
      </c>
      <c r="B89" s="5">
        <v>2112.8041342452552</v>
      </c>
    </row>
    <row r="90" spans="1:2">
      <c r="A90" t="s">
        <v>22</v>
      </c>
      <c r="B90" s="5">
        <v>6647.8782859961066</v>
      </c>
    </row>
    <row r="91" spans="1:2">
      <c r="A91" t="s">
        <v>16</v>
      </c>
      <c r="B91" s="5">
        <v>15582.953237518852</v>
      </c>
    </row>
    <row r="92" spans="1:2">
      <c r="A92" t="s">
        <v>30</v>
      </c>
      <c r="B92" s="5">
        <v>1577.3252071557642</v>
      </c>
    </row>
    <row r="93" spans="1:2">
      <c r="A93" t="s">
        <v>51</v>
      </c>
      <c r="B93" s="5">
        <v>1718.8937975711037</v>
      </c>
    </row>
    <row r="94" spans="1:2">
      <c r="A94" t="s">
        <v>26</v>
      </c>
      <c r="B94" s="5">
        <v>10723.294303992197</v>
      </c>
    </row>
    <row r="95" spans="1:2">
      <c r="A95" t="s">
        <v>39</v>
      </c>
      <c r="B95" s="5">
        <v>2705.2126223682922</v>
      </c>
    </row>
    <row r="96" spans="1:2">
      <c r="A96" s="30" t="s">
        <v>33</v>
      </c>
      <c r="B96" s="5">
        <v>2001.2173008644727</v>
      </c>
    </row>
    <row r="97" spans="1:2">
      <c r="A97" s="30" t="s">
        <v>59</v>
      </c>
      <c r="B97" s="5">
        <v>846.17943449660743</v>
      </c>
    </row>
    <row r="98" spans="1:2">
      <c r="A98" t="s">
        <v>50</v>
      </c>
      <c r="B98" s="5">
        <v>995.83959597743683</v>
      </c>
    </row>
    <row r="99" spans="1:2">
      <c r="A99" t="s">
        <v>75</v>
      </c>
      <c r="B99" s="5">
        <v>584.20917071294036</v>
      </c>
    </row>
    <row r="100" spans="1:2">
      <c r="A100" s="30" t="s">
        <v>37</v>
      </c>
      <c r="B100" s="5">
        <v>1912.0179008366708</v>
      </c>
    </row>
    <row r="101" spans="1:2">
      <c r="A101" t="s">
        <v>79</v>
      </c>
      <c r="B101" s="5">
        <v>100.22925108913952</v>
      </c>
    </row>
    <row r="102" spans="1:2">
      <c r="A102" t="s">
        <v>19</v>
      </c>
      <c r="B102" s="5">
        <v>3621.2949877451292</v>
      </c>
    </row>
    <row r="103" spans="1:2">
      <c r="A103" t="s">
        <v>81</v>
      </c>
      <c r="B103" s="5">
        <v>406.28262061350694</v>
      </c>
    </row>
    <row r="104" spans="1:2">
      <c r="A104" t="s">
        <v>86</v>
      </c>
      <c r="B104" s="5">
        <v>895.74595781118262</v>
      </c>
    </row>
    <row r="105" spans="1:2">
      <c r="A105" t="s">
        <v>88</v>
      </c>
      <c r="B105" s="5">
        <v>3262.2018063499127</v>
      </c>
    </row>
    <row r="106" spans="1:2">
      <c r="A106" t="s">
        <v>94</v>
      </c>
      <c r="B106" s="5">
        <v>2682.6044319016332</v>
      </c>
    </row>
    <row r="107" spans="1:2">
      <c r="A107" t="s">
        <v>91</v>
      </c>
      <c r="B107" s="5">
        <v>4615.5971314778944</v>
      </c>
    </row>
    <row r="108" spans="1:2">
      <c r="A108" t="s">
        <v>95</v>
      </c>
      <c r="B108" s="5">
        <v>4313.3046252896684</v>
      </c>
    </row>
    <row r="109" spans="1:2">
      <c r="A109" t="s">
        <v>99</v>
      </c>
      <c r="B109" s="5">
        <v>1811.4169959136361</v>
      </c>
    </row>
    <row r="110" spans="1:2">
      <c r="A110" t="s">
        <v>71</v>
      </c>
      <c r="B110" s="5">
        <v>10930.289263854889</v>
      </c>
    </row>
    <row r="111" spans="1:2">
      <c r="A111" t="s">
        <v>73</v>
      </c>
      <c r="B111" s="5">
        <v>21620.609122268295</v>
      </c>
    </row>
    <row r="112" spans="1:2">
      <c r="A112" t="s">
        <v>73</v>
      </c>
      <c r="B112" s="5">
        <v>438.17665491929273</v>
      </c>
    </row>
    <row r="113" spans="1:2">
      <c r="A113" t="s">
        <v>56</v>
      </c>
      <c r="B113" s="5">
        <v>293.95231143078234</v>
      </c>
    </row>
    <row r="114" spans="1:2">
      <c r="A114" s="30" t="s">
        <v>42</v>
      </c>
      <c r="B114" s="5">
        <v>879.32549306515511</v>
      </c>
    </row>
    <row r="115" spans="1:2">
      <c r="A115" t="s">
        <v>29</v>
      </c>
      <c r="B115" s="5">
        <v>1280.4120135753196</v>
      </c>
    </row>
    <row r="116" spans="1:2">
      <c r="A116" t="s">
        <v>82</v>
      </c>
      <c r="B116" s="5">
        <v>541.47979892716569</v>
      </c>
    </row>
    <row r="117" spans="1:2">
      <c r="A117" s="30" t="s">
        <v>40</v>
      </c>
      <c r="B117" s="5">
        <v>3050.318872305108</v>
      </c>
    </row>
    <row r="118" spans="1:2">
      <c r="A118" t="s">
        <v>21</v>
      </c>
      <c r="B118" s="5">
        <v>1674.1076297882357</v>
      </c>
    </row>
    <row r="119" spans="1:2">
      <c r="A119" t="s">
        <v>21</v>
      </c>
      <c r="B119" s="5">
        <v>1234.1567057945272</v>
      </c>
    </row>
    <row r="120" spans="1:2">
      <c r="A120" t="s">
        <v>90</v>
      </c>
      <c r="B120" s="5">
        <v>1639.1646999914583</v>
      </c>
    </row>
    <row r="121" spans="1:2">
      <c r="A121" t="s">
        <v>92</v>
      </c>
      <c r="B121" s="5">
        <v>1705.434214974739</v>
      </c>
    </row>
    <row r="122" spans="1:2">
      <c r="A122" t="s">
        <v>53</v>
      </c>
      <c r="B122" s="5">
        <v>1431.7786376691222</v>
      </c>
    </row>
    <row r="123" spans="1:2">
      <c r="A123" s="30" t="s">
        <v>96</v>
      </c>
      <c r="B123" s="5">
        <v>724.86237389880466</v>
      </c>
    </row>
    <row r="124" spans="1:2">
      <c r="A124" t="s">
        <v>97</v>
      </c>
      <c r="B124" s="5">
        <v>37559.174305080574</v>
      </c>
    </row>
    <row r="125" spans="1:2">
      <c r="A125" t="s">
        <v>87</v>
      </c>
      <c r="B125" s="5">
        <v>3170.9804704422995</v>
      </c>
    </row>
    <row r="126" spans="1:2">
      <c r="A126" t="s">
        <v>100</v>
      </c>
      <c r="B126" s="5">
        <v>3737.0849315127994</v>
      </c>
    </row>
    <row r="129" spans="1:1">
      <c r="A129" s="30"/>
    </row>
    <row r="131" spans="1:1">
      <c r="A131" s="30"/>
    </row>
    <row r="132" spans="1:1">
      <c r="A132" s="30"/>
    </row>
    <row r="133" spans="1:1">
      <c r="A133" s="30"/>
    </row>
    <row r="134" spans="1:1">
      <c r="A134" s="30"/>
    </row>
    <row r="135" spans="1:1">
      <c r="A135" s="30"/>
    </row>
    <row r="136" spans="1:1">
      <c r="A136" s="30"/>
    </row>
    <row r="137" spans="1:1">
      <c r="A137" s="30"/>
    </row>
    <row r="138" spans="1:1">
      <c r="A138" s="30"/>
    </row>
    <row r="141" spans="1:1">
      <c r="A141" s="30"/>
    </row>
    <row r="151" spans="1:1">
      <c r="A151" s="30"/>
    </row>
    <row r="155" spans="1:1">
      <c r="A155" s="30"/>
    </row>
    <row r="168" spans="1:1">
      <c r="A168" s="30"/>
    </row>
    <row r="175" spans="1:1">
      <c r="A175" s="30"/>
    </row>
  </sheetData>
  <autoFilter ref="A1:B126" xr:uid="{F7912809-E74F-4EFC-BDA6-0D083A1B79AF}"/>
  <sortState xmlns:xlrd2="http://schemas.microsoft.com/office/spreadsheetml/2017/richdata2" ref="M6:N15">
    <sortCondition descending="1" ref="N6:N1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2408-F10D-477C-8FCE-EE6DB65EDD81}">
  <dimension ref="A1:W225"/>
  <sheetViews>
    <sheetView tabSelected="1" topLeftCell="A42" workbookViewId="0">
      <selection activeCell="K58" sqref="K58"/>
    </sheetView>
  </sheetViews>
  <sheetFormatPr defaultRowHeight="14.45"/>
  <cols>
    <col min="1" max="1" width="29.7109375" bestFit="1" customWidth="1"/>
    <col min="2" max="2" width="12.7109375" style="5" bestFit="1" customWidth="1"/>
    <col min="4" max="4" width="29.5703125" bestFit="1" customWidth="1"/>
    <col min="5" max="5" width="14.85546875" style="5" bestFit="1" customWidth="1"/>
    <col min="8" max="8" width="29.7109375" bestFit="1" customWidth="1"/>
    <col min="9" max="9" width="13.28515625" style="5" bestFit="1" customWidth="1"/>
    <col min="10" max="10" width="13.28515625" style="26" customWidth="1"/>
    <col min="11" max="11" width="14.28515625" bestFit="1" customWidth="1"/>
    <col min="12" max="12" width="12.5703125" bestFit="1" customWidth="1"/>
    <col min="13" max="13" width="14.42578125" bestFit="1" customWidth="1"/>
    <col min="20" max="20" width="21" bestFit="1" customWidth="1"/>
    <col min="21" max="21" width="16.28515625" bestFit="1" customWidth="1"/>
    <col min="22" max="22" width="10.5703125" bestFit="1" customWidth="1"/>
    <col min="23" max="23" width="12.7109375" bestFit="1" customWidth="1"/>
  </cols>
  <sheetData>
    <row r="1" spans="1:23">
      <c r="A1" s="74" t="s">
        <v>14</v>
      </c>
      <c r="B1" s="76" t="s">
        <v>101</v>
      </c>
      <c r="U1" s="84">
        <v>151266.32999999999</v>
      </c>
    </row>
    <row r="2" spans="1:23">
      <c r="A2" s="30" t="s">
        <v>23</v>
      </c>
      <c r="B2" s="5">
        <v>6574.7744262479273</v>
      </c>
      <c r="T2" t="s">
        <v>14</v>
      </c>
      <c r="U2" t="s">
        <v>102</v>
      </c>
      <c r="V2" t="s">
        <v>103</v>
      </c>
      <c r="W2" t="s">
        <v>104</v>
      </c>
    </row>
    <row r="3" spans="1:23">
      <c r="A3" s="30" t="s">
        <v>78</v>
      </c>
      <c r="B3" s="5">
        <v>4977.932259273588</v>
      </c>
      <c r="T3" t="s">
        <v>97</v>
      </c>
      <c r="U3" s="5" t="e">
        <f>_xlfn.XLOOKUP(T3,Summary!$G$40:$G$73,Summary!$H$40:$H$73)</f>
        <v>#N/A</v>
      </c>
      <c r="V3" s="75" t="e">
        <f>U3/Summary!$H$75</f>
        <v>#N/A</v>
      </c>
      <c r="W3" s="84" t="e">
        <f>$U$1*V3</f>
        <v>#N/A</v>
      </c>
    </row>
    <row r="4" spans="1:23">
      <c r="A4" s="30" t="s">
        <v>49</v>
      </c>
      <c r="B4" s="5">
        <v>722.25182513326274</v>
      </c>
      <c r="T4" t="s">
        <v>16</v>
      </c>
      <c r="U4" s="5" t="e">
        <f>_xlfn.XLOOKUP(T4,Summary!$G$40:$G$73,Summary!$H$40:$H$73)</f>
        <v>#N/A</v>
      </c>
      <c r="V4" s="75" t="e">
        <f>U4/Summary!$H$75</f>
        <v>#N/A</v>
      </c>
      <c r="W4" s="84" t="e">
        <f t="shared" ref="W4:W12" si="0">$U$1*V4</f>
        <v>#N/A</v>
      </c>
    </row>
    <row r="5" spans="1:23" ht="18" customHeight="1">
      <c r="A5" s="30" t="s">
        <v>36</v>
      </c>
      <c r="B5" s="5">
        <v>5573.0469692018887</v>
      </c>
      <c r="D5" s="29" t="s">
        <v>61</v>
      </c>
      <c r="E5" t="s">
        <v>105</v>
      </c>
      <c r="H5" t="s">
        <v>14</v>
      </c>
      <c r="I5" s="5" t="s">
        <v>1</v>
      </c>
      <c r="J5" s="26" t="s">
        <v>106</v>
      </c>
      <c r="K5" t="s">
        <v>107</v>
      </c>
      <c r="L5" t="s">
        <v>108</v>
      </c>
      <c r="M5" t="s">
        <v>109</v>
      </c>
      <c r="T5" t="s">
        <v>110</v>
      </c>
      <c r="U5" s="5">
        <v>0</v>
      </c>
      <c r="V5" s="75" t="e">
        <f>U5/Summary!$H$75</f>
        <v>#DIV/0!</v>
      </c>
      <c r="W5" s="84" t="e">
        <f t="shared" si="0"/>
        <v>#DIV/0!</v>
      </c>
    </row>
    <row r="6" spans="1:23" ht="18" customHeight="1">
      <c r="A6" s="30" t="s">
        <v>111</v>
      </c>
      <c r="B6" s="5">
        <v>2112.8041342452552</v>
      </c>
      <c r="D6" s="30" t="s">
        <v>112</v>
      </c>
      <c r="E6" s="22">
        <v>3975.5489641016388</v>
      </c>
      <c r="H6" s="30" t="s">
        <v>97</v>
      </c>
      <c r="I6" s="5">
        <v>601656.03094588255</v>
      </c>
      <c r="J6" s="26" t="s">
        <v>113</v>
      </c>
      <c r="K6" s="5">
        <v>1941.0089293215897</v>
      </c>
      <c r="L6" s="84">
        <v>5043.7386254483572</v>
      </c>
      <c r="M6" s="35">
        <f>I6-K6-L6</f>
        <v>594671.28339111269</v>
      </c>
      <c r="T6" t="s">
        <v>22</v>
      </c>
      <c r="U6" s="5" t="e">
        <f>_xlfn.XLOOKUP(T6,Summary!$G$40:$G$73,Summary!$H$40:$H$73)</f>
        <v>#N/A</v>
      </c>
      <c r="V6" s="75" t="e">
        <f>U6/Summary!$H$75</f>
        <v>#N/A</v>
      </c>
      <c r="W6" s="84" t="e">
        <f t="shared" si="0"/>
        <v>#N/A</v>
      </c>
    </row>
    <row r="7" spans="1:23">
      <c r="A7" s="30" t="s">
        <v>22</v>
      </c>
      <c r="B7" s="5">
        <v>6647.8782859961066</v>
      </c>
      <c r="D7" s="30" t="s">
        <v>18</v>
      </c>
      <c r="E7" s="22">
        <v>333622.80791965051</v>
      </c>
      <c r="H7" s="30" t="s">
        <v>114</v>
      </c>
      <c r="I7" s="5">
        <v>399481.18949782429</v>
      </c>
      <c r="J7" s="26" t="s">
        <v>113</v>
      </c>
      <c r="K7" s="5">
        <v>820.9435306816232</v>
      </c>
      <c r="L7" s="84">
        <v>34956.536900057901</v>
      </c>
      <c r="M7" s="35">
        <f t="shared" ref="M7:M15" si="1">I7-K7-L7</f>
        <v>363703.70906708477</v>
      </c>
      <c r="T7" t="s">
        <v>71</v>
      </c>
      <c r="U7" s="5" t="e">
        <f>_xlfn.XLOOKUP(T7,Summary!$G$40:$G$73,Summary!$H$40:$H$73)</f>
        <v>#N/A</v>
      </c>
      <c r="V7" s="75" t="e">
        <f>U7/Summary!$H$75</f>
        <v>#N/A</v>
      </c>
      <c r="W7" s="84" t="e">
        <f t="shared" si="0"/>
        <v>#N/A</v>
      </c>
    </row>
    <row r="8" spans="1:23">
      <c r="A8" s="30" t="s">
        <v>114</v>
      </c>
      <c r="B8" s="5">
        <v>15582.953237518852</v>
      </c>
      <c r="D8" s="30" t="s">
        <v>110</v>
      </c>
      <c r="E8" s="22">
        <v>249690.63125659723</v>
      </c>
      <c r="H8" s="30" t="s">
        <v>18</v>
      </c>
      <c r="I8" s="5">
        <v>333622.80791965051</v>
      </c>
      <c r="J8" s="26" t="s">
        <v>113</v>
      </c>
      <c r="K8" s="5">
        <v>1126.0136915712555</v>
      </c>
      <c r="L8" s="84">
        <v>0</v>
      </c>
      <c r="M8" s="35">
        <f t="shared" si="1"/>
        <v>332496.79422807926</v>
      </c>
      <c r="T8" t="s">
        <v>21</v>
      </c>
      <c r="U8" s="5" t="e">
        <f>_xlfn.XLOOKUP(T8,Summary!$G$40:$G$73,Summary!$H$40:$H$73)</f>
        <v>#N/A</v>
      </c>
      <c r="V8" s="75" t="e">
        <f>U8/Summary!$H$75</f>
        <v>#N/A</v>
      </c>
      <c r="W8" s="84" t="e">
        <f t="shared" si="0"/>
        <v>#N/A</v>
      </c>
    </row>
    <row r="9" spans="1:23">
      <c r="A9" s="30" t="s">
        <v>115</v>
      </c>
      <c r="B9" s="5">
        <v>1577.3252071557642</v>
      </c>
      <c r="D9" s="30" t="s">
        <v>54</v>
      </c>
      <c r="E9" s="22">
        <v>23073.802534175244</v>
      </c>
      <c r="H9" s="30" t="s">
        <v>110</v>
      </c>
      <c r="I9" s="5">
        <v>249690.63125659723</v>
      </c>
      <c r="J9" s="26" t="s">
        <v>113</v>
      </c>
      <c r="K9" s="5">
        <v>345.80922198213352</v>
      </c>
      <c r="L9" s="84">
        <v>7491.3711672170939</v>
      </c>
      <c r="M9" s="35">
        <f t="shared" si="1"/>
        <v>241853.450867398</v>
      </c>
      <c r="T9" t="s">
        <v>26</v>
      </c>
      <c r="U9" s="5" t="e">
        <f>_xlfn.XLOOKUP(T9,Summary!$G$40:$G$73,Summary!$H$40:$H$73)</f>
        <v>#N/A</v>
      </c>
      <c r="V9" s="75" t="e">
        <f>U9/Summary!$H$75</f>
        <v>#N/A</v>
      </c>
      <c r="W9" s="84" t="e">
        <f t="shared" si="0"/>
        <v>#N/A</v>
      </c>
    </row>
    <row r="10" spans="1:23">
      <c r="A10" s="30" t="s">
        <v>116</v>
      </c>
      <c r="B10" s="5">
        <v>1718.8937975711037</v>
      </c>
      <c r="D10" s="30" t="s">
        <v>23</v>
      </c>
      <c r="E10" s="22">
        <v>165745.69084696445</v>
      </c>
      <c r="H10" s="30" t="s">
        <v>100</v>
      </c>
      <c r="I10" s="5">
        <v>234100.2543133017</v>
      </c>
      <c r="J10" s="26" t="s">
        <v>113</v>
      </c>
      <c r="K10" s="5">
        <v>529.60411484606254</v>
      </c>
      <c r="L10" s="84">
        <v>3047.409008235581</v>
      </c>
      <c r="M10" s="35">
        <f t="shared" si="1"/>
        <v>230523.24119022005</v>
      </c>
      <c r="T10" t="s">
        <v>23</v>
      </c>
      <c r="U10" s="5" t="e">
        <f>_xlfn.XLOOKUP(T10,Summary!$G$40:$G$73,Summary!$H$40:$H$73)</f>
        <v>#N/A</v>
      </c>
      <c r="V10" s="75" t="e">
        <f>U10/Summary!$H$75</f>
        <v>#N/A</v>
      </c>
      <c r="W10" s="84" t="e">
        <f t="shared" si="0"/>
        <v>#N/A</v>
      </c>
    </row>
    <row r="11" spans="1:23">
      <c r="A11" s="30" t="s">
        <v>117</v>
      </c>
      <c r="B11" s="5">
        <v>10723.294303992197</v>
      </c>
      <c r="D11" s="30" t="s">
        <v>56</v>
      </c>
      <c r="E11" s="22">
        <v>16596.25299731777</v>
      </c>
      <c r="H11" s="30" t="s">
        <v>24</v>
      </c>
      <c r="I11" s="5">
        <v>184226.10557781233</v>
      </c>
      <c r="J11" s="26" t="s">
        <v>113</v>
      </c>
      <c r="K11" s="5">
        <v>153.21330848419822</v>
      </c>
      <c r="L11" s="84">
        <v>2641.5505886703618</v>
      </c>
      <c r="M11" s="35">
        <f t="shared" si="1"/>
        <v>181431.34168065776</v>
      </c>
      <c r="T11" t="s">
        <v>88</v>
      </c>
      <c r="U11" s="5" t="e">
        <f>_xlfn.XLOOKUP(T11,Summary!$G$40:$G$73,Summary!$H$40:$H$73)</f>
        <v>#N/A</v>
      </c>
      <c r="V11" s="75" t="e">
        <f>U11/Summary!$H$75</f>
        <v>#N/A</v>
      </c>
      <c r="W11" s="84" t="e">
        <f t="shared" si="0"/>
        <v>#N/A</v>
      </c>
    </row>
    <row r="12" spans="1:23">
      <c r="A12" s="30" t="s">
        <v>118</v>
      </c>
      <c r="B12" s="5">
        <v>2705.2126223682922</v>
      </c>
      <c r="D12" s="30" t="s">
        <v>78</v>
      </c>
      <c r="E12" s="22">
        <v>126603.07285590842</v>
      </c>
      <c r="H12" s="30" t="s">
        <v>22</v>
      </c>
      <c r="I12" s="5">
        <v>179057.24596744345</v>
      </c>
      <c r="J12" s="26" t="s">
        <v>113</v>
      </c>
      <c r="K12" s="5">
        <v>513.16291053876432</v>
      </c>
      <c r="L12" s="84">
        <v>2317.8280232696065</v>
      </c>
      <c r="M12" s="35">
        <f t="shared" si="1"/>
        <v>176226.2550336351</v>
      </c>
      <c r="T12" t="s">
        <v>78</v>
      </c>
      <c r="U12" s="5" t="e">
        <f>_xlfn.XLOOKUP(T12,Summary!$G$40:$G$73,Summary!$H$40:$H$73)</f>
        <v>#N/A</v>
      </c>
      <c r="V12" s="75" t="e">
        <f>U12/Summary!$H$75</f>
        <v>#N/A</v>
      </c>
      <c r="W12" s="84" t="e">
        <f t="shared" si="0"/>
        <v>#N/A</v>
      </c>
    </row>
    <row r="13" spans="1:23">
      <c r="A13" s="30" t="s">
        <v>119</v>
      </c>
      <c r="B13" s="5">
        <v>2001.2173008644727</v>
      </c>
      <c r="D13" s="30" t="s">
        <v>38</v>
      </c>
      <c r="E13" s="22">
        <v>85104.007377742746</v>
      </c>
      <c r="H13" s="30" t="s">
        <v>23</v>
      </c>
      <c r="I13" s="5">
        <v>165745.69084696445</v>
      </c>
      <c r="J13" s="26" t="s">
        <v>113</v>
      </c>
      <c r="K13" s="5">
        <v>341.365785839853</v>
      </c>
      <c r="L13" s="84">
        <v>8805.6933983509698</v>
      </c>
      <c r="M13" s="35">
        <f t="shared" si="1"/>
        <v>156598.63166277364</v>
      </c>
    </row>
    <row r="14" spans="1:23">
      <c r="A14" s="30" t="s">
        <v>120</v>
      </c>
      <c r="B14" s="5">
        <v>846.17943449660743</v>
      </c>
      <c r="D14" s="30" t="s">
        <v>49</v>
      </c>
      <c r="E14" s="22">
        <v>88253.787421087443</v>
      </c>
      <c r="H14" s="30" t="s">
        <v>117</v>
      </c>
      <c r="I14" s="5">
        <v>165195.92947799325</v>
      </c>
      <c r="J14" s="26" t="s">
        <v>113</v>
      </c>
      <c r="K14" s="5">
        <v>162.47915448335064</v>
      </c>
      <c r="L14" s="84">
        <v>6755.4098865000515</v>
      </c>
      <c r="M14" s="35">
        <f t="shared" si="1"/>
        <v>158278.04043700985</v>
      </c>
    </row>
    <row r="15" spans="1:23">
      <c r="A15" s="30" t="s">
        <v>50</v>
      </c>
      <c r="B15" s="5">
        <v>995.83959597743683</v>
      </c>
      <c r="D15" s="30" t="s">
        <v>121</v>
      </c>
      <c r="E15" s="22">
        <v>32026.795282511001</v>
      </c>
      <c r="H15" s="30" t="s">
        <v>21</v>
      </c>
      <c r="I15" s="5">
        <v>160704.37479054159</v>
      </c>
      <c r="J15" s="26" t="s">
        <v>113</v>
      </c>
      <c r="K15" s="5">
        <v>262.24797081902921</v>
      </c>
      <c r="L15" s="84">
        <v>8139.8767004803467</v>
      </c>
      <c r="M15" s="35">
        <f t="shared" si="1"/>
        <v>152302.25011924221</v>
      </c>
      <c r="U15" s="84">
        <v>9023.58</v>
      </c>
    </row>
    <row r="16" spans="1:23">
      <c r="A16" s="30" t="s">
        <v>54</v>
      </c>
      <c r="B16" s="5">
        <v>584.20917071294036</v>
      </c>
      <c r="D16" s="30" t="s">
        <v>37</v>
      </c>
      <c r="E16" s="22">
        <v>54023.376234769676</v>
      </c>
      <c r="H16" s="30" t="s">
        <v>78</v>
      </c>
      <c r="I16" s="5">
        <v>126603.07285590842</v>
      </c>
      <c r="J16" s="26" t="s">
        <v>113</v>
      </c>
    </row>
    <row r="17" spans="1:23">
      <c r="A17" s="30" t="s">
        <v>37</v>
      </c>
      <c r="B17" s="5">
        <v>1912.0179008366708</v>
      </c>
      <c r="D17" s="30" t="s">
        <v>55</v>
      </c>
      <c r="E17" s="22">
        <v>19993.022566488773</v>
      </c>
      <c r="H17" s="30" t="s">
        <v>25</v>
      </c>
      <c r="I17" s="5">
        <v>116155.04961945803</v>
      </c>
      <c r="J17" s="26" t="s">
        <v>113</v>
      </c>
      <c r="T17" t="s">
        <v>97</v>
      </c>
      <c r="U17" s="5">
        <v>31652.42</v>
      </c>
      <c r="V17" s="75">
        <f>U17/$T$29</f>
        <v>0.21510408610790724</v>
      </c>
      <c r="W17" s="5">
        <f>$U$15*V17</f>
        <v>1941.0089293215897</v>
      </c>
    </row>
    <row r="18" spans="1:23">
      <c r="A18" s="30" t="s">
        <v>44</v>
      </c>
      <c r="B18" s="5">
        <v>100.22925108913952</v>
      </c>
      <c r="D18" s="30" t="s">
        <v>58</v>
      </c>
      <c r="E18" s="22">
        <v>11322.06884872027</v>
      </c>
      <c r="H18" s="30" t="s">
        <v>98</v>
      </c>
      <c r="I18" s="5">
        <v>113688.17094907376</v>
      </c>
      <c r="J18" s="26" t="s">
        <v>113</v>
      </c>
      <c r="T18" t="s">
        <v>16</v>
      </c>
      <c r="U18" s="5">
        <v>13387.29</v>
      </c>
      <c r="V18" s="75">
        <f t="shared" ref="V18:V26" si="2">U18/$T$29</f>
        <v>9.0977586576682784E-2</v>
      </c>
      <c r="W18" s="5">
        <f t="shared" ref="W18:W26" si="3">$U$15*V18</f>
        <v>820.9435306816232</v>
      </c>
    </row>
    <row r="19" spans="1:23">
      <c r="A19" s="30" t="s">
        <v>19</v>
      </c>
      <c r="B19" s="5">
        <v>3621.2949877451292</v>
      </c>
      <c r="D19" s="30" t="s">
        <v>36</v>
      </c>
      <c r="E19" s="22">
        <v>53082.917936060352</v>
      </c>
      <c r="H19" s="30" t="s">
        <v>122</v>
      </c>
      <c r="I19" s="5">
        <v>96907.328877906912</v>
      </c>
      <c r="J19" s="26" t="s">
        <v>113</v>
      </c>
      <c r="T19" t="s">
        <v>110</v>
      </c>
      <c r="U19" s="5">
        <v>18362.13</v>
      </c>
      <c r="V19" s="75">
        <f t="shared" si="2"/>
        <v>0.12478569387884361</v>
      </c>
      <c r="W19" s="5">
        <f t="shared" si="3"/>
        <v>1126.0136915712555</v>
      </c>
    </row>
    <row r="20" spans="1:23">
      <c r="A20" s="30" t="s">
        <v>123</v>
      </c>
      <c r="B20" s="5">
        <v>406.28262061350694</v>
      </c>
      <c r="D20" s="30" t="s">
        <v>44</v>
      </c>
      <c r="E20" s="22">
        <v>45350.946190206814</v>
      </c>
      <c r="H20" s="30" t="s">
        <v>111</v>
      </c>
      <c r="I20" s="5">
        <v>92025.601117944796</v>
      </c>
      <c r="J20" s="26" t="s">
        <v>12</v>
      </c>
      <c r="T20" t="s">
        <v>22</v>
      </c>
      <c r="U20" s="5">
        <v>5639.18</v>
      </c>
      <c r="V20" s="75">
        <f t="shared" si="2"/>
        <v>3.8322841043370096E-2</v>
      </c>
      <c r="W20" s="5">
        <f t="shared" si="3"/>
        <v>345.80922198213352</v>
      </c>
    </row>
    <row r="21" spans="1:23">
      <c r="A21" s="30" t="s">
        <v>35</v>
      </c>
      <c r="B21" s="5">
        <v>895.74595781118262</v>
      </c>
      <c r="D21" s="30" t="s">
        <v>111</v>
      </c>
      <c r="E21" s="22">
        <v>92025.601117944796</v>
      </c>
      <c r="H21" s="30" t="s">
        <v>49</v>
      </c>
      <c r="I21" s="5">
        <v>88253.787421087443</v>
      </c>
      <c r="J21" s="26" t="s">
        <v>113</v>
      </c>
      <c r="K21" s="5"/>
      <c r="T21" t="s">
        <v>71</v>
      </c>
      <c r="U21" s="5">
        <v>8636.36</v>
      </c>
      <c r="V21" s="75">
        <f t="shared" si="2"/>
        <v>5.8691130886639506E-2</v>
      </c>
      <c r="W21" s="5">
        <f t="shared" si="3"/>
        <v>529.60411484606254</v>
      </c>
    </row>
    <row r="22" spans="1:23">
      <c r="A22" s="30" t="s">
        <v>24</v>
      </c>
      <c r="B22" s="5">
        <v>3262.2018063499127</v>
      </c>
      <c r="D22" s="30" t="s">
        <v>22</v>
      </c>
      <c r="E22" s="22">
        <v>179057.24596744345</v>
      </c>
      <c r="H22" s="30" t="s">
        <v>38</v>
      </c>
      <c r="I22" s="5">
        <v>85104.007377742746</v>
      </c>
      <c r="J22" s="26" t="s">
        <v>113</v>
      </c>
      <c r="T22" t="s">
        <v>21</v>
      </c>
      <c r="U22" s="5">
        <v>2498.48</v>
      </c>
      <c r="V22" s="75">
        <f t="shared" si="2"/>
        <v>1.6979215398345026E-2</v>
      </c>
      <c r="W22" s="5">
        <f t="shared" si="3"/>
        <v>153.21330848419822</v>
      </c>
    </row>
    <row r="23" spans="1:23">
      <c r="A23" s="30" t="s">
        <v>124</v>
      </c>
      <c r="B23" s="5">
        <v>2682.6044319016332</v>
      </c>
      <c r="D23" s="30" t="s">
        <v>46</v>
      </c>
      <c r="E23" s="22">
        <v>39515.921868315585</v>
      </c>
      <c r="H23" s="30" t="s">
        <v>31</v>
      </c>
      <c r="I23" s="5">
        <v>78930.962023359869</v>
      </c>
      <c r="J23" s="26" t="s">
        <v>113</v>
      </c>
      <c r="T23" t="s">
        <v>26</v>
      </c>
      <c r="U23" s="5">
        <v>8368.25</v>
      </c>
      <c r="V23" s="75">
        <f t="shared" si="2"/>
        <v>5.6869104118184167E-2</v>
      </c>
      <c r="W23" s="5">
        <f t="shared" si="3"/>
        <v>513.16291053876432</v>
      </c>
    </row>
    <row r="24" spans="1:23">
      <c r="A24" s="30" t="s">
        <v>25</v>
      </c>
      <c r="B24" s="5">
        <v>4615.5971314778944</v>
      </c>
      <c r="D24" s="30" t="s">
        <v>19</v>
      </c>
      <c r="E24" s="22">
        <v>66059.09890399118</v>
      </c>
      <c r="H24" s="30" t="s">
        <v>19</v>
      </c>
      <c r="I24" s="5">
        <v>66059.09890399118</v>
      </c>
      <c r="J24" s="26" t="s">
        <v>12</v>
      </c>
      <c r="T24" t="s">
        <v>23</v>
      </c>
      <c r="U24" s="5">
        <v>5566.72</v>
      </c>
      <c r="V24" s="75">
        <f t="shared" si="2"/>
        <v>3.7830416069880579E-2</v>
      </c>
      <c r="W24" s="5">
        <f t="shared" si="3"/>
        <v>341.365785839853</v>
      </c>
    </row>
    <row r="25" spans="1:23">
      <c r="A25" s="30" t="s">
        <v>122</v>
      </c>
      <c r="B25" s="5">
        <v>4313.3046252896684</v>
      </c>
      <c r="D25" s="30" t="s">
        <v>114</v>
      </c>
      <c r="E25" s="22">
        <v>399481.18949782429</v>
      </c>
      <c r="H25" s="30" t="s">
        <v>118</v>
      </c>
      <c r="I25" s="5">
        <v>65824.661884886067</v>
      </c>
      <c r="J25" s="26" t="s">
        <v>113</v>
      </c>
      <c r="T25" t="s">
        <v>88</v>
      </c>
      <c r="U25" s="5">
        <v>2649.58</v>
      </c>
      <c r="V25" s="75">
        <f t="shared" si="2"/>
        <v>1.8006063500667212E-2</v>
      </c>
      <c r="W25" s="5">
        <f t="shared" si="3"/>
        <v>162.47915448335064</v>
      </c>
    </row>
    <row r="26" spans="1:23">
      <c r="A26" s="30" t="s">
        <v>98</v>
      </c>
      <c r="B26" s="5">
        <v>1811.4169959136361</v>
      </c>
      <c r="D26" s="30" t="s">
        <v>123</v>
      </c>
      <c r="E26" s="22">
        <v>28082.710995288435</v>
      </c>
      <c r="H26" s="30" t="s">
        <v>35</v>
      </c>
      <c r="I26" s="5">
        <v>61078.84239363973</v>
      </c>
      <c r="J26" s="26" t="s">
        <v>113</v>
      </c>
      <c r="T26" t="s">
        <v>78</v>
      </c>
      <c r="U26" s="5">
        <v>4276.53</v>
      </c>
      <c r="V26" s="75">
        <f t="shared" si="2"/>
        <v>2.9062519622924519E-2</v>
      </c>
      <c r="W26" s="5">
        <f t="shared" si="3"/>
        <v>262.24797081902921</v>
      </c>
    </row>
    <row r="27" spans="1:23">
      <c r="A27" s="30" t="s">
        <v>18</v>
      </c>
      <c r="B27" s="5">
        <v>10930.289263854889</v>
      </c>
      <c r="D27" s="30" t="s">
        <v>45</v>
      </c>
      <c r="E27" s="22">
        <v>13457.130262676612</v>
      </c>
      <c r="H27" s="30" t="s">
        <v>124</v>
      </c>
      <c r="I27" s="5">
        <v>57942.364004729636</v>
      </c>
      <c r="J27" s="26" t="s">
        <v>113</v>
      </c>
    </row>
    <row r="28" spans="1:23">
      <c r="A28" s="30" t="s">
        <v>110</v>
      </c>
      <c r="B28" s="5">
        <v>21620.609122268295</v>
      </c>
      <c r="D28" s="30" t="s">
        <v>29</v>
      </c>
      <c r="E28" s="22">
        <v>13690.924270857378</v>
      </c>
      <c r="H28" s="30" t="s">
        <v>92</v>
      </c>
      <c r="I28" s="5">
        <v>54033.220825522105</v>
      </c>
      <c r="J28" s="26" t="s">
        <v>12</v>
      </c>
    </row>
    <row r="29" spans="1:23">
      <c r="A29" s="30" t="s">
        <v>110</v>
      </c>
      <c r="B29" s="5">
        <v>438.17665491929273</v>
      </c>
      <c r="D29" s="30" t="s">
        <v>115</v>
      </c>
      <c r="E29" s="22">
        <v>48783.708302886087</v>
      </c>
      <c r="H29" s="30" t="s">
        <v>37</v>
      </c>
      <c r="I29" s="5">
        <v>54023.376234769676</v>
      </c>
      <c r="J29" s="26" t="s">
        <v>113</v>
      </c>
      <c r="T29">
        <v>147149.32</v>
      </c>
    </row>
    <row r="30" spans="1:23">
      <c r="A30" s="30" t="s">
        <v>56</v>
      </c>
      <c r="B30" s="5">
        <v>293.95231143078234</v>
      </c>
      <c r="D30" s="30" t="s">
        <v>116</v>
      </c>
      <c r="E30" s="22">
        <v>33624.146094849886</v>
      </c>
      <c r="H30" s="30" t="s">
        <v>36</v>
      </c>
      <c r="I30" s="5">
        <v>53082.917936060352</v>
      </c>
      <c r="J30" s="26" t="s">
        <v>113</v>
      </c>
      <c r="K30" s="5"/>
    </row>
    <row r="31" spans="1:23">
      <c r="A31" s="30" t="s">
        <v>121</v>
      </c>
      <c r="B31" s="5">
        <v>879.32549306515511</v>
      </c>
      <c r="D31" s="30" t="s">
        <v>64</v>
      </c>
      <c r="E31" s="22">
        <v>0</v>
      </c>
      <c r="H31" s="30" t="s">
        <v>115</v>
      </c>
      <c r="I31" s="5">
        <v>48783.708302886087</v>
      </c>
      <c r="J31" s="26" t="s">
        <v>113</v>
      </c>
    </row>
    <row r="32" spans="1:23">
      <c r="A32" s="30" t="s">
        <v>29</v>
      </c>
      <c r="B32" s="5">
        <v>1280.4120135753196</v>
      </c>
      <c r="D32" s="30" t="s">
        <v>57</v>
      </c>
      <c r="E32" s="22">
        <v>12933.314952021074</v>
      </c>
      <c r="H32" s="30" t="s">
        <v>119</v>
      </c>
      <c r="I32" s="5">
        <v>48685.312895004477</v>
      </c>
      <c r="J32" s="26" t="s">
        <v>113</v>
      </c>
    </row>
    <row r="33" spans="1:13">
      <c r="A33" s="30" t="s">
        <v>57</v>
      </c>
      <c r="B33" s="5">
        <v>541.47979892716569</v>
      </c>
      <c r="D33" s="30" t="s">
        <v>31</v>
      </c>
      <c r="E33" s="22">
        <v>78930.962023359869</v>
      </c>
      <c r="H33" s="30" t="s">
        <v>40</v>
      </c>
      <c r="I33" s="5">
        <v>48656.879603258218</v>
      </c>
      <c r="J33" s="26" t="s">
        <v>113</v>
      </c>
    </row>
    <row r="34" spans="1:13">
      <c r="A34" s="30" t="s">
        <v>40</v>
      </c>
      <c r="B34" s="5">
        <v>3050.318872305108</v>
      </c>
      <c r="D34" s="30" t="s">
        <v>100</v>
      </c>
      <c r="E34" s="22">
        <v>234100.2543133017</v>
      </c>
      <c r="H34" s="30" t="s">
        <v>44</v>
      </c>
      <c r="I34" s="5">
        <v>45350.946190206814</v>
      </c>
      <c r="J34" s="26" t="s">
        <v>113</v>
      </c>
    </row>
    <row r="35" spans="1:13">
      <c r="A35" s="30" t="s">
        <v>21</v>
      </c>
      <c r="B35" s="5">
        <v>1674.1076297882357</v>
      </c>
      <c r="D35" s="30" t="s">
        <v>40</v>
      </c>
      <c r="E35" s="22">
        <v>48656.879603258218</v>
      </c>
      <c r="H35" s="30" t="s">
        <v>125</v>
      </c>
      <c r="I35" s="5">
        <v>43031.372734420365</v>
      </c>
      <c r="J35" s="26" t="s">
        <v>113</v>
      </c>
    </row>
    <row r="36" spans="1:13">
      <c r="A36" s="30" t="s">
        <v>21</v>
      </c>
      <c r="B36" s="5">
        <v>1234.1567057945272</v>
      </c>
      <c r="D36" s="30" t="s">
        <v>21</v>
      </c>
      <c r="E36" s="22">
        <v>160704.37479054159</v>
      </c>
      <c r="H36" s="30" t="s">
        <v>46</v>
      </c>
      <c r="I36" s="5">
        <v>39515.921868315585</v>
      </c>
      <c r="J36" s="26" t="s">
        <v>113</v>
      </c>
      <c r="K36" s="5"/>
    </row>
    <row r="37" spans="1:13">
      <c r="A37" s="30" t="s">
        <v>125</v>
      </c>
      <c r="B37" s="5">
        <v>1639.1646999914583</v>
      </c>
      <c r="D37" s="30" t="s">
        <v>35</v>
      </c>
      <c r="E37" s="22">
        <v>61078.84239363973</v>
      </c>
      <c r="H37" s="30" t="s">
        <v>50</v>
      </c>
      <c r="I37" s="5">
        <v>34847.896215976638</v>
      </c>
      <c r="J37" s="26" t="s">
        <v>113</v>
      </c>
    </row>
    <row r="38" spans="1:13">
      <c r="A38" s="30" t="s">
        <v>92</v>
      </c>
      <c r="B38" s="5">
        <v>1705.434214974739</v>
      </c>
      <c r="D38" s="30" t="s">
        <v>24</v>
      </c>
      <c r="E38" s="22">
        <v>184226.10557781233</v>
      </c>
      <c r="H38" s="30" t="s">
        <v>116</v>
      </c>
      <c r="I38" s="5">
        <v>33624.146094849886</v>
      </c>
      <c r="J38" s="26" t="s">
        <v>113</v>
      </c>
      <c r="K38" s="5"/>
    </row>
    <row r="39" spans="1:13">
      <c r="A39" s="30" t="s">
        <v>126</v>
      </c>
      <c r="B39" s="5">
        <v>1431.7786376691222</v>
      </c>
      <c r="D39" s="30" t="s">
        <v>117</v>
      </c>
      <c r="E39" s="22">
        <v>165195.92947799325</v>
      </c>
      <c r="H39" s="30" t="s">
        <v>126</v>
      </c>
      <c r="I39" s="5">
        <v>32153.919703762287</v>
      </c>
      <c r="J39" s="26" t="s">
        <v>113</v>
      </c>
    </row>
    <row r="40" spans="1:13">
      <c r="A40" s="30" t="s">
        <v>48</v>
      </c>
      <c r="B40" s="5">
        <v>724.86237389880466</v>
      </c>
      <c r="D40" s="30" t="s">
        <v>118</v>
      </c>
      <c r="E40" s="22">
        <v>65824.661884886067</v>
      </c>
      <c r="H40" s="30" t="s">
        <v>121</v>
      </c>
      <c r="I40" s="5">
        <v>32026.795282511001</v>
      </c>
      <c r="J40" s="26" t="s">
        <v>113</v>
      </c>
      <c r="K40" s="5"/>
      <c r="L40" s="29" t="s">
        <v>61</v>
      </c>
      <c r="M40" t="s">
        <v>62</v>
      </c>
    </row>
    <row r="41" spans="1:13">
      <c r="A41" s="30" t="s">
        <v>97</v>
      </c>
      <c r="B41" s="5">
        <v>37559.174305080574</v>
      </c>
      <c r="D41" s="30" t="s">
        <v>125</v>
      </c>
      <c r="E41" s="22">
        <v>43031.372734420365</v>
      </c>
      <c r="H41" s="30" t="s">
        <v>123</v>
      </c>
      <c r="I41" s="5">
        <v>28082.710995288435</v>
      </c>
      <c r="J41" s="26" t="s">
        <v>113</v>
      </c>
      <c r="K41" s="5"/>
      <c r="L41" s="30" t="s">
        <v>113</v>
      </c>
      <c r="M41" s="35">
        <v>4223205.6832013987</v>
      </c>
    </row>
    <row r="42" spans="1:13">
      <c r="A42" s="30" t="s">
        <v>38</v>
      </c>
      <c r="B42" s="5">
        <v>3170.9804704422995</v>
      </c>
      <c r="D42" s="30" t="s">
        <v>127</v>
      </c>
      <c r="E42" s="22">
        <v>1741.7959802329269</v>
      </c>
      <c r="H42" s="30" t="s">
        <v>48</v>
      </c>
      <c r="I42" s="5">
        <v>23482.507705279404</v>
      </c>
      <c r="J42" s="26" t="s">
        <v>12</v>
      </c>
      <c r="L42" s="30" t="s">
        <v>12</v>
      </c>
      <c r="M42" s="35">
        <v>239297.67340677668</v>
      </c>
    </row>
    <row r="43" spans="1:13">
      <c r="A43" s="30" t="s">
        <v>100</v>
      </c>
      <c r="B43" s="5">
        <v>3737.0849315127994</v>
      </c>
      <c r="D43" s="30" t="s">
        <v>124</v>
      </c>
      <c r="E43" s="22">
        <v>57942.364004729636</v>
      </c>
      <c r="H43" s="30" t="s">
        <v>54</v>
      </c>
      <c r="I43" s="5">
        <v>23073.802534175244</v>
      </c>
      <c r="J43" s="26" t="s">
        <v>113</v>
      </c>
      <c r="L43" s="30" t="s">
        <v>72</v>
      </c>
      <c r="M43" s="35"/>
    </row>
    <row r="44" spans="1:13">
      <c r="A44" s="30" t="s">
        <v>23</v>
      </c>
      <c r="B44" s="5">
        <v>111426.78752962446</v>
      </c>
      <c r="D44" s="30" t="s">
        <v>128</v>
      </c>
      <c r="E44" s="22">
        <v>0</v>
      </c>
      <c r="H44" s="30" t="s">
        <v>55</v>
      </c>
      <c r="I44" s="5">
        <v>19993.022566488773</v>
      </c>
      <c r="J44" s="26" t="s">
        <v>113</v>
      </c>
      <c r="L44" s="30" t="s">
        <v>66</v>
      </c>
      <c r="M44" s="35">
        <v>4462503.3566081757</v>
      </c>
    </row>
    <row r="45" spans="1:13">
      <c r="A45" s="30" t="s">
        <v>27</v>
      </c>
      <c r="B45" s="5">
        <v>82954.447531088299</v>
      </c>
      <c r="D45" s="30" t="s">
        <v>25</v>
      </c>
      <c r="E45" s="22">
        <v>116155.04961945803</v>
      </c>
      <c r="H45" s="30" t="s">
        <v>56</v>
      </c>
      <c r="I45" s="5">
        <v>16596.25299731777</v>
      </c>
      <c r="J45" s="26" t="s">
        <v>113</v>
      </c>
    </row>
    <row r="46" spans="1:13">
      <c r="A46" s="30" t="s">
        <v>38</v>
      </c>
      <c r="B46" s="5">
        <v>54554.246247253381</v>
      </c>
      <c r="D46" s="30" t="s">
        <v>92</v>
      </c>
      <c r="E46" s="22">
        <v>54033.220825522105</v>
      </c>
      <c r="H46" s="30" t="s">
        <v>29</v>
      </c>
      <c r="I46" s="5">
        <v>13690.924270857378</v>
      </c>
      <c r="J46" s="26" t="s">
        <v>113</v>
      </c>
    </row>
    <row r="47" spans="1:13">
      <c r="A47" s="30" t="s">
        <v>49</v>
      </c>
      <c r="B47" s="5">
        <v>33579.615308136163</v>
      </c>
      <c r="D47" s="30" t="s">
        <v>119</v>
      </c>
      <c r="E47" s="22">
        <v>48685.312895004477</v>
      </c>
      <c r="H47" s="30" t="s">
        <v>45</v>
      </c>
      <c r="I47" s="5">
        <v>13457.130262676612</v>
      </c>
      <c r="J47" s="26" t="s">
        <v>113</v>
      </c>
    </row>
    <row r="48" spans="1:13">
      <c r="A48" s="30" t="s">
        <v>55</v>
      </c>
      <c r="B48" s="5">
        <v>19993.022566488773</v>
      </c>
      <c r="D48" s="30" t="s">
        <v>122</v>
      </c>
      <c r="E48" s="22">
        <v>96907.328877906912</v>
      </c>
      <c r="H48" s="30" t="s">
        <v>57</v>
      </c>
      <c r="I48" s="5">
        <v>12933.314952021074</v>
      </c>
      <c r="J48" s="26" t="s">
        <v>113</v>
      </c>
    </row>
    <row r="49" spans="1:11">
      <c r="A49" s="30" t="s">
        <v>58</v>
      </c>
      <c r="B49" s="5">
        <v>11322.06884872027</v>
      </c>
      <c r="D49" s="30" t="s">
        <v>126</v>
      </c>
      <c r="E49" s="22">
        <v>32153.919703762287</v>
      </c>
      <c r="H49" s="30" t="s">
        <v>58</v>
      </c>
      <c r="I49" s="5">
        <v>11322.06884872027</v>
      </c>
      <c r="J49" s="26" t="s">
        <v>113</v>
      </c>
    </row>
    <row r="50" spans="1:11">
      <c r="A50" s="30" t="s">
        <v>36</v>
      </c>
      <c r="B50" s="5">
        <v>46526.973384786514</v>
      </c>
      <c r="D50" s="30" t="s">
        <v>120</v>
      </c>
      <c r="E50" s="22">
        <v>2329.2057459248754</v>
      </c>
      <c r="H50" s="30" t="s">
        <v>112</v>
      </c>
      <c r="I50" s="5">
        <v>3975.5489641016388</v>
      </c>
      <c r="J50" s="26" t="s">
        <v>113</v>
      </c>
    </row>
    <row r="51" spans="1:11">
      <c r="A51" s="30" t="s">
        <v>111</v>
      </c>
      <c r="B51" s="5">
        <v>35213.124946682801</v>
      </c>
      <c r="D51" s="30" t="s">
        <v>48</v>
      </c>
      <c r="E51" s="22">
        <v>23482.507705279404</v>
      </c>
      <c r="H51" s="30" t="s">
        <v>120</v>
      </c>
      <c r="I51" s="5">
        <v>2329.2057459248754</v>
      </c>
      <c r="J51" s="26" t="s">
        <v>113</v>
      </c>
    </row>
    <row r="52" spans="1:11">
      <c r="A52" s="30" t="s">
        <v>22</v>
      </c>
      <c r="B52" s="5">
        <v>126328.55920937254</v>
      </c>
      <c r="D52" s="30" t="s">
        <v>50</v>
      </c>
      <c r="E52" s="22">
        <v>34847.896215976638</v>
      </c>
      <c r="H52" s="30" t="s">
        <v>129</v>
      </c>
      <c r="I52" s="5">
        <v>1955.4488738062967</v>
      </c>
      <c r="J52" s="26" t="s">
        <v>12</v>
      </c>
    </row>
    <row r="53" spans="1:11">
      <c r="A53" s="30" t="s">
        <v>46</v>
      </c>
      <c r="B53" s="5">
        <v>37654.623200638016</v>
      </c>
      <c r="D53" s="30" t="s">
        <v>97</v>
      </c>
      <c r="E53" s="22">
        <v>601656.03094588255</v>
      </c>
      <c r="H53" s="30" t="s">
        <v>127</v>
      </c>
      <c r="I53" s="5">
        <v>1741.7959802329269</v>
      </c>
      <c r="J53" s="26" t="s">
        <v>12</v>
      </c>
    </row>
    <row r="54" spans="1:11">
      <c r="A54" s="30" t="s">
        <v>114</v>
      </c>
      <c r="B54" s="5">
        <v>182616.20374226049</v>
      </c>
      <c r="D54" s="30" t="s">
        <v>98</v>
      </c>
      <c r="E54" s="22">
        <v>113688.17094907376</v>
      </c>
      <c r="H54" s="30"/>
    </row>
    <row r="55" spans="1:11">
      <c r="A55" s="30" t="s">
        <v>115</v>
      </c>
      <c r="B55" s="5">
        <v>38950.358759088864</v>
      </c>
      <c r="D55" s="30" t="s">
        <v>129</v>
      </c>
      <c r="E55" s="22">
        <v>1955.4488738062967</v>
      </c>
      <c r="H55" s="30"/>
    </row>
    <row r="56" spans="1:11">
      <c r="A56" s="30" t="s">
        <v>116</v>
      </c>
      <c r="B56" s="5">
        <v>24161.494475759617</v>
      </c>
      <c r="D56" s="30" t="s">
        <v>66</v>
      </c>
      <c r="E56" s="22">
        <v>4462503.3566081757</v>
      </c>
      <c r="H56" s="30"/>
    </row>
    <row r="57" spans="1:11">
      <c r="A57" s="30" t="s">
        <v>117</v>
      </c>
      <c r="B57" s="5">
        <v>111418.84417927418</v>
      </c>
      <c r="H57" s="30"/>
    </row>
    <row r="58" spans="1:11">
      <c r="A58" s="30" t="s">
        <v>119</v>
      </c>
      <c r="B58" s="5">
        <v>35527.939003380285</v>
      </c>
      <c r="K58" s="5"/>
    </row>
    <row r="59" spans="1:11">
      <c r="A59" s="30" t="s">
        <v>120</v>
      </c>
      <c r="B59" s="5">
        <v>1483.0263114282677</v>
      </c>
      <c r="I59" s="5">
        <f>SUM(I6:I58)</f>
        <v>4462503.3566081757</v>
      </c>
      <c r="K59" s="5"/>
    </row>
    <row r="60" spans="1:11">
      <c r="A60" s="30" t="s">
        <v>50</v>
      </c>
      <c r="B60" s="5">
        <v>23472.853092197696</v>
      </c>
      <c r="K60" s="5"/>
    </row>
    <row r="61" spans="1:11">
      <c r="A61" s="30" t="s">
        <v>54</v>
      </c>
      <c r="B61" s="5">
        <v>13364.832642817653</v>
      </c>
      <c r="K61" s="5"/>
    </row>
    <row r="62" spans="1:11">
      <c r="A62" s="30" t="s">
        <v>37</v>
      </c>
      <c r="B62" s="5">
        <v>42396.149797479149</v>
      </c>
      <c r="H62" s="26" t="s">
        <v>12</v>
      </c>
      <c r="I62" s="5">
        <f>SUMIF(J:J,H62,I:I)</f>
        <v>239297.67340677668</v>
      </c>
      <c r="K62" s="5"/>
    </row>
    <row r="63" spans="1:11">
      <c r="A63" s="30" t="s">
        <v>44</v>
      </c>
      <c r="B63" s="5">
        <v>43297.928964971368</v>
      </c>
      <c r="H63" s="26" t="s">
        <v>113</v>
      </c>
      <c r="I63" s="5">
        <f>SUMIF(J:J,H63,I:I)</f>
        <v>4223205.6832013987</v>
      </c>
      <c r="K63" s="5"/>
    </row>
    <row r="64" spans="1:11">
      <c r="A64" s="30" t="s">
        <v>123</v>
      </c>
      <c r="B64" s="5">
        <v>19879.657201384522</v>
      </c>
      <c r="K64" s="5"/>
    </row>
    <row r="65" spans="1:11">
      <c r="A65" s="30" t="s">
        <v>45</v>
      </c>
      <c r="B65" s="5">
        <v>3670.1264352754397</v>
      </c>
      <c r="K65" s="5"/>
    </row>
    <row r="66" spans="1:11">
      <c r="A66" s="30" t="s">
        <v>35</v>
      </c>
      <c r="B66" s="5">
        <v>47235.868320791458</v>
      </c>
      <c r="K66" s="5"/>
    </row>
    <row r="67" spans="1:11">
      <c r="A67" s="30" t="s">
        <v>24</v>
      </c>
      <c r="B67" s="5">
        <v>106593.9658003012</v>
      </c>
      <c r="K67" s="5"/>
    </row>
    <row r="68" spans="1:11">
      <c r="A68" s="30" t="s">
        <v>124</v>
      </c>
      <c r="B68" s="5">
        <v>49655.296470075511</v>
      </c>
    </row>
    <row r="69" spans="1:11">
      <c r="A69" s="30" t="s">
        <v>25</v>
      </c>
      <c r="B69" s="5">
        <v>88460.489740478617</v>
      </c>
    </row>
    <row r="70" spans="1:11">
      <c r="A70" s="30" t="s">
        <v>122</v>
      </c>
      <c r="B70" s="5">
        <v>72984.07471907929</v>
      </c>
    </row>
    <row r="71" spans="1:11">
      <c r="A71" s="30" t="s">
        <v>98</v>
      </c>
      <c r="B71" s="5">
        <v>66174.610977572665</v>
      </c>
    </row>
    <row r="72" spans="1:11">
      <c r="A72" s="30" t="s">
        <v>18</v>
      </c>
      <c r="B72" s="5">
        <v>157459.35466644104</v>
      </c>
    </row>
    <row r="73" spans="1:11">
      <c r="A73" s="30" t="s">
        <v>110</v>
      </c>
      <c r="B73" s="5">
        <v>192467.4415484069</v>
      </c>
    </row>
    <row r="74" spans="1:11">
      <c r="A74" s="30" t="s">
        <v>110</v>
      </c>
      <c r="B74" s="5">
        <v>8663.5185677579502</v>
      </c>
    </row>
    <row r="75" spans="1:11">
      <c r="A75" s="30" t="s">
        <v>56</v>
      </c>
      <c r="B75" s="5">
        <v>16302.300685886989</v>
      </c>
    </row>
    <row r="76" spans="1:11">
      <c r="A76" s="30" t="s">
        <v>121</v>
      </c>
      <c r="B76" s="5">
        <v>19674.496830660344</v>
      </c>
    </row>
    <row r="77" spans="1:11">
      <c r="A77" s="30" t="s">
        <v>19</v>
      </c>
      <c r="B77" s="5">
        <v>35119.209436615383</v>
      </c>
    </row>
    <row r="78" spans="1:11">
      <c r="A78" s="30" t="s">
        <v>29</v>
      </c>
      <c r="B78" s="5">
        <v>11973.253660465718</v>
      </c>
    </row>
    <row r="79" spans="1:11">
      <c r="A79" s="30" t="s">
        <v>57</v>
      </c>
      <c r="B79" s="5">
        <v>5036.8460767416973</v>
      </c>
    </row>
    <row r="80" spans="1:11">
      <c r="A80" s="30" t="s">
        <v>31</v>
      </c>
      <c r="B80" s="5">
        <v>50281.248622488172</v>
      </c>
    </row>
    <row r="81" spans="1:2">
      <c r="A81" s="30" t="s">
        <v>40</v>
      </c>
      <c r="B81" s="5">
        <v>43704.812541217914</v>
      </c>
    </row>
    <row r="82" spans="1:2">
      <c r="A82" s="30" t="s">
        <v>40</v>
      </c>
      <c r="B82" s="5">
        <v>1377.5326972000482</v>
      </c>
    </row>
    <row r="83" spans="1:2">
      <c r="A83" s="30" t="s">
        <v>21</v>
      </c>
      <c r="B83" s="5">
        <v>65443.519272139936</v>
      </c>
    </row>
    <row r="84" spans="1:2">
      <c r="A84" s="30" t="s">
        <v>21</v>
      </c>
      <c r="B84" s="5">
        <v>61204.05588336131</v>
      </c>
    </row>
    <row r="85" spans="1:2">
      <c r="A85" s="30" t="s">
        <v>118</v>
      </c>
      <c r="B85" s="5">
        <v>46142.55693649024</v>
      </c>
    </row>
    <row r="86" spans="1:2">
      <c r="A86" s="30" t="s">
        <v>125</v>
      </c>
      <c r="B86" s="5">
        <v>26741.630626894239</v>
      </c>
    </row>
    <row r="87" spans="1:2">
      <c r="A87" s="30" t="s">
        <v>92</v>
      </c>
      <c r="B87" s="5">
        <v>24156.187501865919</v>
      </c>
    </row>
    <row r="88" spans="1:2">
      <c r="A88" s="30" t="s">
        <v>126</v>
      </c>
      <c r="B88" s="5">
        <v>17567.721449450346</v>
      </c>
    </row>
    <row r="89" spans="1:2">
      <c r="A89" s="30" t="s">
        <v>48</v>
      </c>
      <c r="B89" s="5">
        <v>15774.416082479071</v>
      </c>
    </row>
    <row r="90" spans="1:2">
      <c r="A90" s="30" t="s">
        <v>97</v>
      </c>
      <c r="B90" s="5">
        <v>395033.15845899063</v>
      </c>
    </row>
    <row r="91" spans="1:2">
      <c r="A91" s="30" t="s">
        <v>100</v>
      </c>
      <c r="B91" s="5">
        <v>14344.661570211902</v>
      </c>
    </row>
    <row r="92" spans="1:2">
      <c r="A92" s="30" t="s">
        <v>23</v>
      </c>
      <c r="B92" s="5">
        <v>34507.567110008051</v>
      </c>
    </row>
    <row r="93" spans="1:2">
      <c r="A93" s="30" t="s">
        <v>27</v>
      </c>
      <c r="B93" s="5">
        <v>31898.374473694988</v>
      </c>
    </row>
    <row r="94" spans="1:2">
      <c r="A94" s="30" t="s">
        <v>38</v>
      </c>
      <c r="B94" s="5">
        <v>9471.1500289244123</v>
      </c>
    </row>
    <row r="95" spans="1:2">
      <c r="A95" s="30" t="s">
        <v>49</v>
      </c>
      <c r="B95" s="5">
        <v>6587.2621162302821</v>
      </c>
    </row>
    <row r="96" spans="1:2">
      <c r="A96" s="30" t="s">
        <v>121</v>
      </c>
      <c r="B96" s="5">
        <v>7796.7711732904063</v>
      </c>
    </row>
    <row r="97" spans="1:2">
      <c r="A97" s="30" t="s">
        <v>111</v>
      </c>
      <c r="B97" s="5">
        <v>22010.502782797194</v>
      </c>
    </row>
    <row r="98" spans="1:2">
      <c r="A98" s="30" t="s">
        <v>22</v>
      </c>
      <c r="B98" s="5">
        <v>29357.022202055294</v>
      </c>
    </row>
    <row r="99" spans="1:2">
      <c r="A99" s="30" t="s">
        <v>46</v>
      </c>
      <c r="B99" s="5">
        <v>1861.2986676775702</v>
      </c>
    </row>
    <row r="100" spans="1:2">
      <c r="A100" s="30" t="s">
        <v>114</v>
      </c>
      <c r="B100" s="5">
        <v>139024.98734885888</v>
      </c>
    </row>
    <row r="101" spans="1:2">
      <c r="A101" s="30" t="s">
        <v>115</v>
      </c>
      <c r="B101" s="5">
        <v>8256.0243366414561</v>
      </c>
    </row>
    <row r="102" spans="1:2">
      <c r="A102" s="30" t="s">
        <v>116</v>
      </c>
      <c r="B102" s="5">
        <v>7743.7578215191652</v>
      </c>
    </row>
    <row r="103" spans="1:2">
      <c r="A103" s="30" t="s">
        <v>21</v>
      </c>
      <c r="B103" s="5">
        <v>10351.673436141722</v>
      </c>
    </row>
    <row r="104" spans="1:2">
      <c r="A104" s="30" t="s">
        <v>117</v>
      </c>
      <c r="B104" s="5">
        <v>9083.0710479343306</v>
      </c>
    </row>
    <row r="105" spans="1:2">
      <c r="A105" s="30" t="s">
        <v>119</v>
      </c>
      <c r="B105" s="5">
        <v>10631.951444514902</v>
      </c>
    </row>
    <row r="106" spans="1:2">
      <c r="A106" s="30" t="s">
        <v>126</v>
      </c>
      <c r="B106" s="5">
        <v>13154.419616642817</v>
      </c>
    </row>
    <row r="107" spans="1:2">
      <c r="A107" s="30" t="s">
        <v>50</v>
      </c>
      <c r="B107" s="5">
        <v>10379.203527801508</v>
      </c>
    </row>
    <row r="108" spans="1:2">
      <c r="A108" s="30" t="s">
        <v>54</v>
      </c>
      <c r="B108" s="5">
        <v>9124.7607206446501</v>
      </c>
    </row>
    <row r="109" spans="1:2">
      <c r="A109" s="30" t="s">
        <v>37</v>
      </c>
      <c r="B109" s="5">
        <v>7743.8256279806083</v>
      </c>
    </row>
    <row r="110" spans="1:2">
      <c r="A110" s="30" t="s">
        <v>44</v>
      </c>
      <c r="B110" s="5">
        <v>1879.9115413435773</v>
      </c>
    </row>
    <row r="111" spans="1:2">
      <c r="A111" s="30" t="s">
        <v>123</v>
      </c>
      <c r="B111" s="5">
        <v>7796.7711732904063</v>
      </c>
    </row>
    <row r="112" spans="1:2">
      <c r="A112" s="30" t="s">
        <v>45</v>
      </c>
      <c r="B112" s="5">
        <v>9787.0038274011713</v>
      </c>
    </row>
    <row r="113" spans="1:2">
      <c r="A113" s="30" t="s">
        <v>35</v>
      </c>
      <c r="B113" s="5">
        <v>12569.792306084317</v>
      </c>
    </row>
    <row r="114" spans="1:2">
      <c r="A114" s="30" t="s">
        <v>24</v>
      </c>
      <c r="B114" s="5">
        <v>26472.964773207565</v>
      </c>
    </row>
    <row r="115" spans="1:2">
      <c r="A115" s="30" t="s">
        <v>25</v>
      </c>
      <c r="B115" s="5">
        <v>10132.376038759292</v>
      </c>
    </row>
    <row r="116" spans="1:2">
      <c r="A116" s="30" t="s">
        <v>122</v>
      </c>
      <c r="B116" s="5">
        <v>17916.998554374564</v>
      </c>
    </row>
    <row r="117" spans="1:2">
      <c r="A117" s="30" t="s">
        <v>18</v>
      </c>
      <c r="B117" s="5">
        <v>11942.141795740452</v>
      </c>
    </row>
    <row r="118" spans="1:2">
      <c r="A118" s="30" t="s">
        <v>57</v>
      </c>
      <c r="B118" s="5">
        <v>9201.3933231517512</v>
      </c>
    </row>
    <row r="119" spans="1:2">
      <c r="A119" s="30" t="s">
        <v>31</v>
      </c>
      <c r="B119" s="5">
        <v>25899.412518018031</v>
      </c>
    </row>
    <row r="120" spans="1:2">
      <c r="A120" s="30" t="s">
        <v>21</v>
      </c>
      <c r="B120" s="5">
        <v>10351.673436141722</v>
      </c>
    </row>
    <row r="121" spans="1:2">
      <c r="A121" s="30" t="s">
        <v>118</v>
      </c>
      <c r="B121" s="5">
        <v>13657.419248701281</v>
      </c>
    </row>
    <row r="122" spans="1:2">
      <c r="A122" s="30" t="s">
        <v>125</v>
      </c>
      <c r="B122" s="5">
        <v>12569.792306084317</v>
      </c>
    </row>
    <row r="123" spans="1:2">
      <c r="A123" s="30" t="s">
        <v>92</v>
      </c>
      <c r="B123" s="5">
        <v>24621.464139208456</v>
      </c>
    </row>
    <row r="124" spans="1:2">
      <c r="A124" s="30" t="s">
        <v>48</v>
      </c>
      <c r="B124" s="5">
        <v>6983.2292489015272</v>
      </c>
    </row>
    <row r="125" spans="1:2">
      <c r="A125" s="30" t="s">
        <v>97</v>
      </c>
      <c r="B125" s="5">
        <v>20148.780426297846</v>
      </c>
    </row>
    <row r="126" spans="1:2">
      <c r="A126" s="30" t="s">
        <v>98</v>
      </c>
      <c r="B126" s="5">
        <v>511.21835169530527</v>
      </c>
    </row>
    <row r="127" spans="1:2">
      <c r="A127" s="30" t="s">
        <v>18</v>
      </c>
      <c r="B127" s="5">
        <v>80968.524676433663</v>
      </c>
    </row>
    <row r="128" spans="1:2">
      <c r="A128" s="30" t="s">
        <v>110</v>
      </c>
      <c r="B128" s="5">
        <v>11726.547187169666</v>
      </c>
    </row>
    <row r="129" spans="1:2">
      <c r="A129" s="30" t="s">
        <v>54</v>
      </c>
      <c r="B129" s="5">
        <v>0</v>
      </c>
    </row>
    <row r="130" spans="1:2">
      <c r="A130" s="30" t="s">
        <v>23</v>
      </c>
      <c r="B130" s="5">
        <v>13236.561781084029</v>
      </c>
    </row>
    <row r="131" spans="1:2">
      <c r="A131" s="30" t="s">
        <v>56</v>
      </c>
      <c r="B131" s="5">
        <v>0</v>
      </c>
    </row>
    <row r="132" spans="1:2">
      <c r="A132" s="30" t="s">
        <v>27</v>
      </c>
      <c r="B132" s="5">
        <v>6772.3185918515546</v>
      </c>
    </row>
    <row r="133" spans="1:2">
      <c r="A133" s="30" t="s">
        <v>38</v>
      </c>
      <c r="B133" s="5">
        <v>6091.1639429681418</v>
      </c>
    </row>
    <row r="134" spans="1:2">
      <c r="A134" s="30" t="s">
        <v>49</v>
      </c>
      <c r="B134" s="5">
        <v>18569.588626118686</v>
      </c>
    </row>
    <row r="135" spans="1:2">
      <c r="A135" s="30" t="s">
        <v>121</v>
      </c>
      <c r="B135" s="5">
        <v>3676.2017854950936</v>
      </c>
    </row>
    <row r="136" spans="1:2">
      <c r="A136" s="30" t="s">
        <v>37</v>
      </c>
      <c r="B136" s="5">
        <v>1971.3829084732463</v>
      </c>
    </row>
    <row r="137" spans="1:2">
      <c r="A137" s="30" t="s">
        <v>55</v>
      </c>
      <c r="B137" s="5">
        <v>0</v>
      </c>
    </row>
    <row r="138" spans="1:2">
      <c r="A138" s="30" t="s">
        <v>58</v>
      </c>
      <c r="B138" s="5">
        <v>0</v>
      </c>
    </row>
    <row r="139" spans="1:2">
      <c r="A139" s="30" t="s">
        <v>36</v>
      </c>
      <c r="B139" s="5">
        <v>982.89758207194814</v>
      </c>
    </row>
    <row r="140" spans="1:2">
      <c r="A140" s="30" t="s">
        <v>44</v>
      </c>
      <c r="B140" s="5">
        <v>72.8764328027235</v>
      </c>
    </row>
    <row r="141" spans="1:2">
      <c r="A141" s="30" t="s">
        <v>111</v>
      </c>
      <c r="B141" s="5">
        <v>32689.169254219545</v>
      </c>
    </row>
    <row r="142" spans="1:2">
      <c r="A142" s="30" t="s">
        <v>22</v>
      </c>
      <c r="B142" s="5">
        <v>7087.8046314808589</v>
      </c>
    </row>
    <row r="143" spans="1:2">
      <c r="A143" s="30" t="s">
        <v>46</v>
      </c>
      <c r="B143" s="5">
        <v>0</v>
      </c>
    </row>
    <row r="144" spans="1:2">
      <c r="A144" s="30" t="s">
        <v>19</v>
      </c>
      <c r="B144" s="5">
        <v>21736.824905927788</v>
      </c>
    </row>
    <row r="145" spans="1:2">
      <c r="A145" s="30" t="s">
        <v>114</v>
      </c>
      <c r="B145" s="5">
        <v>62257.045169186109</v>
      </c>
    </row>
    <row r="146" spans="1:2">
      <c r="A146" s="30" t="s">
        <v>123</v>
      </c>
      <c r="B146" s="5">
        <v>0</v>
      </c>
    </row>
    <row r="147" spans="1:2">
      <c r="A147" s="30" t="s">
        <v>45</v>
      </c>
      <c r="B147" s="5">
        <v>0</v>
      </c>
    </row>
    <row r="148" spans="1:2">
      <c r="A148" s="30" t="s">
        <v>29</v>
      </c>
      <c r="B148" s="5">
        <v>437.25859681634097</v>
      </c>
    </row>
    <row r="149" spans="1:2">
      <c r="A149" s="30" t="s">
        <v>115</v>
      </c>
      <c r="B149" s="5">
        <v>0</v>
      </c>
    </row>
    <row r="150" spans="1:2">
      <c r="A150" s="30" t="s">
        <v>116</v>
      </c>
      <c r="B150" s="5">
        <v>0</v>
      </c>
    </row>
    <row r="151" spans="1:2">
      <c r="A151" s="30" t="s">
        <v>64</v>
      </c>
      <c r="B151" s="5">
        <v>0</v>
      </c>
    </row>
    <row r="152" spans="1:2">
      <c r="A152" s="30" t="s">
        <v>57</v>
      </c>
      <c r="B152" s="5">
        <v>-1846.4042467995398</v>
      </c>
    </row>
    <row r="153" spans="1:2">
      <c r="A153" s="30" t="s">
        <v>31</v>
      </c>
      <c r="B153" s="5">
        <v>2750.3008828536749</v>
      </c>
    </row>
    <row r="154" spans="1:2">
      <c r="A154" s="30" t="s">
        <v>100</v>
      </c>
      <c r="B154" s="5">
        <v>178240.55603167333</v>
      </c>
    </row>
    <row r="155" spans="1:2">
      <c r="A155" s="30" t="s">
        <v>40</v>
      </c>
      <c r="B155" s="5">
        <v>524.2154925351515</v>
      </c>
    </row>
    <row r="156" spans="1:2">
      <c r="A156" s="30" t="s">
        <v>21</v>
      </c>
      <c r="B156" s="5">
        <v>10445.188427174151</v>
      </c>
    </row>
    <row r="157" spans="1:2">
      <c r="A157" s="30" t="s">
        <v>35</v>
      </c>
      <c r="B157" s="5">
        <v>377.43580895277739</v>
      </c>
    </row>
    <row r="158" spans="1:2">
      <c r="A158" s="30" t="s">
        <v>24</v>
      </c>
      <c r="B158" s="5">
        <v>31861.995781357957</v>
      </c>
    </row>
    <row r="159" spans="1:2">
      <c r="A159" s="30" t="s">
        <v>117</v>
      </c>
      <c r="B159" s="5">
        <v>9265.8631906309365</v>
      </c>
    </row>
    <row r="160" spans="1:2">
      <c r="A160" s="30" t="s">
        <v>118</v>
      </c>
      <c r="B160" s="5">
        <v>0</v>
      </c>
    </row>
    <row r="161" spans="1:2">
      <c r="A161" s="30" t="s">
        <v>125</v>
      </c>
      <c r="B161" s="5">
        <v>2080.7851014503512</v>
      </c>
    </row>
    <row r="162" spans="1:2">
      <c r="A162" s="30" t="s">
        <v>127</v>
      </c>
      <c r="B162" s="5">
        <v>1741.7959802329269</v>
      </c>
    </row>
    <row r="163" spans="1:2">
      <c r="A163" s="30" t="s">
        <v>124</v>
      </c>
      <c r="B163" s="5">
        <v>2975.0048580082089</v>
      </c>
    </row>
    <row r="164" spans="1:2">
      <c r="A164" s="30" t="s">
        <v>25</v>
      </c>
      <c r="B164" s="5">
        <v>12946.58670874223</v>
      </c>
    </row>
    <row r="165" spans="1:2">
      <c r="A165" s="30" t="s">
        <v>92</v>
      </c>
      <c r="B165" s="5">
        <v>3550.1349694729861</v>
      </c>
    </row>
    <row r="166" spans="1:2">
      <c r="A166" s="30" t="s">
        <v>119</v>
      </c>
      <c r="B166" s="5">
        <v>524.20514624481393</v>
      </c>
    </row>
    <row r="167" spans="1:2">
      <c r="A167" s="30" t="s">
        <v>122</v>
      </c>
      <c r="B167" s="5">
        <v>1692.9509791633839</v>
      </c>
    </row>
    <row r="168" spans="1:2">
      <c r="A168" s="30" t="s">
        <v>126</v>
      </c>
      <c r="B168" s="5">
        <v>0</v>
      </c>
    </row>
    <row r="169" spans="1:2">
      <c r="A169" s="30" t="s">
        <v>120</v>
      </c>
      <c r="B169" s="5">
        <v>0</v>
      </c>
    </row>
    <row r="170" spans="1:2">
      <c r="A170" s="30" t="s">
        <v>48</v>
      </c>
      <c r="B170" s="5">
        <v>0</v>
      </c>
    </row>
    <row r="171" spans="1:2">
      <c r="A171" s="30" t="s">
        <v>98</v>
      </c>
      <c r="B171" s="5">
        <v>34208.722952493692</v>
      </c>
    </row>
    <row r="172" spans="1:2">
      <c r="A172" s="30" t="s">
        <v>129</v>
      </c>
      <c r="B172" s="5">
        <v>1955.4488738062967</v>
      </c>
    </row>
    <row r="173" spans="1:2">
      <c r="A173" s="30" t="s">
        <v>112</v>
      </c>
      <c r="B173" s="5">
        <v>592.10303720662705</v>
      </c>
    </row>
    <row r="174" spans="1:2">
      <c r="A174" s="30" t="s">
        <v>97</v>
      </c>
      <c r="B174" s="5">
        <v>148914.91775551354</v>
      </c>
    </row>
    <row r="175" spans="1:2">
      <c r="A175" s="30" t="s">
        <v>18</v>
      </c>
      <c r="B175" s="5">
        <v>72322.497517180454</v>
      </c>
    </row>
    <row r="176" spans="1:2">
      <c r="A176" s="30" t="s">
        <v>54</v>
      </c>
      <c r="B176" s="5">
        <v>0</v>
      </c>
    </row>
    <row r="177" spans="1:2">
      <c r="A177" s="30" t="s">
        <v>23</v>
      </c>
      <c r="B177" s="5">
        <v>0</v>
      </c>
    </row>
    <row r="178" spans="1:2">
      <c r="A178" s="30" t="s">
        <v>56</v>
      </c>
      <c r="B178" s="5">
        <v>0</v>
      </c>
    </row>
    <row r="179" spans="1:2">
      <c r="A179" s="30" t="s">
        <v>27</v>
      </c>
      <c r="B179" s="5">
        <v>0</v>
      </c>
    </row>
    <row r="180" spans="1:2">
      <c r="A180" s="30" t="s">
        <v>38</v>
      </c>
      <c r="B180" s="5">
        <v>11816.466688154507</v>
      </c>
    </row>
    <row r="181" spans="1:2">
      <c r="A181" s="30" t="s">
        <v>49</v>
      </c>
      <c r="B181" s="5">
        <v>28795.06954546905</v>
      </c>
    </row>
    <row r="182" spans="1:2">
      <c r="A182" s="30" t="s">
        <v>121</v>
      </c>
      <c r="B182" s="5">
        <v>0</v>
      </c>
    </row>
    <row r="183" spans="1:2">
      <c r="A183" s="30" t="s">
        <v>37</v>
      </c>
      <c r="B183" s="5">
        <v>0</v>
      </c>
    </row>
    <row r="184" spans="1:2">
      <c r="A184" s="30" t="s">
        <v>55</v>
      </c>
      <c r="B184" s="5">
        <v>0</v>
      </c>
    </row>
    <row r="185" spans="1:2">
      <c r="A185" s="30" t="s">
        <v>58</v>
      </c>
      <c r="B185" s="5">
        <v>0</v>
      </c>
    </row>
    <row r="186" spans="1:2">
      <c r="A186" s="30" t="s">
        <v>36</v>
      </c>
      <c r="B186" s="5">
        <v>0</v>
      </c>
    </row>
    <row r="187" spans="1:2">
      <c r="A187" s="30" t="s">
        <v>44</v>
      </c>
      <c r="B187" s="5">
        <v>0</v>
      </c>
    </row>
    <row r="188" spans="1:2">
      <c r="A188" s="30" t="s">
        <v>111</v>
      </c>
      <c r="B188" s="5">
        <v>0</v>
      </c>
    </row>
    <row r="189" spans="1:2">
      <c r="A189" s="30" t="s">
        <v>22</v>
      </c>
      <c r="B189" s="5">
        <v>9635.9816385386603</v>
      </c>
    </row>
    <row r="190" spans="1:2">
      <c r="A190" s="30" t="s">
        <v>46</v>
      </c>
      <c r="B190" s="5">
        <v>0</v>
      </c>
    </row>
    <row r="191" spans="1:2">
      <c r="A191" s="30" t="s">
        <v>19</v>
      </c>
      <c r="B191" s="5">
        <v>5581.7695737028725</v>
      </c>
    </row>
    <row r="192" spans="1:2">
      <c r="A192" s="30" t="s">
        <v>114</v>
      </c>
      <c r="B192" s="5">
        <v>0</v>
      </c>
    </row>
    <row r="193" spans="1:2">
      <c r="A193" s="30" t="s">
        <v>123</v>
      </c>
      <c r="B193" s="5">
        <v>0</v>
      </c>
    </row>
    <row r="194" spans="1:2">
      <c r="A194" s="30" t="s">
        <v>29</v>
      </c>
      <c r="B194" s="5">
        <v>0</v>
      </c>
    </row>
    <row r="195" spans="1:2">
      <c r="A195" s="30" t="s">
        <v>115</v>
      </c>
      <c r="B195" s="5">
        <v>0</v>
      </c>
    </row>
    <row r="196" spans="1:2">
      <c r="A196" s="30" t="s">
        <v>116</v>
      </c>
      <c r="B196" s="5">
        <v>0</v>
      </c>
    </row>
    <row r="197" spans="1:2">
      <c r="A197" s="30" t="s">
        <v>57</v>
      </c>
      <c r="B197" s="5">
        <v>0</v>
      </c>
    </row>
    <row r="198" spans="1:2">
      <c r="A198" s="30" t="s">
        <v>31</v>
      </c>
      <c r="B198" s="5">
        <v>0</v>
      </c>
    </row>
    <row r="199" spans="1:2">
      <c r="A199" s="30" t="s">
        <v>35</v>
      </c>
      <c r="B199" s="5">
        <v>0</v>
      </c>
    </row>
    <row r="200" spans="1:2">
      <c r="A200" s="30" t="s">
        <v>24</v>
      </c>
      <c r="B200" s="5">
        <v>16034.977416595715</v>
      </c>
    </row>
    <row r="201" spans="1:2">
      <c r="A201" s="30" t="s">
        <v>117</v>
      </c>
      <c r="B201" s="5">
        <v>24704.8567561616</v>
      </c>
    </row>
    <row r="202" spans="1:2">
      <c r="A202" s="30" t="s">
        <v>118</v>
      </c>
      <c r="B202" s="5">
        <v>3319.4730773262518</v>
      </c>
    </row>
    <row r="203" spans="1:2">
      <c r="A203" s="30" t="s">
        <v>125</v>
      </c>
      <c r="B203" s="5">
        <v>0</v>
      </c>
    </row>
    <row r="204" spans="1:2">
      <c r="A204" s="30" t="s">
        <v>124</v>
      </c>
      <c r="B204" s="5">
        <v>2629.458244744279</v>
      </c>
    </row>
    <row r="205" spans="1:2">
      <c r="A205" s="30" t="s">
        <v>128</v>
      </c>
      <c r="B205" s="5">
        <v>0</v>
      </c>
    </row>
    <row r="206" spans="1:2">
      <c r="A206" s="30" t="s">
        <v>25</v>
      </c>
      <c r="B206" s="5">
        <v>0</v>
      </c>
    </row>
    <row r="207" spans="1:2">
      <c r="A207" s="30" t="s">
        <v>119</v>
      </c>
      <c r="B207" s="5">
        <v>0</v>
      </c>
    </row>
    <row r="208" spans="1:2">
      <c r="A208" s="30" t="s">
        <v>122</v>
      </c>
      <c r="B208" s="5">
        <v>0</v>
      </c>
    </row>
    <row r="209" spans="1:2">
      <c r="A209" s="30" t="s">
        <v>126</v>
      </c>
      <c r="B209" s="5">
        <v>0</v>
      </c>
    </row>
    <row r="210" spans="1:2">
      <c r="A210" s="30" t="s">
        <v>120</v>
      </c>
      <c r="B210" s="5">
        <v>0</v>
      </c>
    </row>
    <row r="211" spans="1:2">
      <c r="A211" s="30" t="s">
        <v>48</v>
      </c>
      <c r="B211" s="5">
        <v>0</v>
      </c>
    </row>
    <row r="212" spans="1:2">
      <c r="A212" s="30" t="s">
        <v>98</v>
      </c>
      <c r="B212" s="5">
        <v>10982.201671398463</v>
      </c>
    </row>
    <row r="213" spans="1:2">
      <c r="A213" s="30" t="s">
        <v>110</v>
      </c>
      <c r="B213" s="5">
        <v>14774.338176075129</v>
      </c>
    </row>
    <row r="214" spans="1:2">
      <c r="A214" s="30" t="s">
        <v>40</v>
      </c>
      <c r="B214" s="5">
        <v>0</v>
      </c>
    </row>
    <row r="215" spans="1:2">
      <c r="A215" s="30" t="s">
        <v>21</v>
      </c>
      <c r="B215" s="5">
        <v>0</v>
      </c>
    </row>
    <row r="216" spans="1:2">
      <c r="A216" s="30" t="s">
        <v>45</v>
      </c>
      <c r="B216" s="5">
        <v>0</v>
      </c>
    </row>
    <row r="217" spans="1:2">
      <c r="A217" s="30" t="s">
        <v>100</v>
      </c>
      <c r="B217" s="5">
        <v>37631.881779903648</v>
      </c>
    </row>
    <row r="218" spans="1:2">
      <c r="A218" s="30" t="s">
        <v>92</v>
      </c>
      <c r="B218" s="5">
        <v>0</v>
      </c>
    </row>
    <row r="219" spans="1:2">
      <c r="A219" s="30" t="s">
        <v>112</v>
      </c>
      <c r="B219"/>
    </row>
    <row r="220" spans="1:2">
      <c r="A220" s="30" t="s">
        <v>97</v>
      </c>
      <c r="B220">
        <v>0</v>
      </c>
    </row>
    <row r="221" spans="1:2">
      <c r="A221" s="30" t="s">
        <v>50</v>
      </c>
      <c r="B221">
        <v>0</v>
      </c>
    </row>
    <row r="222" spans="1:2">
      <c r="A222" s="30" t="s">
        <v>112</v>
      </c>
      <c r="B222" s="5">
        <v>3383.4459268950118</v>
      </c>
    </row>
    <row r="223" spans="1:2">
      <c r="A223" s="30" t="s">
        <v>100</v>
      </c>
      <c r="B223" s="35">
        <v>146.07</v>
      </c>
    </row>
    <row r="225" spans="2:2">
      <c r="B225" s="5">
        <f>SUM(B2:B223)</f>
        <v>4462503.3566081738</v>
      </c>
    </row>
  </sheetData>
  <sortState xmlns:xlrd2="http://schemas.microsoft.com/office/spreadsheetml/2017/richdata2" ref="H6:I55">
    <sortCondition descending="1" ref="I6:I55"/>
  </sortState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DA0A6-6BC6-4BD2-A0C0-060970308253}">
  <dimension ref="A1:N73"/>
  <sheetViews>
    <sheetView topLeftCell="A21" workbookViewId="0">
      <selection activeCell="A4" sqref="A4:B45"/>
    </sheetView>
  </sheetViews>
  <sheetFormatPr defaultRowHeight="14.45"/>
  <cols>
    <col min="1" max="1" width="22.28515625" style="5" bestFit="1" customWidth="1"/>
    <col min="2" max="2" width="17.28515625" style="5" bestFit="1" customWidth="1"/>
    <col min="4" max="4" width="27" bestFit="1" customWidth="1"/>
    <col min="5" max="5" width="17.28515625" style="5" bestFit="1" customWidth="1"/>
    <col min="7" max="7" width="26.85546875" bestFit="1" customWidth="1"/>
    <col min="8" max="8" width="17.28515625" style="5" bestFit="1" customWidth="1"/>
    <col min="10" max="10" width="27" bestFit="1" customWidth="1"/>
    <col min="11" max="11" width="17.28515625" style="5" bestFit="1" customWidth="1"/>
    <col min="13" max="13" width="29.5703125" bestFit="1" customWidth="1"/>
    <col min="14" max="14" width="18.7109375" style="5" bestFit="1" customWidth="1"/>
  </cols>
  <sheetData>
    <row r="1" spans="1:14">
      <c r="A1" s="108" t="s">
        <v>5</v>
      </c>
      <c r="B1" s="108"/>
      <c r="D1" s="108" t="s">
        <v>67</v>
      </c>
      <c r="E1" s="108"/>
      <c r="G1" s="108" t="s">
        <v>6</v>
      </c>
      <c r="H1" s="108"/>
      <c r="J1" s="108" t="s">
        <v>130</v>
      </c>
      <c r="K1" s="108"/>
      <c r="M1" s="108" t="s">
        <v>8</v>
      </c>
      <c r="N1" s="108"/>
    </row>
    <row r="2" spans="1:14">
      <c r="A2" s="108"/>
      <c r="B2" s="108"/>
      <c r="D2" s="108"/>
      <c r="E2" s="108"/>
      <c r="G2" s="108"/>
      <c r="H2" s="108"/>
      <c r="J2" s="108"/>
      <c r="K2" s="108"/>
      <c r="M2" s="108"/>
      <c r="N2" s="108"/>
    </row>
    <row r="3" spans="1:14">
      <c r="A3" s="29" t="s">
        <v>61</v>
      </c>
      <c r="B3" t="s">
        <v>131</v>
      </c>
      <c r="D3" s="29" t="s">
        <v>61</v>
      </c>
      <c r="E3" t="s">
        <v>131</v>
      </c>
      <c r="G3" s="29" t="s">
        <v>61</v>
      </c>
      <c r="H3" t="s">
        <v>131</v>
      </c>
      <c r="J3" s="29" t="s">
        <v>61</v>
      </c>
      <c r="K3" t="s">
        <v>131</v>
      </c>
      <c r="M3" s="29" t="s">
        <v>61</v>
      </c>
      <c r="N3" t="s">
        <v>132</v>
      </c>
    </row>
    <row r="4" spans="1:14">
      <c r="A4" s="30" t="s">
        <v>23</v>
      </c>
      <c r="B4">
        <v>6574.7744262479273</v>
      </c>
      <c r="D4" s="30" t="s">
        <v>23</v>
      </c>
      <c r="E4">
        <v>111426.78752962446</v>
      </c>
      <c r="G4" s="30" t="s">
        <v>23</v>
      </c>
      <c r="H4">
        <v>34507.567110008051</v>
      </c>
      <c r="J4" s="30" t="s">
        <v>18</v>
      </c>
      <c r="K4" s="4">
        <v>80968.524676433663</v>
      </c>
      <c r="M4" s="30" t="s">
        <v>18</v>
      </c>
      <c r="N4">
        <v>72322.497517180454</v>
      </c>
    </row>
    <row r="5" spans="1:14">
      <c r="A5" s="30" t="s">
        <v>78</v>
      </c>
      <c r="B5">
        <v>4977.932259273588</v>
      </c>
      <c r="D5" s="30" t="s">
        <v>27</v>
      </c>
      <c r="E5">
        <v>82954.447531088299</v>
      </c>
      <c r="G5" s="30" t="s">
        <v>27</v>
      </c>
      <c r="H5">
        <v>31898.374473694988</v>
      </c>
      <c r="J5" s="30" t="s">
        <v>110</v>
      </c>
      <c r="K5" s="4">
        <v>11726.547187169666</v>
      </c>
      <c r="M5" s="30" t="s">
        <v>54</v>
      </c>
      <c r="N5">
        <v>0</v>
      </c>
    </row>
    <row r="6" spans="1:14">
      <c r="A6" s="30" t="s">
        <v>49</v>
      </c>
      <c r="B6">
        <v>722.25182513326274</v>
      </c>
      <c r="D6" s="30" t="s">
        <v>38</v>
      </c>
      <c r="E6">
        <v>54554.246247253381</v>
      </c>
      <c r="G6" s="30" t="s">
        <v>38</v>
      </c>
      <c r="H6">
        <v>9471.1500289244123</v>
      </c>
      <c r="J6" s="30" t="s">
        <v>54</v>
      </c>
      <c r="K6" s="4">
        <v>0</v>
      </c>
      <c r="M6" s="30" t="s">
        <v>23</v>
      </c>
      <c r="N6">
        <v>0</v>
      </c>
    </row>
    <row r="7" spans="1:14">
      <c r="A7" s="30" t="s">
        <v>36</v>
      </c>
      <c r="B7">
        <v>5573.0469692018887</v>
      </c>
      <c r="D7" s="30" t="s">
        <v>49</v>
      </c>
      <c r="E7">
        <v>33579.615308136163</v>
      </c>
      <c r="G7" s="30" t="s">
        <v>49</v>
      </c>
      <c r="H7">
        <v>6587.2621162302821</v>
      </c>
      <c r="J7" s="30" t="s">
        <v>23</v>
      </c>
      <c r="K7" s="4">
        <v>13236.561781084029</v>
      </c>
      <c r="M7" s="30" t="s">
        <v>56</v>
      </c>
      <c r="N7">
        <v>0</v>
      </c>
    </row>
    <row r="8" spans="1:14">
      <c r="A8" s="30" t="s">
        <v>32</v>
      </c>
      <c r="B8">
        <v>2112.8041342452552</v>
      </c>
      <c r="D8" s="30" t="s">
        <v>55</v>
      </c>
      <c r="E8">
        <v>19993.022566488773</v>
      </c>
      <c r="G8" s="30" t="s">
        <v>42</v>
      </c>
      <c r="H8">
        <v>7796.7711732904063</v>
      </c>
      <c r="J8" s="30" t="s">
        <v>56</v>
      </c>
      <c r="K8" s="4">
        <v>0</v>
      </c>
      <c r="M8" s="30" t="s">
        <v>27</v>
      </c>
      <c r="N8">
        <v>0</v>
      </c>
    </row>
    <row r="9" spans="1:14">
      <c r="A9" s="30" t="s">
        <v>22</v>
      </c>
      <c r="B9">
        <v>6647.8782859961066</v>
      </c>
      <c r="D9" s="30" t="s">
        <v>58</v>
      </c>
      <c r="E9">
        <v>11322.06884872027</v>
      </c>
      <c r="G9" s="30" t="s">
        <v>32</v>
      </c>
      <c r="H9">
        <v>22010.502782797194</v>
      </c>
      <c r="J9" s="30" t="s">
        <v>27</v>
      </c>
      <c r="K9" s="4">
        <v>6772.3185918515546</v>
      </c>
      <c r="M9" s="30" t="s">
        <v>38</v>
      </c>
      <c r="N9">
        <v>11816.466688154507</v>
      </c>
    </row>
    <row r="10" spans="1:14">
      <c r="A10" s="30" t="s">
        <v>16</v>
      </c>
      <c r="B10">
        <v>15582.953237518852</v>
      </c>
      <c r="D10" s="30" t="s">
        <v>36</v>
      </c>
      <c r="E10">
        <v>46526.973384786514</v>
      </c>
      <c r="G10" s="30" t="s">
        <v>22</v>
      </c>
      <c r="H10">
        <v>29357.022202055294</v>
      </c>
      <c r="J10" s="30" t="s">
        <v>38</v>
      </c>
      <c r="K10" s="4">
        <v>6091.1639429681418</v>
      </c>
      <c r="M10" s="30" t="s">
        <v>49</v>
      </c>
      <c r="N10">
        <v>28795.06954546905</v>
      </c>
    </row>
    <row r="11" spans="1:14">
      <c r="A11" s="30" t="s">
        <v>30</v>
      </c>
      <c r="B11">
        <v>1577.3252071557642</v>
      </c>
      <c r="D11" s="30" t="s">
        <v>32</v>
      </c>
      <c r="E11">
        <v>35213.124946682801</v>
      </c>
      <c r="G11" s="30" t="s">
        <v>46</v>
      </c>
      <c r="H11">
        <v>1861.2986676775702</v>
      </c>
      <c r="J11" s="30" t="s">
        <v>49</v>
      </c>
      <c r="K11" s="4">
        <v>18569.588626118686</v>
      </c>
      <c r="M11" s="30" t="s">
        <v>121</v>
      </c>
      <c r="N11">
        <v>0</v>
      </c>
    </row>
    <row r="12" spans="1:14">
      <c r="A12" s="30" t="s">
        <v>51</v>
      </c>
      <c r="B12">
        <v>1718.8937975711037</v>
      </c>
      <c r="D12" s="30" t="s">
        <v>22</v>
      </c>
      <c r="E12">
        <v>126328.55920937254</v>
      </c>
      <c r="G12" s="30" t="s">
        <v>16</v>
      </c>
      <c r="H12">
        <v>139024.98734885888</v>
      </c>
      <c r="J12" s="30" t="s">
        <v>121</v>
      </c>
      <c r="K12" s="4">
        <v>3676.2017854950936</v>
      </c>
      <c r="M12" s="30" t="s">
        <v>37</v>
      </c>
      <c r="N12">
        <v>0</v>
      </c>
    </row>
    <row r="13" spans="1:14">
      <c r="A13" s="30" t="s">
        <v>26</v>
      </c>
      <c r="B13">
        <v>10723.294303992197</v>
      </c>
      <c r="D13" s="30" t="s">
        <v>46</v>
      </c>
      <c r="E13">
        <v>37654.623200638016</v>
      </c>
      <c r="G13" s="30" t="s">
        <v>30</v>
      </c>
      <c r="H13">
        <v>8256.0243366414561</v>
      </c>
      <c r="J13" s="30" t="s">
        <v>37</v>
      </c>
      <c r="K13" s="4">
        <v>1971.3829084732463</v>
      </c>
      <c r="M13" s="30" t="s">
        <v>55</v>
      </c>
      <c r="N13">
        <v>0</v>
      </c>
    </row>
    <row r="14" spans="1:14">
      <c r="A14" s="30" t="s">
        <v>39</v>
      </c>
      <c r="B14">
        <v>2705.2126223682922</v>
      </c>
      <c r="D14" s="30" t="s">
        <v>16</v>
      </c>
      <c r="E14">
        <v>182616.20374226049</v>
      </c>
      <c r="G14" s="30" t="s">
        <v>51</v>
      </c>
      <c r="H14">
        <v>7743.7578215191652</v>
      </c>
      <c r="J14" s="30" t="s">
        <v>55</v>
      </c>
      <c r="K14" s="4">
        <v>0</v>
      </c>
      <c r="M14" s="30" t="s">
        <v>58</v>
      </c>
      <c r="N14">
        <v>0</v>
      </c>
    </row>
    <row r="15" spans="1:14">
      <c r="A15" s="30" t="s">
        <v>33</v>
      </c>
      <c r="B15">
        <v>2001.2173008644727</v>
      </c>
      <c r="D15" s="30" t="s">
        <v>30</v>
      </c>
      <c r="E15">
        <v>38950.358759088864</v>
      </c>
      <c r="G15" s="30" t="s">
        <v>21</v>
      </c>
      <c r="H15">
        <v>10351.673436141722</v>
      </c>
      <c r="J15" s="30" t="s">
        <v>58</v>
      </c>
      <c r="K15" s="4">
        <v>0</v>
      </c>
      <c r="M15" s="30" t="s">
        <v>36</v>
      </c>
      <c r="N15">
        <v>0</v>
      </c>
    </row>
    <row r="16" spans="1:14">
      <c r="A16" s="30" t="s">
        <v>59</v>
      </c>
      <c r="B16">
        <v>846.17943449660743</v>
      </c>
      <c r="D16" s="30" t="s">
        <v>51</v>
      </c>
      <c r="E16">
        <v>24161.494475759617</v>
      </c>
      <c r="G16" s="30" t="s">
        <v>26</v>
      </c>
      <c r="H16">
        <v>9083.0710479343306</v>
      </c>
      <c r="J16" s="30" t="s">
        <v>36</v>
      </c>
      <c r="K16" s="4">
        <v>982.89758207194814</v>
      </c>
      <c r="M16" s="30" t="s">
        <v>44</v>
      </c>
      <c r="N16">
        <v>0</v>
      </c>
    </row>
    <row r="17" spans="1:14">
      <c r="A17" s="30" t="s">
        <v>50</v>
      </c>
      <c r="B17">
        <v>995.83959597743683</v>
      </c>
      <c r="D17" s="30" t="s">
        <v>26</v>
      </c>
      <c r="E17">
        <v>111418.84417927418</v>
      </c>
      <c r="G17" s="30" t="s">
        <v>33</v>
      </c>
      <c r="H17">
        <v>10631.951444514902</v>
      </c>
      <c r="J17" s="30" t="s">
        <v>44</v>
      </c>
      <c r="K17" s="4">
        <v>72.8764328027235</v>
      </c>
      <c r="M17" s="30" t="s">
        <v>111</v>
      </c>
      <c r="N17">
        <v>0</v>
      </c>
    </row>
    <row r="18" spans="1:14">
      <c r="A18" s="30" t="s">
        <v>75</v>
      </c>
      <c r="B18">
        <v>584.20917071294036</v>
      </c>
      <c r="D18" s="30" t="s">
        <v>33</v>
      </c>
      <c r="E18">
        <v>35527.939003380285</v>
      </c>
      <c r="G18" s="30" t="s">
        <v>53</v>
      </c>
      <c r="H18">
        <v>13154.419616642817</v>
      </c>
      <c r="J18" s="30" t="s">
        <v>111</v>
      </c>
      <c r="K18" s="4">
        <v>32689.169254219545</v>
      </c>
      <c r="M18" s="30" t="s">
        <v>22</v>
      </c>
      <c r="N18">
        <v>9635.9816385386603</v>
      </c>
    </row>
    <row r="19" spans="1:14">
      <c r="A19" s="30" t="s">
        <v>37</v>
      </c>
      <c r="B19">
        <v>1912.0179008366708</v>
      </c>
      <c r="D19" s="30" t="s">
        <v>59</v>
      </c>
      <c r="E19">
        <v>1483.0263114282677</v>
      </c>
      <c r="G19" s="30" t="s">
        <v>50</v>
      </c>
      <c r="H19">
        <v>10379.203527801508</v>
      </c>
      <c r="J19" s="30" t="s">
        <v>22</v>
      </c>
      <c r="K19" s="4">
        <v>7087.8046314808589</v>
      </c>
      <c r="M19" s="30" t="s">
        <v>46</v>
      </c>
      <c r="N19">
        <v>0</v>
      </c>
    </row>
    <row r="20" spans="1:14">
      <c r="A20" s="30" t="s">
        <v>79</v>
      </c>
      <c r="B20">
        <v>100.22925108913952</v>
      </c>
      <c r="D20" s="30" t="s">
        <v>50</v>
      </c>
      <c r="E20">
        <v>23472.853092197696</v>
      </c>
      <c r="G20" s="30" t="s">
        <v>75</v>
      </c>
      <c r="H20">
        <v>9124.7607206446501</v>
      </c>
      <c r="J20" s="30" t="s">
        <v>46</v>
      </c>
      <c r="K20" s="4">
        <v>0</v>
      </c>
      <c r="M20" s="30" t="s">
        <v>19</v>
      </c>
      <c r="N20">
        <v>5581.7695737028725</v>
      </c>
    </row>
    <row r="21" spans="1:14">
      <c r="A21" s="30" t="s">
        <v>19</v>
      </c>
      <c r="B21">
        <v>3621.2949877451292</v>
      </c>
      <c r="D21" s="30" t="s">
        <v>75</v>
      </c>
      <c r="E21">
        <v>13364.832642817653</v>
      </c>
      <c r="G21" s="30" t="s">
        <v>37</v>
      </c>
      <c r="H21">
        <v>7743.8256279806083</v>
      </c>
      <c r="J21" s="30" t="s">
        <v>19</v>
      </c>
      <c r="K21" s="4">
        <v>21736.824905927788</v>
      </c>
      <c r="M21" s="30" t="s">
        <v>114</v>
      </c>
      <c r="N21">
        <v>0</v>
      </c>
    </row>
    <row r="22" spans="1:14">
      <c r="A22" s="30" t="s">
        <v>81</v>
      </c>
      <c r="B22">
        <v>406.28262061350694</v>
      </c>
      <c r="D22" s="30" t="s">
        <v>37</v>
      </c>
      <c r="E22">
        <v>42396.149797479149</v>
      </c>
      <c r="G22" s="30" t="s">
        <v>79</v>
      </c>
      <c r="H22">
        <v>1879.9115413435773</v>
      </c>
      <c r="J22" s="30" t="s">
        <v>114</v>
      </c>
      <c r="K22" s="4">
        <v>62257.045169186109</v>
      </c>
      <c r="M22" s="30" t="s">
        <v>123</v>
      </c>
      <c r="N22">
        <v>0</v>
      </c>
    </row>
    <row r="23" spans="1:14">
      <c r="A23" s="30" t="s">
        <v>86</v>
      </c>
      <c r="B23">
        <v>895.74595781118262</v>
      </c>
      <c r="D23" s="30" t="s">
        <v>79</v>
      </c>
      <c r="E23">
        <v>43297.928964971368</v>
      </c>
      <c r="G23" s="30" t="s">
        <v>81</v>
      </c>
      <c r="H23">
        <v>7796.7711732904063</v>
      </c>
      <c r="J23" s="30" t="s">
        <v>123</v>
      </c>
      <c r="K23" s="4">
        <v>0</v>
      </c>
      <c r="M23" s="30" t="s">
        <v>29</v>
      </c>
      <c r="N23">
        <v>0</v>
      </c>
    </row>
    <row r="24" spans="1:14">
      <c r="A24" s="30" t="s">
        <v>88</v>
      </c>
      <c r="B24">
        <v>3262.2018063499127</v>
      </c>
      <c r="D24" s="30" t="s">
        <v>81</v>
      </c>
      <c r="E24">
        <v>19879.657201384522</v>
      </c>
      <c r="G24" s="30" t="s">
        <v>45</v>
      </c>
      <c r="H24">
        <v>9787.0038274011713</v>
      </c>
      <c r="J24" s="30" t="s">
        <v>45</v>
      </c>
      <c r="K24" s="4">
        <v>0</v>
      </c>
      <c r="M24" s="30" t="s">
        <v>115</v>
      </c>
      <c r="N24">
        <v>0</v>
      </c>
    </row>
    <row r="25" spans="1:14">
      <c r="A25" s="30" t="s">
        <v>94</v>
      </c>
      <c r="B25">
        <v>2682.6044319016332</v>
      </c>
      <c r="D25" s="30" t="s">
        <v>45</v>
      </c>
      <c r="E25">
        <v>3670.1264352754397</v>
      </c>
      <c r="G25" s="30" t="s">
        <v>86</v>
      </c>
      <c r="H25">
        <v>12569.792306084317</v>
      </c>
      <c r="J25" s="30" t="s">
        <v>29</v>
      </c>
      <c r="K25" s="4">
        <v>437.25859681634097</v>
      </c>
      <c r="M25" s="30" t="s">
        <v>116</v>
      </c>
      <c r="N25">
        <v>0</v>
      </c>
    </row>
    <row r="26" spans="1:14">
      <c r="A26" s="30" t="s">
        <v>91</v>
      </c>
      <c r="B26">
        <v>4615.5971314778944</v>
      </c>
      <c r="D26" s="30" t="s">
        <v>86</v>
      </c>
      <c r="E26">
        <v>47235.868320791458</v>
      </c>
      <c r="G26" s="30" t="s">
        <v>88</v>
      </c>
      <c r="H26">
        <v>26472.964773207565</v>
      </c>
      <c r="J26" s="30" t="s">
        <v>115</v>
      </c>
      <c r="K26" s="4">
        <v>0</v>
      </c>
      <c r="M26" s="30" t="s">
        <v>57</v>
      </c>
      <c r="N26">
        <v>0</v>
      </c>
    </row>
    <row r="27" spans="1:14">
      <c r="A27" s="30" t="s">
        <v>95</v>
      </c>
      <c r="B27">
        <v>4313.3046252896684</v>
      </c>
      <c r="D27" s="30" t="s">
        <v>88</v>
      </c>
      <c r="E27">
        <v>106593.9658003012</v>
      </c>
      <c r="G27" s="30" t="s">
        <v>91</v>
      </c>
      <c r="H27">
        <v>10132.376038759292</v>
      </c>
      <c r="J27" s="30" t="s">
        <v>116</v>
      </c>
      <c r="K27" s="4">
        <v>0</v>
      </c>
      <c r="M27" s="30" t="s">
        <v>31</v>
      </c>
      <c r="N27">
        <v>0</v>
      </c>
    </row>
    <row r="28" spans="1:14">
      <c r="A28" s="30" t="s">
        <v>99</v>
      </c>
      <c r="B28">
        <v>1811.4169959136361</v>
      </c>
      <c r="D28" s="30" t="s">
        <v>94</v>
      </c>
      <c r="E28">
        <v>49655.296470075511</v>
      </c>
      <c r="G28" s="30" t="s">
        <v>95</v>
      </c>
      <c r="H28">
        <v>17916.998554374564</v>
      </c>
      <c r="J28" s="30" t="s">
        <v>64</v>
      </c>
      <c r="K28" s="4">
        <v>0</v>
      </c>
      <c r="M28" s="30" t="s">
        <v>35</v>
      </c>
      <c r="N28">
        <v>0</v>
      </c>
    </row>
    <row r="29" spans="1:14">
      <c r="A29" s="30" t="s">
        <v>71</v>
      </c>
      <c r="B29">
        <v>10930.289263854889</v>
      </c>
      <c r="D29" s="30" t="s">
        <v>91</v>
      </c>
      <c r="E29">
        <v>88460.489740478617</v>
      </c>
      <c r="G29" s="30" t="s">
        <v>71</v>
      </c>
      <c r="H29">
        <v>11942.141795740452</v>
      </c>
      <c r="J29" s="30" t="s">
        <v>57</v>
      </c>
      <c r="K29" s="4">
        <v>-1846.4042467995398</v>
      </c>
      <c r="M29" s="30" t="s">
        <v>24</v>
      </c>
      <c r="N29">
        <v>16034.977416595715</v>
      </c>
    </row>
    <row r="30" spans="1:14">
      <c r="A30" s="30" t="s">
        <v>73</v>
      </c>
      <c r="B30">
        <v>21620.609122268295</v>
      </c>
      <c r="D30" s="30" t="s">
        <v>95</v>
      </c>
      <c r="E30">
        <v>72984.07471907929</v>
      </c>
      <c r="G30" s="30" t="s">
        <v>82</v>
      </c>
      <c r="H30">
        <v>9201.3933231517512</v>
      </c>
      <c r="J30" s="30" t="s">
        <v>31</v>
      </c>
      <c r="K30" s="4">
        <v>2750.3008828536749</v>
      </c>
      <c r="M30" s="30" t="s">
        <v>117</v>
      </c>
      <c r="N30">
        <v>24704.8567561616</v>
      </c>
    </row>
    <row r="31" spans="1:14">
      <c r="A31" s="30" t="s">
        <v>77</v>
      </c>
      <c r="B31">
        <v>438.17665491929273</v>
      </c>
      <c r="D31" s="30" t="s">
        <v>99</v>
      </c>
      <c r="E31">
        <v>66174.610977572665</v>
      </c>
      <c r="G31" s="30" t="s">
        <v>84</v>
      </c>
      <c r="H31">
        <v>25899.412518018031</v>
      </c>
      <c r="J31" s="30" t="s">
        <v>133</v>
      </c>
      <c r="K31" s="4">
        <v>178240.55603167333</v>
      </c>
      <c r="M31" s="30" t="s">
        <v>118</v>
      </c>
      <c r="N31">
        <v>3319.4730773262518</v>
      </c>
    </row>
    <row r="32" spans="1:14">
      <c r="A32" s="30" t="s">
        <v>56</v>
      </c>
      <c r="B32">
        <v>293.95231143078234</v>
      </c>
      <c r="D32" s="30" t="s">
        <v>71</v>
      </c>
      <c r="E32">
        <v>157459.35466644104</v>
      </c>
      <c r="G32" s="30" t="s">
        <v>85</v>
      </c>
      <c r="H32">
        <v>10351.673436141722</v>
      </c>
      <c r="J32" s="30" t="s">
        <v>134</v>
      </c>
      <c r="K32" s="4">
        <v>524.2154925351515</v>
      </c>
      <c r="M32" s="30" t="s">
        <v>125</v>
      </c>
      <c r="N32">
        <v>0</v>
      </c>
    </row>
    <row r="33" spans="1:14">
      <c r="A33" s="30" t="s">
        <v>42</v>
      </c>
      <c r="B33">
        <v>879.32549306515511</v>
      </c>
      <c r="D33" s="30" t="s">
        <v>74</v>
      </c>
      <c r="E33">
        <v>192467.4415484069</v>
      </c>
      <c r="G33" s="30" t="s">
        <v>89</v>
      </c>
      <c r="H33">
        <v>13657.419248701281</v>
      </c>
      <c r="J33" s="30" t="s">
        <v>135</v>
      </c>
      <c r="K33" s="4">
        <v>10445.188427174151</v>
      </c>
      <c r="M33" s="30" t="s">
        <v>124</v>
      </c>
      <c r="N33">
        <v>2629.458244744279</v>
      </c>
    </row>
    <row r="34" spans="1:14">
      <c r="A34" s="30" t="s">
        <v>29</v>
      </c>
      <c r="B34">
        <v>1280.4120135753196</v>
      </c>
      <c r="D34" s="30" t="s">
        <v>77</v>
      </c>
      <c r="E34">
        <v>8663.5185677579502</v>
      </c>
      <c r="G34" s="30" t="s">
        <v>90</v>
      </c>
      <c r="H34">
        <v>12569.792306084317</v>
      </c>
      <c r="J34" s="30" t="s">
        <v>35</v>
      </c>
      <c r="K34" s="4">
        <v>377.43580895277739</v>
      </c>
      <c r="M34" s="30" t="s">
        <v>128</v>
      </c>
      <c r="N34">
        <v>0</v>
      </c>
    </row>
    <row r="35" spans="1:14">
      <c r="A35" s="30" t="s">
        <v>82</v>
      </c>
      <c r="B35">
        <v>541.47979892716569</v>
      </c>
      <c r="D35" s="30" t="s">
        <v>56</v>
      </c>
      <c r="E35">
        <v>16302.300685886989</v>
      </c>
      <c r="G35" s="30" t="s">
        <v>92</v>
      </c>
      <c r="H35">
        <v>24621.464139208456</v>
      </c>
      <c r="J35" s="30" t="s">
        <v>24</v>
      </c>
      <c r="K35" s="4">
        <v>31861.995781357957</v>
      </c>
      <c r="M35" s="30" t="s">
        <v>25</v>
      </c>
      <c r="N35">
        <v>0</v>
      </c>
    </row>
    <row r="36" spans="1:14">
      <c r="A36" s="30" t="s">
        <v>40</v>
      </c>
      <c r="B36">
        <v>3050.318872305108</v>
      </c>
      <c r="D36" s="30" t="s">
        <v>80</v>
      </c>
      <c r="E36">
        <v>19674.496830660344</v>
      </c>
      <c r="G36" s="30" t="s">
        <v>96</v>
      </c>
      <c r="H36">
        <v>6983.2292489015272</v>
      </c>
      <c r="J36" s="30" t="s">
        <v>117</v>
      </c>
      <c r="K36" s="4">
        <v>9265.8631906309365</v>
      </c>
      <c r="M36" s="30" t="s">
        <v>119</v>
      </c>
      <c r="N36">
        <v>0</v>
      </c>
    </row>
    <row r="37" spans="1:14">
      <c r="A37" s="30" t="s">
        <v>21</v>
      </c>
      <c r="B37">
        <v>1674.1076297882357</v>
      </c>
      <c r="D37" s="30" t="s">
        <v>83</v>
      </c>
      <c r="E37">
        <v>35119.209436615383</v>
      </c>
      <c r="G37" s="30" t="s">
        <v>97</v>
      </c>
      <c r="H37">
        <v>20148.780426297846</v>
      </c>
      <c r="J37" s="30" t="s">
        <v>118</v>
      </c>
      <c r="K37" s="4">
        <v>0</v>
      </c>
      <c r="M37" s="30" t="s">
        <v>122</v>
      </c>
      <c r="N37">
        <v>0</v>
      </c>
    </row>
    <row r="38" spans="1:14">
      <c r="A38" s="30" t="s">
        <v>85</v>
      </c>
      <c r="B38">
        <v>1234.1567057945272</v>
      </c>
      <c r="D38" s="30" t="s">
        <v>29</v>
      </c>
      <c r="E38">
        <v>11973.253660465718</v>
      </c>
      <c r="G38" s="30" t="s">
        <v>98</v>
      </c>
      <c r="H38">
        <v>511.21835169530527</v>
      </c>
      <c r="J38" s="30" t="s">
        <v>125</v>
      </c>
      <c r="K38" s="4">
        <v>2080.7851014503512</v>
      </c>
      <c r="M38" s="30" t="s">
        <v>126</v>
      </c>
      <c r="N38">
        <v>0</v>
      </c>
    </row>
    <row r="39" spans="1:14">
      <c r="A39" s="30" t="s">
        <v>90</v>
      </c>
      <c r="B39">
        <v>1639.1646999914583</v>
      </c>
      <c r="D39" s="30" t="s">
        <v>82</v>
      </c>
      <c r="E39">
        <v>5036.8460767416973</v>
      </c>
      <c r="G39" s="30" t="s">
        <v>72</v>
      </c>
      <c r="H39"/>
      <c r="J39" s="30" t="s">
        <v>127</v>
      </c>
      <c r="K39" s="4">
        <v>1741.7959802329269</v>
      </c>
      <c r="M39" s="30" t="s">
        <v>120</v>
      </c>
      <c r="N39">
        <v>0</v>
      </c>
    </row>
    <row r="40" spans="1:14">
      <c r="A40" s="30" t="s">
        <v>92</v>
      </c>
      <c r="B40">
        <v>1705.434214974739</v>
      </c>
      <c r="D40" s="30" t="s">
        <v>84</v>
      </c>
      <c r="E40">
        <v>50281.248622488172</v>
      </c>
      <c r="G40" s="30" t="s">
        <v>66</v>
      </c>
      <c r="H40">
        <v>591425.96649175975</v>
      </c>
      <c r="J40" s="30" t="s">
        <v>124</v>
      </c>
      <c r="K40" s="4">
        <v>2975.0048580082089</v>
      </c>
      <c r="M40" s="30" t="s">
        <v>48</v>
      </c>
      <c r="N40">
        <v>0</v>
      </c>
    </row>
    <row r="41" spans="1:14">
      <c r="A41" s="30" t="s">
        <v>53</v>
      </c>
      <c r="B41">
        <v>1431.7786376691222</v>
      </c>
      <c r="D41" s="30" t="s">
        <v>40</v>
      </c>
      <c r="E41">
        <v>43704.812541217914</v>
      </c>
      <c r="G41" s="30"/>
      <c r="J41" s="30" t="s">
        <v>25</v>
      </c>
      <c r="K41" s="4">
        <v>12946.58670874223</v>
      </c>
      <c r="M41" s="30" t="s">
        <v>98</v>
      </c>
      <c r="N41">
        <v>10982.201671398463</v>
      </c>
    </row>
    <row r="42" spans="1:14">
      <c r="A42" s="30" t="s">
        <v>96</v>
      </c>
      <c r="B42">
        <v>724.86237389880466</v>
      </c>
      <c r="D42" s="30" t="s">
        <v>93</v>
      </c>
      <c r="E42">
        <v>1377.5326972000482</v>
      </c>
      <c r="G42" s="30"/>
      <c r="J42" s="30" t="s">
        <v>92</v>
      </c>
      <c r="K42" s="4">
        <v>3550.1349694729861</v>
      </c>
      <c r="M42" s="30" t="s">
        <v>110</v>
      </c>
      <c r="N42">
        <v>14774.338176075129</v>
      </c>
    </row>
    <row r="43" spans="1:14">
      <c r="A43" s="30" t="s">
        <v>97</v>
      </c>
      <c r="B43">
        <v>37559.174305080574</v>
      </c>
      <c r="D43" s="30" t="s">
        <v>21</v>
      </c>
      <c r="E43">
        <v>65443.519272139936</v>
      </c>
      <c r="G43" s="30"/>
      <c r="J43" s="30" t="s">
        <v>119</v>
      </c>
      <c r="K43" s="4">
        <v>524.20514624481393</v>
      </c>
      <c r="M43" s="30" t="s">
        <v>134</v>
      </c>
      <c r="N43">
        <v>0</v>
      </c>
    </row>
    <row r="44" spans="1:14">
      <c r="A44" s="30" t="s">
        <v>87</v>
      </c>
      <c r="B44">
        <v>3170.9804704422995</v>
      </c>
      <c r="D44" s="30" t="s">
        <v>85</v>
      </c>
      <c r="E44">
        <v>61204.05588336131</v>
      </c>
      <c r="G44" s="30"/>
      <c r="J44" s="30" t="s">
        <v>122</v>
      </c>
      <c r="K44" s="4">
        <v>1692.9509791633839</v>
      </c>
      <c r="M44" s="30" t="s">
        <v>135</v>
      </c>
      <c r="N44">
        <v>0</v>
      </c>
    </row>
    <row r="45" spans="1:14">
      <c r="A45" s="30" t="s">
        <v>100</v>
      </c>
      <c r="B45">
        <v>3737.0849315127994</v>
      </c>
      <c r="D45" s="30" t="s">
        <v>89</v>
      </c>
      <c r="E45">
        <v>46142.55693649024</v>
      </c>
      <c r="G45" s="30"/>
      <c r="J45" s="30" t="s">
        <v>126</v>
      </c>
      <c r="K45" s="4">
        <v>0</v>
      </c>
      <c r="M45" s="30" t="s">
        <v>45</v>
      </c>
      <c r="N45">
        <v>0</v>
      </c>
    </row>
    <row r="46" spans="1:14">
      <c r="A46" s="30" t="s">
        <v>66</v>
      </c>
      <c r="B46">
        <v>178875.81577928271</v>
      </c>
      <c r="D46" s="30" t="s">
        <v>90</v>
      </c>
      <c r="E46">
        <v>26741.630626894239</v>
      </c>
      <c r="G46" s="30"/>
      <c r="J46" s="30" t="s">
        <v>120</v>
      </c>
      <c r="K46" s="4">
        <v>0</v>
      </c>
      <c r="M46" s="30" t="s">
        <v>133</v>
      </c>
      <c r="N46">
        <v>37631.881779903648</v>
      </c>
    </row>
    <row r="47" spans="1:14">
      <c r="D47" s="30" t="s">
        <v>92</v>
      </c>
      <c r="E47">
        <v>24156.187501865919</v>
      </c>
      <c r="G47" s="30"/>
      <c r="J47" s="30" t="s">
        <v>48</v>
      </c>
      <c r="K47" s="4">
        <v>0</v>
      </c>
      <c r="M47" s="30" t="s">
        <v>92</v>
      </c>
      <c r="N47">
        <v>0</v>
      </c>
    </row>
    <row r="48" spans="1:14">
      <c r="D48" s="30" t="s">
        <v>53</v>
      </c>
      <c r="E48">
        <v>17567.721449450346</v>
      </c>
      <c r="G48" s="30"/>
      <c r="J48" s="30" t="s">
        <v>98</v>
      </c>
      <c r="K48" s="4">
        <v>34208.722952493692</v>
      </c>
      <c r="M48" s="30" t="s">
        <v>136</v>
      </c>
      <c r="N48"/>
    </row>
    <row r="49" spans="4:14">
      <c r="D49" s="30" t="s">
        <v>96</v>
      </c>
      <c r="E49">
        <v>15774.416082479071</v>
      </c>
      <c r="G49" s="30"/>
      <c r="J49" s="30" t="s">
        <v>129</v>
      </c>
      <c r="K49" s="4">
        <v>1955.4488738062967</v>
      </c>
      <c r="M49" s="30" t="s">
        <v>112</v>
      </c>
      <c r="N49">
        <v>3383.4459268950118</v>
      </c>
    </row>
    <row r="50" spans="4:14">
      <c r="D50" s="30" t="s">
        <v>97</v>
      </c>
      <c r="E50">
        <v>395033.15845899063</v>
      </c>
      <c r="G50" s="30"/>
      <c r="J50" s="30" t="s">
        <v>112</v>
      </c>
      <c r="K50" s="4">
        <v>592.10303720662705</v>
      </c>
      <c r="M50" s="30" t="s">
        <v>97</v>
      </c>
      <c r="N50">
        <v>0</v>
      </c>
    </row>
    <row r="51" spans="4:14">
      <c r="D51" s="30" t="s">
        <v>100</v>
      </c>
      <c r="E51">
        <v>14344.661570211902</v>
      </c>
      <c r="G51" s="30"/>
      <c r="J51" s="30" t="s">
        <v>97</v>
      </c>
      <c r="K51" s="4">
        <v>148914.91775551354</v>
      </c>
      <c r="M51" s="30" t="s">
        <v>50</v>
      </c>
      <c r="N51">
        <v>0</v>
      </c>
    </row>
    <row r="52" spans="4:14">
      <c r="D52" s="30" t="s">
        <v>76</v>
      </c>
      <c r="E52">
        <v>0</v>
      </c>
      <c r="G52" s="30"/>
      <c r="J52" s="30" t="s">
        <v>76</v>
      </c>
      <c r="K52" s="4">
        <v>0</v>
      </c>
      <c r="M52" s="30" t="s">
        <v>66</v>
      </c>
      <c r="N52">
        <v>241612.41801214567</v>
      </c>
    </row>
    <row r="53" spans="4:14">
      <c r="D53" s="30" t="s">
        <v>66</v>
      </c>
      <c r="E53" s="35">
        <v>2739365.1125221732</v>
      </c>
      <c r="G53" s="30"/>
      <c r="J53" s="30" t="s">
        <v>50</v>
      </c>
      <c r="K53" s="4">
        <v>0</v>
      </c>
    </row>
    <row r="54" spans="4:14">
      <c r="G54" s="30"/>
      <c r="J54" s="30" t="s">
        <v>66</v>
      </c>
      <c r="K54" s="100">
        <v>711077.97380281298</v>
      </c>
    </row>
    <row r="55" spans="4:14">
      <c r="G55" s="30"/>
      <c r="K55"/>
    </row>
    <row r="56" spans="4:14">
      <c r="G56" s="30"/>
      <c r="K56"/>
    </row>
    <row r="57" spans="4:14">
      <c r="G57" s="30"/>
    </row>
    <row r="58" spans="4:14">
      <c r="G58" s="30"/>
    </row>
    <row r="59" spans="4:14">
      <c r="G59" s="30"/>
    </row>
    <row r="60" spans="4:14">
      <c r="G60" s="30"/>
    </row>
    <row r="61" spans="4:14">
      <c r="G61" s="30"/>
    </row>
    <row r="62" spans="4:14">
      <c r="G62" s="30"/>
    </row>
    <row r="63" spans="4:14">
      <c r="G63" s="30"/>
    </row>
    <row r="64" spans="4:14">
      <c r="G64" s="30"/>
    </row>
    <row r="65" spans="7:7">
      <c r="G65" s="30"/>
    </row>
    <row r="66" spans="7:7">
      <c r="G66" s="30"/>
    </row>
    <row r="67" spans="7:7">
      <c r="G67" s="30"/>
    </row>
    <row r="68" spans="7:7">
      <c r="G68" s="30"/>
    </row>
    <row r="69" spans="7:7">
      <c r="G69" s="30"/>
    </row>
    <row r="70" spans="7:7">
      <c r="G70" s="30"/>
    </row>
    <row r="71" spans="7:7">
      <c r="G71" s="30"/>
    </row>
    <row r="72" spans="7:7">
      <c r="G72" s="30"/>
    </row>
    <row r="73" spans="7:7">
      <c r="G73" s="30"/>
    </row>
  </sheetData>
  <mergeCells count="5">
    <mergeCell ref="A1:B2"/>
    <mergeCell ref="D1:E2"/>
    <mergeCell ref="G1:H2"/>
    <mergeCell ref="J1:K2"/>
    <mergeCell ref="M1:N2"/>
  </mergeCells>
  <pageMargins left="0.7" right="0.7" top="0.75" bottom="0.75" header="0.3" footer="0.3"/>
  <pageSetup paperSize="9" orientation="portrait" r:id="rId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34DEC-AD8A-4CF0-A38D-99457C9DA30D}">
  <dimension ref="A1:AA111"/>
  <sheetViews>
    <sheetView topLeftCell="G1" zoomScale="80" zoomScaleNormal="80" workbookViewId="0">
      <pane ySplit="1" topLeftCell="A33" activePane="bottomLeft" state="frozen"/>
      <selection pane="bottomLeft" activeCell="T45" sqref="T45"/>
      <selection activeCell="Q90" sqref="Q90"/>
    </sheetView>
  </sheetViews>
  <sheetFormatPr defaultRowHeight="14.45"/>
  <cols>
    <col min="1" max="1" width="29.7109375" bestFit="1" customWidth="1"/>
    <col min="2" max="2" width="13.42578125" bestFit="1" customWidth="1"/>
    <col min="3" max="4" width="12.5703125" bestFit="1" customWidth="1"/>
    <col min="5" max="5" width="12.28515625" bestFit="1" customWidth="1"/>
    <col min="6" max="6" width="12.5703125" bestFit="1" customWidth="1"/>
    <col min="7" max="7" width="12.28515625" bestFit="1" customWidth="1"/>
    <col min="8" max="8" width="12.5703125" bestFit="1" customWidth="1"/>
    <col min="9" max="9" width="12.28515625" bestFit="1" customWidth="1"/>
    <col min="10" max="10" width="12.7109375" customWidth="1"/>
    <col min="11" max="11" width="12.28515625" bestFit="1" customWidth="1"/>
    <col min="12" max="12" width="13.7109375" bestFit="1" customWidth="1"/>
    <col min="13" max="13" width="13.5703125" bestFit="1" customWidth="1"/>
    <col min="14" max="14" width="13.7109375" customWidth="1"/>
    <col min="15" max="21" width="12" bestFit="1" customWidth="1"/>
    <col min="22" max="22" width="12" customWidth="1"/>
    <col min="23" max="23" width="12" bestFit="1" customWidth="1"/>
    <col min="24" max="24" width="12.5703125" customWidth="1"/>
    <col min="25" max="26" width="12" bestFit="1" customWidth="1"/>
    <col min="27" max="27" width="13.5703125" bestFit="1" customWidth="1"/>
  </cols>
  <sheetData>
    <row r="1" spans="1:27" ht="27">
      <c r="A1" s="16" t="s">
        <v>14</v>
      </c>
      <c r="B1" s="16" t="s">
        <v>137</v>
      </c>
      <c r="C1" s="16" t="s">
        <v>138</v>
      </c>
      <c r="D1" s="16" t="s">
        <v>139</v>
      </c>
      <c r="E1" s="16" t="s">
        <v>140</v>
      </c>
      <c r="F1" s="16" t="s">
        <v>141</v>
      </c>
      <c r="G1" s="16" t="s">
        <v>142</v>
      </c>
      <c r="H1" s="16" t="s">
        <v>143</v>
      </c>
      <c r="I1" s="16" t="s">
        <v>144</v>
      </c>
      <c r="J1" s="16" t="s">
        <v>145</v>
      </c>
      <c r="K1" s="16" t="s">
        <v>146</v>
      </c>
      <c r="L1" s="16" t="s">
        <v>147</v>
      </c>
      <c r="M1" s="16" t="s">
        <v>148</v>
      </c>
      <c r="N1" s="16" t="s">
        <v>149</v>
      </c>
      <c r="O1" s="17" t="s">
        <v>150</v>
      </c>
      <c r="P1" s="17" t="s">
        <v>151</v>
      </c>
      <c r="Q1" s="17" t="s">
        <v>152</v>
      </c>
      <c r="R1" s="17" t="s">
        <v>153</v>
      </c>
      <c r="S1" s="17" t="s">
        <v>154</v>
      </c>
      <c r="T1" s="17" t="s">
        <v>155</v>
      </c>
      <c r="U1" s="17" t="s">
        <v>156</v>
      </c>
      <c r="V1" s="17" t="s">
        <v>157</v>
      </c>
      <c r="W1" s="17" t="s">
        <v>158</v>
      </c>
      <c r="X1" s="17" t="s">
        <v>159</v>
      </c>
      <c r="Y1" s="17" t="s">
        <v>160</v>
      </c>
      <c r="Z1" s="17" t="s">
        <v>161</v>
      </c>
      <c r="AA1" s="1" t="s">
        <v>162</v>
      </c>
    </row>
    <row r="2" spans="1:27">
      <c r="A2" s="28" t="s">
        <v>71</v>
      </c>
      <c r="B2" s="53">
        <v>11498.216794520549</v>
      </c>
      <c r="C2" s="22">
        <v>10385.486136986303</v>
      </c>
      <c r="D2" s="52">
        <v>11498.216794520549</v>
      </c>
      <c r="E2" s="52">
        <v>11127.306575342467</v>
      </c>
      <c r="F2" s="22">
        <v>11930.951488398101</v>
      </c>
      <c r="G2" s="22">
        <v>11546.082085546548</v>
      </c>
      <c r="H2" s="52">
        <v>11967.595510137231</v>
      </c>
      <c r="I2" s="22">
        <v>12009.806163732002</v>
      </c>
      <c r="J2" s="22">
        <v>11622.393061676132</v>
      </c>
      <c r="K2" s="22">
        <v>12009.806163732002</v>
      </c>
      <c r="L2" s="22">
        <v>11622.393061676132</v>
      </c>
      <c r="M2" s="22">
        <v>12009.806163732012</v>
      </c>
      <c r="N2" s="12">
        <f>SUM(B2:M2)</f>
        <v>139228.06000000006</v>
      </c>
      <c r="O2" s="18">
        <f>B2/$B$57</f>
        <v>11896.388932077172</v>
      </c>
      <c r="P2" s="18">
        <f>C2/$C$57</f>
        <v>10812.245465509983</v>
      </c>
      <c r="Q2" s="18">
        <f>D2/$D$57</f>
        <v>12399.539306726499</v>
      </c>
      <c r="R2" s="18">
        <f>E2/$E$57</f>
        <v>12500.203978276584</v>
      </c>
      <c r="S2" s="18">
        <f>F2/$F$57</f>
        <v>13455.909739134178</v>
      </c>
      <c r="T2" s="18">
        <f>G2/$G$57</f>
        <v>13300.865236152094</v>
      </c>
      <c r="U2" s="18">
        <f>H2/$H$57</f>
        <v>13985.737419816794</v>
      </c>
      <c r="V2" s="18">
        <f>I2/$I$57</f>
        <v>13988.150254180791</v>
      </c>
      <c r="W2" s="18">
        <f>J2/$J$57</f>
        <v>13633.625494646363</v>
      </c>
      <c r="X2" s="18">
        <f>K2/$K$57</f>
        <v>13984.078344393472</v>
      </c>
      <c r="Y2" s="18">
        <f>L2/$L$57</f>
        <v>13435.981898310018</v>
      </c>
      <c r="Z2" s="22">
        <f>M2/$M$57</f>
        <v>14066.628597217095</v>
      </c>
      <c r="AA2" s="18">
        <f t="shared" ref="AA2:AA50" si="0">SUM(O2:Z2)</f>
        <v>157459.35466644104</v>
      </c>
    </row>
    <row r="3" spans="1:27">
      <c r="A3" s="28" t="s">
        <v>74</v>
      </c>
      <c r="B3" s="54">
        <v>14407.71121092863</v>
      </c>
      <c r="C3" s="102">
        <v>13188.63</v>
      </c>
      <c r="D3" s="89">
        <f>14601.6913905693+0.01</f>
        <v>14601.7013905693</v>
      </c>
      <c r="E3" s="89">
        <v>14130.669087647759</v>
      </c>
      <c r="F3" s="22">
        <v>14601.691390569349</v>
      </c>
      <c r="G3" s="22">
        <v>14130.669087647759</v>
      </c>
      <c r="H3" s="52">
        <v>14367.176325412012</v>
      </c>
      <c r="I3" s="22">
        <v>14367.176325412012</v>
      </c>
      <c r="J3" s="22">
        <v>13903.71902459227</v>
      </c>
      <c r="K3" s="22">
        <v>14367.176325412012</v>
      </c>
      <c r="L3" s="22">
        <v>13903.71902459227</v>
      </c>
      <c r="M3" s="22">
        <v>14367.176325412009</v>
      </c>
      <c r="N3" s="12">
        <f t="shared" ref="N3:N49" si="1">SUM(B3:M3)</f>
        <v>170337.21551819539</v>
      </c>
      <c r="O3" s="18">
        <f t="shared" ref="O3:O49" si="2">B3/$B$57</f>
        <v>14906.63632885542</v>
      </c>
      <c r="P3" s="18">
        <f t="shared" ref="P3:P50" si="3">C3/$C$57</f>
        <v>13730.575827928331</v>
      </c>
      <c r="Q3" s="18">
        <f t="shared" ref="Q3:Q50" si="4">D3/$D$57</f>
        <v>15746.299932675482</v>
      </c>
      <c r="R3" s="18">
        <f t="shared" ref="R3:R50" si="5">E3/$E$57</f>
        <v>15874.124142183806</v>
      </c>
      <c r="S3" s="18">
        <f t="shared" ref="S3:S50" si="6">F3/$F$57</f>
        <v>16468.01108706661</v>
      </c>
      <c r="T3" s="18">
        <f t="shared" ref="T3:T50" si="7">G3/$G$57</f>
        <v>16278.259918725171</v>
      </c>
      <c r="U3" s="18">
        <f t="shared" ref="U3:U50" si="8">H3/$H$57</f>
        <v>16789.968827173088</v>
      </c>
      <c r="V3" s="18">
        <f t="shared" ref="V3:V50" si="9">I3/$I$57</f>
        <v>16733.84386294887</v>
      </c>
      <c r="W3" s="18">
        <f t="shared" ref="W3:W50" si="10">J3/$J$57</f>
        <v>16309.730462406473</v>
      </c>
      <c r="X3" s="18">
        <f t="shared" ref="X3:X50" si="11">K3/$K$57</f>
        <v>16728.972689751066</v>
      </c>
      <c r="Y3" s="18">
        <f t="shared" ref="Y3:Y50" si="12">L3/$L$57</f>
        <v>16073.291975436718</v>
      </c>
      <c r="Z3" s="22">
        <f t="shared" ref="Z3:Z49" si="13">M3/$M$57</f>
        <v>16827.726493255883</v>
      </c>
      <c r="AA3" s="18">
        <f t="shared" si="0"/>
        <v>192467.4415484069</v>
      </c>
    </row>
    <row r="4" spans="1:27">
      <c r="A4" s="28" t="s">
        <v>77</v>
      </c>
      <c r="B4" s="22">
        <v>651.09342465753423</v>
      </c>
      <c r="C4" s="22">
        <v>588.0843835616439</v>
      </c>
      <c r="D4" s="52">
        <v>651.09342465753423</v>
      </c>
      <c r="E4" s="52">
        <v>630.09041095890416</v>
      </c>
      <c r="F4" s="22">
        <v>651.09342465753423</v>
      </c>
      <c r="G4" s="22">
        <v>630.09041095890416</v>
      </c>
      <c r="H4" s="52">
        <v>651.09342465753423</v>
      </c>
      <c r="I4" s="22">
        <v>651.09342465753423</v>
      </c>
      <c r="J4" s="22">
        <v>630.09041095890416</v>
      </c>
      <c r="K4" s="22">
        <v>651.09342465753423</v>
      </c>
      <c r="L4" s="22">
        <v>630.09041095890416</v>
      </c>
      <c r="M4" s="22">
        <v>651.09342465753434</v>
      </c>
      <c r="N4" s="12">
        <f t="shared" si="1"/>
        <v>7666.1</v>
      </c>
      <c r="O4" s="18">
        <f t="shared" si="2"/>
        <v>673.64016084087848</v>
      </c>
      <c r="P4" s="18">
        <f t="shared" si="3"/>
        <v>612.2498865851602</v>
      </c>
      <c r="Q4" s="18">
        <f t="shared" si="4"/>
        <v>702.13135268414476</v>
      </c>
      <c r="R4" s="18">
        <f t="shared" si="5"/>
        <v>707.83155010717519</v>
      </c>
      <c r="S4" s="18">
        <f t="shared" si="6"/>
        <v>734.3131318952195</v>
      </c>
      <c r="T4" s="18">
        <f t="shared" si="7"/>
        <v>725.85207524612554</v>
      </c>
      <c r="U4" s="18">
        <f t="shared" si="8"/>
        <v>760.88982664197056</v>
      </c>
      <c r="V4" s="18">
        <f t="shared" si="9"/>
        <v>758.34634876309929</v>
      </c>
      <c r="W4" s="18">
        <f t="shared" si="10"/>
        <v>739.12632666913498</v>
      </c>
      <c r="X4" s="18">
        <f t="shared" si="11"/>
        <v>758.12559635026457</v>
      </c>
      <c r="Y4" s="18">
        <f t="shared" si="12"/>
        <v>728.41137888014634</v>
      </c>
      <c r="Z4" s="22">
        <f t="shared" si="13"/>
        <v>762.60093309463139</v>
      </c>
      <c r="AA4" s="18">
        <f t="shared" si="0"/>
        <v>8663.5185677579502</v>
      </c>
    </row>
    <row r="5" spans="1:27">
      <c r="A5" s="28" t="s">
        <v>75</v>
      </c>
      <c r="B5" s="22">
        <v>1013.6314917127072</v>
      </c>
      <c r="C5" s="22">
        <v>915.53812154696129</v>
      </c>
      <c r="D5" s="52">
        <v>1013.6314917127072</v>
      </c>
      <c r="E5" s="52">
        <v>980.93370165745853</v>
      </c>
      <c r="F5" s="22">
        <v>1013.6314917127072</v>
      </c>
      <c r="G5" s="22">
        <v>974.28</v>
      </c>
      <c r="H5" s="52">
        <v>997.10489130434792</v>
      </c>
      <c r="I5" s="22">
        <v>997.10489130434792</v>
      </c>
      <c r="J5" s="22">
        <v>964.94021739130437</v>
      </c>
      <c r="K5" s="22">
        <v>997.10489130434792</v>
      </c>
      <c r="L5" s="22">
        <f>964.940217391304-0.5</f>
        <v>964.44021739130403</v>
      </c>
      <c r="M5" s="22">
        <v>997.1048913043478</v>
      </c>
      <c r="N5" s="12">
        <f t="shared" si="1"/>
        <v>11829.44629834254</v>
      </c>
      <c r="O5" s="18">
        <f t="shared" si="2"/>
        <v>1048.7325708593703</v>
      </c>
      <c r="P5" s="18">
        <f t="shared" si="3"/>
        <v>953.15931990355455</v>
      </c>
      <c r="Q5" s="18">
        <f t="shared" si="4"/>
        <v>1093.0880630131319</v>
      </c>
      <c r="R5" s="18">
        <f t="shared" si="5"/>
        <v>1101.962211327565</v>
      </c>
      <c r="S5" s="18">
        <f t="shared" si="6"/>
        <v>1143.1891140026248</v>
      </c>
      <c r="T5" s="18">
        <f t="shared" si="7"/>
        <v>1122.3518840646491</v>
      </c>
      <c r="U5" s="18">
        <f t="shared" si="8"/>
        <v>1165.2505449390533</v>
      </c>
      <c r="V5" s="18">
        <f t="shared" si="9"/>
        <v>1161.3553831421409</v>
      </c>
      <c r="W5" s="18">
        <f t="shared" si="10"/>
        <v>1131.9212384939287</v>
      </c>
      <c r="X5" s="18">
        <f t="shared" si="11"/>
        <v>1161.0173159734843</v>
      </c>
      <c r="Y5" s="18">
        <f t="shared" si="12"/>
        <v>1114.9340100706388</v>
      </c>
      <c r="Z5" s="22">
        <f t="shared" si="13"/>
        <v>1167.8709870275104</v>
      </c>
      <c r="AA5" s="18">
        <f t="shared" si="0"/>
        <v>13364.832642817653</v>
      </c>
    </row>
    <row r="6" spans="1:27">
      <c r="A6" s="28" t="s">
        <v>23</v>
      </c>
      <c r="B6" s="52">
        <v>8374.1089863013694</v>
      </c>
      <c r="C6" s="22">
        <v>7563.7113424657537</v>
      </c>
      <c r="D6" s="52">
        <v>8374.1089863013694</v>
      </c>
      <c r="E6" s="52">
        <v>8103.9764383561651</v>
      </c>
      <c r="F6" s="22">
        <v>8374.1089863013694</v>
      </c>
      <c r="G6" s="22">
        <v>8103.9764383561651</v>
      </c>
      <c r="H6" s="52">
        <v>8374.1089863013694</v>
      </c>
      <c r="I6" s="22">
        <v>8374.1089863013694</v>
      </c>
      <c r="J6" s="22">
        <v>8103.9764383561651</v>
      </c>
      <c r="K6" s="22">
        <v>8374.1089863013694</v>
      </c>
      <c r="L6" s="22">
        <v>8103.9764383561651</v>
      </c>
      <c r="M6" s="22">
        <v>8374.1089863013622</v>
      </c>
      <c r="N6" s="12">
        <f t="shared" si="1"/>
        <v>98598.38</v>
      </c>
      <c r="O6" s="18">
        <f t="shared" si="2"/>
        <v>8664.0962890974606</v>
      </c>
      <c r="P6" s="18">
        <f t="shared" si="3"/>
        <v>7874.5185912629004</v>
      </c>
      <c r="Q6" s="18">
        <f t="shared" si="4"/>
        <v>9030.5388557239439</v>
      </c>
      <c r="R6" s="18">
        <f t="shared" si="5"/>
        <v>9103.8525656404563</v>
      </c>
      <c r="S6" s="18">
        <f t="shared" si="6"/>
        <v>9444.4483136920953</v>
      </c>
      <c r="T6" s="18">
        <f t="shared" si="7"/>
        <v>9335.6255121777795</v>
      </c>
      <c r="U6" s="18">
        <f t="shared" si="8"/>
        <v>9786.2673674200887</v>
      </c>
      <c r="V6" s="18">
        <f t="shared" si="9"/>
        <v>9753.5541496923597</v>
      </c>
      <c r="W6" s="18">
        <f t="shared" si="10"/>
        <v>9506.3537424410715</v>
      </c>
      <c r="X6" s="18">
        <f t="shared" si="11"/>
        <v>9750.7149184944101</v>
      </c>
      <c r="Y6" s="18">
        <f t="shared" si="12"/>
        <v>9368.5422745788128</v>
      </c>
      <c r="Z6" s="22">
        <f t="shared" si="13"/>
        <v>9808.2749494030813</v>
      </c>
      <c r="AA6" s="18">
        <f t="shared" si="0"/>
        <v>111426.78752962446</v>
      </c>
    </row>
    <row r="7" spans="1:27">
      <c r="A7" s="28" t="s">
        <v>56</v>
      </c>
      <c r="B7" s="52">
        <v>1225.1743561643834</v>
      </c>
      <c r="C7" s="22">
        <v>1106.609095890411</v>
      </c>
      <c r="D7" s="52">
        <v>1225.1743561643834</v>
      </c>
      <c r="E7" s="52">
        <v>1185.652602739726</v>
      </c>
      <c r="F7" s="22">
        <v>1225.1743561643834</v>
      </c>
      <c r="G7" s="22">
        <v>1185.652602739726</v>
      </c>
      <c r="H7" s="52">
        <v>1225.1743561643834</v>
      </c>
      <c r="I7" s="22">
        <v>1225.1743561643834</v>
      </c>
      <c r="J7" s="22">
        <v>1185.652602739726</v>
      </c>
      <c r="K7" s="22">
        <v>1225.1743561643834</v>
      </c>
      <c r="L7" s="22">
        <v>1185.652602739726</v>
      </c>
      <c r="M7" s="22">
        <v>1225.1743561643834</v>
      </c>
      <c r="N7" s="12">
        <f t="shared" si="1"/>
        <v>14425.44</v>
      </c>
      <c r="O7" s="18">
        <f t="shared" si="2"/>
        <v>1267.6009603058192</v>
      </c>
      <c r="P7" s="18">
        <f t="shared" si="3"/>
        <v>1152.0817630791448</v>
      </c>
      <c r="Q7" s="18">
        <f t="shared" si="4"/>
        <v>1321.2133549345779</v>
      </c>
      <c r="R7" s="18">
        <f t="shared" si="5"/>
        <v>1331.9395202486335</v>
      </c>
      <c r="S7" s="18">
        <f t="shared" si="6"/>
        <v>1381.770395033534</v>
      </c>
      <c r="T7" s="18">
        <f t="shared" si="7"/>
        <v>1365.8490706276291</v>
      </c>
      <c r="U7" s="18">
        <f t="shared" si="8"/>
        <v>1431.7802456052161</v>
      </c>
      <c r="V7" s="18">
        <f t="shared" si="9"/>
        <v>1426.9941369537526</v>
      </c>
      <c r="W7" s="18">
        <f t="shared" si="10"/>
        <v>1390.8274713069234</v>
      </c>
      <c r="X7" s="18">
        <f t="shared" si="11"/>
        <v>1426.5787431177469</v>
      </c>
      <c r="Y7" s="18">
        <f t="shared" si="12"/>
        <v>1370.6649588908072</v>
      </c>
      <c r="Z7" s="22">
        <f t="shared" si="13"/>
        <v>1435.0000657832034</v>
      </c>
      <c r="AA7" s="18">
        <f t="shared" si="0"/>
        <v>16302.300685886989</v>
      </c>
    </row>
    <row r="8" spans="1:27">
      <c r="A8" s="28" t="s">
        <v>27</v>
      </c>
      <c r="B8" s="52">
        <v>6234.3140273972604</v>
      </c>
      <c r="C8" s="22">
        <v>5630.9933150684928</v>
      </c>
      <c r="D8" s="52">
        <v>6234.3140273972604</v>
      </c>
      <c r="E8" s="52">
        <v>6033.2071232876715</v>
      </c>
      <c r="F8" s="22">
        <v>6234.3140273972604</v>
      </c>
      <c r="G8" s="22">
        <v>6033.2071232876715</v>
      </c>
      <c r="H8" s="52">
        <v>6234.3140273972604</v>
      </c>
      <c r="I8" s="22">
        <v>6234.3140273972604</v>
      </c>
      <c r="J8" s="22">
        <v>6033.2071232876715</v>
      </c>
      <c r="K8" s="22">
        <v>6234.3140273972604</v>
      </c>
      <c r="L8" s="22">
        <v>6033.2071232876715</v>
      </c>
      <c r="M8" s="22">
        <v>6234.3140273972676</v>
      </c>
      <c r="N8" s="12">
        <f t="shared" si="1"/>
        <v>73404.02</v>
      </c>
      <c r="O8" s="18">
        <f t="shared" si="2"/>
        <v>6450.2022983221013</v>
      </c>
      <c r="P8" s="18">
        <f t="shared" si="3"/>
        <v>5862.381513402489</v>
      </c>
      <c r="Q8" s="18">
        <f t="shared" si="4"/>
        <v>6723.0095948466642</v>
      </c>
      <c r="R8" s="18">
        <f t="shared" si="5"/>
        <v>6777.589812381535</v>
      </c>
      <c r="S8" s="18">
        <f t="shared" si="6"/>
        <v>7031.1548009938997</v>
      </c>
      <c r="T8" s="18">
        <f t="shared" si="7"/>
        <v>6950.1389557151742</v>
      </c>
      <c r="U8" s="18">
        <f t="shared" si="8"/>
        <v>7285.6305099886176</v>
      </c>
      <c r="V8" s="18">
        <f t="shared" si="9"/>
        <v>7261.2763401903867</v>
      </c>
      <c r="W8" s="18">
        <f t="shared" si="10"/>
        <v>7077.241839442182</v>
      </c>
      <c r="X8" s="18">
        <f t="shared" si="11"/>
        <v>7259.1626038020313</v>
      </c>
      <c r="Y8" s="18">
        <f t="shared" si="12"/>
        <v>6974.6446594155877</v>
      </c>
      <c r="Z8" s="22">
        <f t="shared" si="13"/>
        <v>7302.0146025876311</v>
      </c>
      <c r="AA8" s="18">
        <f t="shared" si="0"/>
        <v>82954.447531088299</v>
      </c>
    </row>
    <row r="9" spans="1:27">
      <c r="A9" s="28" t="s">
        <v>38</v>
      </c>
      <c r="B9" s="52">
        <v>4014.2248219178082</v>
      </c>
      <c r="C9" s="22">
        <v>3664.1743263062913</v>
      </c>
      <c r="D9" s="52">
        <v>4056.7644326962513</v>
      </c>
      <c r="E9" s="52">
        <v>3925.9010638995983</v>
      </c>
      <c r="F9" s="22">
        <v>4124.2470041248225</v>
      </c>
      <c r="G9" s="22">
        <v>3991.2067781853125</v>
      </c>
      <c r="H9" s="52">
        <v>4124.2470041248225</v>
      </c>
      <c r="I9" s="22">
        <v>4124.2470041248225</v>
      </c>
      <c r="J9" s="22">
        <v>3991.2067781853125</v>
      </c>
      <c r="K9" s="22">
        <v>4124.2470041248225</v>
      </c>
      <c r="L9" s="22">
        <v>3991.2067781853125</v>
      </c>
      <c r="M9" s="22">
        <v>4124.2470041248289</v>
      </c>
      <c r="N9" s="12">
        <f t="shared" si="1"/>
        <v>48255.920000000006</v>
      </c>
      <c r="O9" s="18">
        <f t="shared" si="2"/>
        <v>4153.2335487960108</v>
      </c>
      <c r="P9" s="18">
        <f t="shared" si="3"/>
        <v>3814.7422009789298</v>
      </c>
      <c r="Q9" s="18">
        <f t="shared" si="4"/>
        <v>4374.7661868158993</v>
      </c>
      <c r="R9" s="18">
        <f t="shared" si="5"/>
        <v>4410.2823774106046</v>
      </c>
      <c r="S9" s="18">
        <f t="shared" si="6"/>
        <v>4651.3889092050285</v>
      </c>
      <c r="T9" s="18">
        <f t="shared" si="7"/>
        <v>4597.7937011822924</v>
      </c>
      <c r="U9" s="18">
        <f t="shared" si="8"/>
        <v>4819.7347249325958</v>
      </c>
      <c r="V9" s="18">
        <f t="shared" si="9"/>
        <v>4803.6234717318594</v>
      </c>
      <c r="W9" s="18">
        <f t="shared" si="10"/>
        <v>4681.877320506419</v>
      </c>
      <c r="X9" s="18">
        <f t="shared" si="11"/>
        <v>4802.2251509336329</v>
      </c>
      <c r="Y9" s="18">
        <f t="shared" si="12"/>
        <v>4614.0052000940004</v>
      </c>
      <c r="Z9" s="22">
        <f t="shared" si="13"/>
        <v>4830.573454666107</v>
      </c>
      <c r="AA9" s="18">
        <f t="shared" si="0"/>
        <v>54554.246247253381</v>
      </c>
    </row>
    <row r="10" spans="1:27">
      <c r="A10" s="28" t="s">
        <v>49</v>
      </c>
      <c r="B10" s="52">
        <v>1772.6063287671232</v>
      </c>
      <c r="C10" s="22">
        <v>1601.0637808219176</v>
      </c>
      <c r="D10" s="52">
        <v>1772.6063287671232</v>
      </c>
      <c r="E10" s="52">
        <v>2533.6072976338728</v>
      </c>
      <c r="F10" s="22">
        <v>2753.0272823849332</v>
      </c>
      <c r="G10" s="22">
        <v>2664.2199506950974</v>
      </c>
      <c r="H10" s="52">
        <v>2753.0272823849332</v>
      </c>
      <c r="I10" s="22">
        <v>2753.0272823849332</v>
      </c>
      <c r="J10" s="22">
        <v>2664.2199506950974</v>
      </c>
      <c r="K10" s="22">
        <v>2753.0272823849332</v>
      </c>
      <c r="L10" s="22">
        <v>2664.2199506950974</v>
      </c>
      <c r="M10" s="22">
        <v>2828.0272823849341</v>
      </c>
      <c r="N10" s="12">
        <f t="shared" si="1"/>
        <v>29512.679999999997</v>
      </c>
      <c r="O10" s="18">
        <f t="shared" si="2"/>
        <v>1833.9899731690928</v>
      </c>
      <c r="P10" s="18">
        <f t="shared" si="3"/>
        <v>1666.8545290848986</v>
      </c>
      <c r="Q10" s="18">
        <f t="shared" si="4"/>
        <v>1911.5574390086629</v>
      </c>
      <c r="R10" s="18">
        <f t="shared" si="5"/>
        <v>2846.2061152744677</v>
      </c>
      <c r="S10" s="18">
        <f t="shared" si="6"/>
        <v>3104.9063150720485</v>
      </c>
      <c r="T10" s="18">
        <f t="shared" si="7"/>
        <v>3069.1303128723462</v>
      </c>
      <c r="U10" s="18">
        <f t="shared" si="8"/>
        <v>3217.2809189960653</v>
      </c>
      <c r="V10" s="18">
        <f t="shared" si="9"/>
        <v>3206.5262964987514</v>
      </c>
      <c r="W10" s="18">
        <f t="shared" si="10"/>
        <v>3125.2580127335509</v>
      </c>
      <c r="X10" s="18">
        <f t="shared" si="11"/>
        <v>3205.5928860354124</v>
      </c>
      <c r="Y10" s="18">
        <f t="shared" si="12"/>
        <v>3079.9518516278204</v>
      </c>
      <c r="Z10" s="22">
        <f t="shared" si="13"/>
        <v>3312.3606577630467</v>
      </c>
      <c r="AA10" s="18">
        <f t="shared" si="0"/>
        <v>33579.615308136163</v>
      </c>
    </row>
    <row r="11" spans="1:27">
      <c r="A11" s="28" t="s">
        <v>80</v>
      </c>
      <c r="B11" s="52">
        <v>1478.6065753424659</v>
      </c>
      <c r="C11" s="22">
        <v>1335.5156164383563</v>
      </c>
      <c r="D11" s="52">
        <v>1478.6065753424659</v>
      </c>
      <c r="E11" s="52">
        <v>1430.9095890410961</v>
      </c>
      <c r="F11" s="22">
        <v>1478.6065753424659</v>
      </c>
      <c r="G11" s="22">
        <v>1430.9095890410961</v>
      </c>
      <c r="H11" s="52">
        <v>1478.6065753424659</v>
      </c>
      <c r="I11" s="22">
        <v>1478.6065753424659</v>
      </c>
      <c r="J11" s="22">
        <v>1430.9095890410961</v>
      </c>
      <c r="K11" s="22">
        <v>1478.6065753424659</v>
      </c>
      <c r="L11" s="22">
        <v>1430.9095890410961</v>
      </c>
      <c r="M11" s="22">
        <v>1478.6065753424664</v>
      </c>
      <c r="N11" s="12">
        <f t="shared" si="1"/>
        <v>17409.400000000001</v>
      </c>
      <c r="O11" s="18">
        <f t="shared" si="2"/>
        <v>1529.8092923576774</v>
      </c>
      <c r="P11" s="18">
        <f t="shared" si="3"/>
        <v>1390.3944868336819</v>
      </c>
      <c r="Q11" s="18">
        <f t="shared" si="4"/>
        <v>1594.511625392227</v>
      </c>
      <c r="R11" s="18">
        <f t="shared" si="5"/>
        <v>1607.4565409316153</v>
      </c>
      <c r="S11" s="18">
        <f t="shared" si="6"/>
        <v>1667.5951316075495</v>
      </c>
      <c r="T11" s="18">
        <f t="shared" si="7"/>
        <v>1648.3804175251951</v>
      </c>
      <c r="U11" s="18">
        <f t="shared" si="8"/>
        <v>1727.9497199280893</v>
      </c>
      <c r="V11" s="18">
        <f t="shared" si="9"/>
        <v>1722.1735855462755</v>
      </c>
      <c r="W11" s="18">
        <f t="shared" si="10"/>
        <v>1678.5257003578922</v>
      </c>
      <c r="X11" s="18">
        <f t="shared" si="11"/>
        <v>1721.6722658327308</v>
      </c>
      <c r="Y11" s="18">
        <f t="shared" si="12"/>
        <v>1654.1924915505954</v>
      </c>
      <c r="Z11" s="22">
        <f t="shared" si="13"/>
        <v>1731.8355727968169</v>
      </c>
      <c r="AA11" s="18">
        <f t="shared" si="0"/>
        <v>19674.496830660344</v>
      </c>
    </row>
    <row r="12" spans="1:27">
      <c r="A12" s="28" t="s">
        <v>37</v>
      </c>
      <c r="B12" s="52">
        <v>3213.4771270718234</v>
      </c>
      <c r="C12" s="22">
        <v>2902.49546961326</v>
      </c>
      <c r="D12" s="52">
        <v>3213.4771270718234</v>
      </c>
      <c r="E12" s="52">
        <v>3109.8165745856354</v>
      </c>
      <c r="F12" s="22">
        <v>3213.4771270718234</v>
      </c>
      <c r="G12" s="22">
        <v>3109.8165745856354</v>
      </c>
      <c r="H12" s="52">
        <v>3161.0834782608699</v>
      </c>
      <c r="I12" s="22">
        <v>3161.0834782608699</v>
      </c>
      <c r="J12" s="22">
        <v>3059.1130434782613</v>
      </c>
      <c r="K12" s="22">
        <v>3161.0834782608699</v>
      </c>
      <c r="L12" s="22">
        <v>3059.1130434782613</v>
      </c>
      <c r="M12" s="22">
        <v>3161.083478260869</v>
      </c>
      <c r="N12" s="12">
        <f t="shared" si="1"/>
        <v>37525.119999999995</v>
      </c>
      <c r="O12" s="18">
        <f t="shared" si="2"/>
        <v>3324.7567349920059</v>
      </c>
      <c r="P12" s="18">
        <f t="shared" si="3"/>
        <v>3021.7645150211447</v>
      </c>
      <c r="Q12" s="18">
        <f t="shared" si="4"/>
        <v>3465.3752543074306</v>
      </c>
      <c r="R12" s="18">
        <f t="shared" si="5"/>
        <v>3493.5086271000318</v>
      </c>
      <c r="S12" s="18">
        <f t="shared" si="6"/>
        <v>3624.2086989204818</v>
      </c>
      <c r="T12" s="18">
        <f t="shared" si="7"/>
        <v>3582.4490819699281</v>
      </c>
      <c r="U12" s="18">
        <f t="shared" si="8"/>
        <v>3694.1492091397336</v>
      </c>
      <c r="V12" s="18">
        <f t="shared" si="9"/>
        <v>3681.800526760625</v>
      </c>
      <c r="W12" s="18">
        <f t="shared" si="10"/>
        <v>3588.4865844104979</v>
      </c>
      <c r="X12" s="18">
        <f t="shared" si="11"/>
        <v>3680.7287653534731</v>
      </c>
      <c r="Y12" s="18">
        <f t="shared" si="12"/>
        <v>3536.4651030938721</v>
      </c>
      <c r="Z12" s="22">
        <f t="shared" si="13"/>
        <v>3702.456696409929</v>
      </c>
      <c r="AA12" s="18">
        <f t="shared" si="0"/>
        <v>42396.149797479149</v>
      </c>
    </row>
    <row r="13" spans="1:27">
      <c r="A13" s="28" t="s">
        <v>55</v>
      </c>
      <c r="B13" s="52">
        <v>1515.3998895027623</v>
      </c>
      <c r="C13" s="22">
        <v>1368.7482872928176</v>
      </c>
      <c r="D13" s="52">
        <v>1515.3998895027623</v>
      </c>
      <c r="E13" s="52">
        <v>1466.5160220994476</v>
      </c>
      <c r="F13" s="22">
        <v>1515.3998895027623</v>
      </c>
      <c r="G13" s="22">
        <v>1466.5160220994476</v>
      </c>
      <c r="H13" s="52">
        <v>1490.6922826086955</v>
      </c>
      <c r="I13" s="22">
        <v>1490.6922826086955</v>
      </c>
      <c r="J13" s="22">
        <v>1442.6054347826087</v>
      </c>
      <c r="K13" s="22">
        <v>1490.6922826086955</v>
      </c>
      <c r="L13" s="22">
        <v>1442.6054347826087</v>
      </c>
      <c r="M13" s="22">
        <v>1490.6922826086957</v>
      </c>
      <c r="N13" s="12">
        <f t="shared" si="1"/>
        <v>17695.96</v>
      </c>
      <c r="O13" s="18">
        <f t="shared" si="2"/>
        <v>1567.876723436171</v>
      </c>
      <c r="P13" s="18">
        <f t="shared" si="3"/>
        <v>1424.9927511819699</v>
      </c>
      <c r="Q13" s="18">
        <f t="shared" si="4"/>
        <v>1634.1890948040702</v>
      </c>
      <c r="R13" s="18">
        <f t="shared" si="5"/>
        <v>1647.456128716366</v>
      </c>
      <c r="S13" s="18">
        <f t="shared" si="6"/>
        <v>1709.0911945850908</v>
      </c>
      <c r="T13" s="18">
        <f t="shared" si="7"/>
        <v>1689.3983458700884</v>
      </c>
      <c r="U13" s="18">
        <f t="shared" si="8"/>
        <v>1742.0734867461674</v>
      </c>
      <c r="V13" s="18">
        <f t="shared" si="9"/>
        <v>1736.250139893888</v>
      </c>
      <c r="W13" s="18">
        <f t="shared" si="10"/>
        <v>1692.2454893752447</v>
      </c>
      <c r="X13" s="18">
        <f t="shared" si="11"/>
        <v>1735.7447225363817</v>
      </c>
      <c r="Y13" s="18">
        <f t="shared" si="12"/>
        <v>1667.7133878784405</v>
      </c>
      <c r="Z13" s="22">
        <f t="shared" si="13"/>
        <v>1745.9911014648922</v>
      </c>
      <c r="AA13" s="18">
        <f t="shared" si="0"/>
        <v>19993.022566488773</v>
      </c>
    </row>
    <row r="14" spans="1:27">
      <c r="A14" s="28" t="s">
        <v>58</v>
      </c>
      <c r="B14" s="52">
        <v>858.17248618784527</v>
      </c>
      <c r="C14" s="22">
        <v>775.12353591160218</v>
      </c>
      <c r="D14" s="52">
        <v>858.17248618784527</v>
      </c>
      <c r="E14" s="52">
        <v>830.4895027624309</v>
      </c>
      <c r="F14" s="22">
        <v>858.17248618784527</v>
      </c>
      <c r="G14" s="22">
        <v>830.4895027624309</v>
      </c>
      <c r="H14" s="52">
        <v>844.18054347826092</v>
      </c>
      <c r="I14" s="22">
        <v>844.18054347826092</v>
      </c>
      <c r="J14" s="22">
        <v>816.94891304347823</v>
      </c>
      <c r="K14" s="22">
        <v>844.18054347826092</v>
      </c>
      <c r="L14" s="22">
        <v>816.94891304347823</v>
      </c>
      <c r="M14" s="22">
        <v>844.18054347826092</v>
      </c>
      <c r="N14" s="12">
        <f t="shared" si="1"/>
        <v>10021.240000000002</v>
      </c>
      <c r="O14" s="18">
        <f t="shared" si="2"/>
        <v>887.89017018390041</v>
      </c>
      <c r="P14" s="18">
        <f t="shared" si="3"/>
        <v>806.97483255244731</v>
      </c>
      <c r="Q14" s="18">
        <f t="shared" si="4"/>
        <v>925.44293298664445</v>
      </c>
      <c r="R14" s="18">
        <f t="shared" si="5"/>
        <v>932.95606767519791</v>
      </c>
      <c r="S14" s="18">
        <f t="shared" si="6"/>
        <v>967.86006765521029</v>
      </c>
      <c r="T14" s="18">
        <f t="shared" si="7"/>
        <v>956.70798756140732</v>
      </c>
      <c r="U14" s="18">
        <f t="shared" si="8"/>
        <v>986.53797297915264</v>
      </c>
      <c r="V14" s="18">
        <f t="shared" si="9"/>
        <v>983.24020578201066</v>
      </c>
      <c r="W14" s="18">
        <f t="shared" si="10"/>
        <v>958.32032780062661</v>
      </c>
      <c r="X14" s="18">
        <f t="shared" si="11"/>
        <v>982.95398742258089</v>
      </c>
      <c r="Y14" s="18">
        <f t="shared" si="12"/>
        <v>944.42777397456496</v>
      </c>
      <c r="Z14" s="22">
        <f t="shared" si="13"/>
        <v>988.75652214652598</v>
      </c>
      <c r="AA14" s="18">
        <f t="shared" si="0"/>
        <v>11322.06884872027</v>
      </c>
    </row>
    <row r="15" spans="1:27">
      <c r="A15" s="28" t="s">
        <v>36</v>
      </c>
      <c r="B15" s="52">
        <v>3526.5788397790056</v>
      </c>
      <c r="C15" s="22">
        <v>3185.2970165745855</v>
      </c>
      <c r="D15" s="52">
        <v>3526.5788397790056</v>
      </c>
      <c r="E15" s="52">
        <v>3412.8182320441988</v>
      </c>
      <c r="F15" s="22">
        <v>3526.5788397790056</v>
      </c>
      <c r="G15" s="22">
        <v>3412.8182320441988</v>
      </c>
      <c r="H15" s="52">
        <v>3469.0802717391302</v>
      </c>
      <c r="I15" s="22">
        <v>3469.0802717391302</v>
      </c>
      <c r="J15" s="22">
        <v>3357.1744565217386</v>
      </c>
      <c r="K15" s="22">
        <v>3469.0802717391302</v>
      </c>
      <c r="L15" s="22">
        <v>3357.1744565217386</v>
      </c>
      <c r="M15" s="22">
        <v>3469.0802717391307</v>
      </c>
      <c r="N15" s="12">
        <f t="shared" si="1"/>
        <v>41181.339999999997</v>
      </c>
      <c r="O15" s="18">
        <f t="shared" si="2"/>
        <v>3648.7008574788219</v>
      </c>
      <c r="P15" s="18">
        <f t="shared" si="3"/>
        <v>3316.1869140730487</v>
      </c>
      <c r="Q15" s="18">
        <f t="shared" si="4"/>
        <v>3803.020392079246</v>
      </c>
      <c r="R15" s="18">
        <f t="shared" si="5"/>
        <v>3833.8949100106706</v>
      </c>
      <c r="S15" s="18">
        <f t="shared" si="6"/>
        <v>3977.3296037748046</v>
      </c>
      <c r="T15" s="18">
        <f t="shared" si="7"/>
        <v>3931.5011831352294</v>
      </c>
      <c r="U15" s="18">
        <f t="shared" si="8"/>
        <v>4054.0846929287486</v>
      </c>
      <c r="V15" s="18">
        <f t="shared" si="9"/>
        <v>4040.5328298672562</v>
      </c>
      <c r="W15" s="18">
        <f t="shared" si="10"/>
        <v>3938.1269431795922</v>
      </c>
      <c r="X15" s="18">
        <f t="shared" si="11"/>
        <v>4039.3566425317645</v>
      </c>
      <c r="Y15" s="18">
        <f t="shared" si="12"/>
        <v>3881.0368043764752</v>
      </c>
      <c r="Z15" s="22">
        <f t="shared" si="13"/>
        <v>4063.2016113508525</v>
      </c>
      <c r="AA15" s="18">
        <f t="shared" si="0"/>
        <v>46526.973384786514</v>
      </c>
    </row>
    <row r="16" spans="1:27">
      <c r="A16" s="28" t="s">
        <v>79</v>
      </c>
      <c r="B16" s="52">
        <v>3253.9893150684929</v>
      </c>
      <c r="C16" s="22">
        <v>2939.0871232876711</v>
      </c>
      <c r="D16" s="52">
        <v>3253.9893150684929</v>
      </c>
      <c r="E16" s="52">
        <v>3149.0219178082189</v>
      </c>
      <c r="F16" s="22">
        <v>3253.9893150684929</v>
      </c>
      <c r="G16" s="22">
        <v>3149.0219178082189</v>
      </c>
      <c r="H16" s="52">
        <v>3253.9893150684929</v>
      </c>
      <c r="I16" s="22">
        <v>3253.9893150684929</v>
      </c>
      <c r="J16" s="22">
        <v>3149.0219178082189</v>
      </c>
      <c r="K16" s="22">
        <v>3253.9893150684929</v>
      </c>
      <c r="L16" s="22">
        <v>3149.0219178082189</v>
      </c>
      <c r="M16" s="22">
        <v>3253.9893150684875</v>
      </c>
      <c r="N16" s="12">
        <f t="shared" si="1"/>
        <v>38313.1</v>
      </c>
      <c r="O16" s="18">
        <f t="shared" si="2"/>
        <v>3366.6718209145015</v>
      </c>
      <c r="P16" s="18">
        <f t="shared" si="3"/>
        <v>3059.8597891660552</v>
      </c>
      <c r="Q16" s="18">
        <f t="shared" si="4"/>
        <v>3509.0631127330589</v>
      </c>
      <c r="R16" s="18">
        <f t="shared" si="5"/>
        <v>3537.5511619221261</v>
      </c>
      <c r="S16" s="18">
        <f t="shared" si="6"/>
        <v>3669.8989647427939</v>
      </c>
      <c r="T16" s="18">
        <f t="shared" si="7"/>
        <v>3627.6128858366478</v>
      </c>
      <c r="U16" s="18">
        <f t="shared" si="8"/>
        <v>3802.7221164759762</v>
      </c>
      <c r="V16" s="18">
        <f t="shared" si="9"/>
        <v>3790.0105000972462</v>
      </c>
      <c r="W16" s="18">
        <f t="shared" si="10"/>
        <v>3693.9540139454521</v>
      </c>
      <c r="X16" s="18">
        <f t="shared" si="11"/>
        <v>3788.9072390821043</v>
      </c>
      <c r="Y16" s="18">
        <f t="shared" si="12"/>
        <v>3640.4035950708871</v>
      </c>
      <c r="Z16" s="22">
        <f t="shared" si="13"/>
        <v>3811.2737649845249</v>
      </c>
      <c r="AA16" s="18">
        <f t="shared" si="0"/>
        <v>43297.928964971368</v>
      </c>
    </row>
    <row r="17" spans="1:27">
      <c r="A17" s="28" t="s">
        <v>32</v>
      </c>
      <c r="B17" s="52">
        <v>2547.7252328767122</v>
      </c>
      <c r="C17" s="22">
        <v>2301.171178082192</v>
      </c>
      <c r="D17" s="52">
        <v>2547.7252328767122</v>
      </c>
      <c r="E17" s="52">
        <v>2589.4558206724782</v>
      </c>
      <c r="F17" s="22">
        <v>2675.7710146948939</v>
      </c>
      <c r="G17" s="22">
        <v>2589.4558206724782</v>
      </c>
      <c r="H17" s="52">
        <v>2675.7710146948939</v>
      </c>
      <c r="I17" s="22">
        <v>2675.7710146948939</v>
      </c>
      <c r="J17" s="22">
        <v>2589.4558206724782</v>
      </c>
      <c r="K17" s="22">
        <v>2675.7710146948939</v>
      </c>
      <c r="L17" s="22">
        <v>2589.4558206724782</v>
      </c>
      <c r="M17" s="22">
        <v>2675.7710146948921</v>
      </c>
      <c r="N17" s="12">
        <f t="shared" si="1"/>
        <v>31133.299999999996</v>
      </c>
      <c r="O17" s="18">
        <f t="shared" si="2"/>
        <v>2635.9504959770647</v>
      </c>
      <c r="P17" s="18">
        <f t="shared" si="3"/>
        <v>2395.7306675295849</v>
      </c>
      <c r="Q17" s="18">
        <f t="shared" si="4"/>
        <v>2747.4363836006432</v>
      </c>
      <c r="R17" s="18">
        <f t="shared" si="5"/>
        <v>2908.9452808704832</v>
      </c>
      <c r="S17" s="18">
        <f t="shared" si="6"/>
        <v>3017.7755136577239</v>
      </c>
      <c r="T17" s="18">
        <f t="shared" si="7"/>
        <v>2983.0034682369833</v>
      </c>
      <c r="U17" s="18">
        <f t="shared" si="8"/>
        <v>3126.9966281347365</v>
      </c>
      <c r="V17" s="18">
        <f t="shared" si="9"/>
        <v>3116.5438050419812</v>
      </c>
      <c r="W17" s="18">
        <f t="shared" si="10"/>
        <v>3037.556095946507</v>
      </c>
      <c r="X17" s="18">
        <f t="shared" si="11"/>
        <v>3115.6365882197592</v>
      </c>
      <c r="Y17" s="18">
        <f t="shared" si="12"/>
        <v>2993.5213297640266</v>
      </c>
      <c r="Z17" s="22">
        <f t="shared" si="13"/>
        <v>3134.0286897033102</v>
      </c>
      <c r="AA17" s="18">
        <f t="shared" si="0"/>
        <v>35213.124946682801</v>
      </c>
    </row>
    <row r="18" spans="1:27">
      <c r="A18" s="40" t="s">
        <v>22</v>
      </c>
      <c r="B18" s="52">
        <v>9473.6203835616434</v>
      </c>
      <c r="C18" s="22">
        <v>8556.8184109589038</v>
      </c>
      <c r="D18" s="52">
        <v>9473.6203835616434</v>
      </c>
      <c r="E18" s="52">
        <v>9168.0197260273981</v>
      </c>
      <c r="F18" s="22">
        <v>9473.6203835616434</v>
      </c>
      <c r="G18" s="22">
        <v>9168.0197260273981</v>
      </c>
      <c r="H18" s="52">
        <v>9473.6203835616434</v>
      </c>
      <c r="I18" s="22">
        <v>9473.6203835616434</v>
      </c>
      <c r="J18" s="22">
        <v>9168.0197260273981</v>
      </c>
      <c r="K18" s="22">
        <v>9473.6203835616434</v>
      </c>
      <c r="L18" s="22">
        <v>9282.777103076578</v>
      </c>
      <c r="M18" s="22">
        <v>9592.2030065124909</v>
      </c>
      <c r="N18" s="12">
        <f t="shared" si="1"/>
        <v>111777.58000000003</v>
      </c>
      <c r="O18" s="18">
        <f t="shared" si="2"/>
        <v>9801.6827036529066</v>
      </c>
      <c r="P18" s="18">
        <f t="shared" si="3"/>
        <v>8908.4343133050552</v>
      </c>
      <c r="Q18" s="18">
        <f t="shared" si="4"/>
        <v>10216.238780517459</v>
      </c>
      <c r="R18" s="18">
        <f t="shared" si="5"/>
        <v>10299.178500766593</v>
      </c>
      <c r="S18" s="18">
        <f t="shared" si="6"/>
        <v>10684.494099903734</v>
      </c>
      <c r="T18" s="18">
        <f t="shared" si="7"/>
        <v>10561.382982970727</v>
      </c>
      <c r="U18" s="18">
        <f t="shared" si="8"/>
        <v>11071.193623421343</v>
      </c>
      <c r="V18" s="18">
        <f t="shared" si="9"/>
        <v>11034.185195804235</v>
      </c>
      <c r="W18" s="18">
        <f t="shared" si="10"/>
        <v>10754.52764408244</v>
      </c>
      <c r="X18" s="18">
        <f t="shared" si="11"/>
        <v>11030.973176639625</v>
      </c>
      <c r="Y18" s="18">
        <f t="shared" si="12"/>
        <v>10731.286100987929</v>
      </c>
      <c r="Z18" s="22">
        <f t="shared" si="13"/>
        <v>11234.982087320494</v>
      </c>
      <c r="AA18" s="18">
        <f t="shared" si="0"/>
        <v>126328.55920937254</v>
      </c>
    </row>
    <row r="19" spans="1:27">
      <c r="A19" s="40" t="s">
        <v>46</v>
      </c>
      <c r="B19" s="52">
        <v>2829.8753424657534</v>
      </c>
      <c r="C19" s="22">
        <v>2556.0164383561641</v>
      </c>
      <c r="D19" s="52">
        <v>2829.8753424657534</v>
      </c>
      <c r="E19" s="52">
        <v>2738.5890410958905</v>
      </c>
      <c r="F19" s="22">
        <v>2829.8753424657534</v>
      </c>
      <c r="G19" s="22">
        <v>2738.5890410958905</v>
      </c>
      <c r="H19" s="52">
        <v>2829.8753424657534</v>
      </c>
      <c r="I19" s="22">
        <v>2829.8753424657534</v>
      </c>
      <c r="J19" s="22">
        <v>2738.5890410958905</v>
      </c>
      <c r="K19" s="22">
        <v>2829.8753424657534</v>
      </c>
      <c r="L19" s="22">
        <v>2738.5890410958905</v>
      </c>
      <c r="M19" s="22">
        <v>2829.8753424657552</v>
      </c>
      <c r="N19" s="12">
        <f t="shared" si="1"/>
        <v>33319.5</v>
      </c>
      <c r="O19" s="18">
        <f t="shared" si="2"/>
        <v>2927.871191236437</v>
      </c>
      <c r="P19" s="18">
        <f t="shared" si="3"/>
        <v>2661.048003035995</v>
      </c>
      <c r="Q19" s="18">
        <f t="shared" si="4"/>
        <v>3051.7036831973705</v>
      </c>
      <c r="R19" s="18">
        <f t="shared" si="5"/>
        <v>3076.4786963118172</v>
      </c>
      <c r="S19" s="18">
        <f t="shared" si="6"/>
        <v>3191.57673369546</v>
      </c>
      <c r="T19" s="18">
        <f t="shared" si="7"/>
        <v>3154.802079435864</v>
      </c>
      <c r="U19" s="18">
        <f t="shared" si="8"/>
        <v>3307.0881646204903</v>
      </c>
      <c r="V19" s="18">
        <f t="shared" si="9"/>
        <v>3296.0333373699909</v>
      </c>
      <c r="W19" s="18">
        <f t="shared" si="10"/>
        <v>3212.4965290633099</v>
      </c>
      <c r="X19" s="18">
        <f t="shared" si="11"/>
        <v>3295.0738716678156</v>
      </c>
      <c r="Y19" s="18">
        <f t="shared" si="12"/>
        <v>3165.9256908463276</v>
      </c>
      <c r="Z19" s="22">
        <f t="shared" si="13"/>
        <v>3314.5252201571311</v>
      </c>
      <c r="AA19" s="18">
        <f t="shared" si="0"/>
        <v>37654.623200638016</v>
      </c>
    </row>
    <row r="20" spans="1:27">
      <c r="A20" s="40" t="s">
        <v>16</v>
      </c>
      <c r="B20" s="52">
        <v>13724.24016438356</v>
      </c>
      <c r="C20" s="22">
        <v>12396.087890410958</v>
      </c>
      <c r="D20" s="52">
        <v>13724.24016438356</v>
      </c>
      <c r="E20" s="52">
        <v>13281.522739726026</v>
      </c>
      <c r="F20" s="22">
        <v>13724.24016438356</v>
      </c>
      <c r="G20" s="22">
        <v>13281.522739726026</v>
      </c>
      <c r="H20" s="52">
        <v>13724.24016438356</v>
      </c>
      <c r="I20" s="22">
        <v>13724.24016438356</v>
      </c>
      <c r="J20" s="22">
        <v>13281.522739726026</v>
      </c>
      <c r="K20" s="22">
        <v>13724.24016438356</v>
      </c>
      <c r="L20" s="22">
        <v>13281.522739726026</v>
      </c>
      <c r="M20" s="22">
        <v>13724.240164383547</v>
      </c>
      <c r="N20" s="12">
        <f t="shared" si="1"/>
        <v>161591.85999999999</v>
      </c>
      <c r="O20" s="18">
        <f t="shared" si="2"/>
        <v>14199.497340365597</v>
      </c>
      <c r="P20" s="18">
        <f t="shared" si="3"/>
        <v>12905.466659459838</v>
      </c>
      <c r="Q20" s="18">
        <f t="shared" si="4"/>
        <v>14800.056253446593</v>
      </c>
      <c r="R20" s="18">
        <f t="shared" si="5"/>
        <v>14920.209330494205</v>
      </c>
      <c r="S20" s="18">
        <f t="shared" si="6"/>
        <v>15478.408161304162</v>
      </c>
      <c r="T20" s="18">
        <f t="shared" si="7"/>
        <v>15300.059603172585</v>
      </c>
      <c r="U20" s="18">
        <f t="shared" si="8"/>
        <v>16038.611855070189</v>
      </c>
      <c r="V20" s="18">
        <f t="shared" si="9"/>
        <v>15984.998502607312</v>
      </c>
      <c r="W20" s="18">
        <f t="shared" si="10"/>
        <v>15579.864324941378</v>
      </c>
      <c r="X20" s="18">
        <f t="shared" si="11"/>
        <v>15980.345316112292</v>
      </c>
      <c r="Y20" s="18">
        <f t="shared" si="12"/>
        <v>15354.006542884588</v>
      </c>
      <c r="Z20" s="22">
        <f t="shared" si="13"/>
        <v>16074.679852401729</v>
      </c>
      <c r="AA20" s="18">
        <f t="shared" si="0"/>
        <v>182616.20374226049</v>
      </c>
    </row>
    <row r="21" spans="1:27">
      <c r="A21" s="40" t="s">
        <v>83</v>
      </c>
      <c r="B21" s="89">
        <v>2557.2868219178085</v>
      </c>
      <c r="C21" s="52">
        <v>2309.8074520547948</v>
      </c>
      <c r="D21" s="52">
        <v>2557.2868219178085</v>
      </c>
      <c r="E21" s="52">
        <v>2474.793698630137</v>
      </c>
      <c r="F21" s="52">
        <v>2557.2868219178085</v>
      </c>
      <c r="G21" s="52">
        <v>2597.457250032006</v>
      </c>
      <c r="H21" s="52">
        <v>2684.0391583664068</v>
      </c>
      <c r="I21" s="52">
        <v>2696.7025570592173</v>
      </c>
      <c r="J21" s="52">
        <v>2609.7121519927905</v>
      </c>
      <c r="K21" s="52">
        <v>2696.7025570592173</v>
      </c>
      <c r="L21" s="52">
        <v>2609.7121519927905</v>
      </c>
      <c r="M21" s="52">
        <v>2696.7025570592173</v>
      </c>
      <c r="N21" s="12">
        <f t="shared" si="1"/>
        <v>31047.489999999998</v>
      </c>
      <c r="O21" s="18">
        <f t="shared" si="2"/>
        <v>2645.8431936078637</v>
      </c>
      <c r="P21" s="18">
        <f t="shared" si="3"/>
        <v>2404.7218223843033</v>
      </c>
      <c r="Q21" s="18">
        <f t="shared" si="4"/>
        <v>2757.7474867280721</v>
      </c>
      <c r="R21" s="18">
        <f t="shared" si="5"/>
        <v>2780.1360398914107</v>
      </c>
      <c r="S21" s="18">
        <f t="shared" si="6"/>
        <v>2884.1472271733664</v>
      </c>
      <c r="T21" s="18">
        <f t="shared" si="7"/>
        <v>2992.2209614800718</v>
      </c>
      <c r="U21" s="18">
        <f t="shared" si="8"/>
        <v>3136.6590608465663</v>
      </c>
      <c r="V21" s="18">
        <f t="shared" si="9"/>
        <v>3140.9233458648882</v>
      </c>
      <c r="W21" s="18">
        <f t="shared" si="10"/>
        <v>3061.3177458624136</v>
      </c>
      <c r="X21" s="18">
        <f t="shared" si="11"/>
        <v>3140.0090322293581</v>
      </c>
      <c r="Y21" s="18">
        <f t="shared" si="12"/>
        <v>3016.9385123960028</v>
      </c>
      <c r="Z21" s="22">
        <f t="shared" si="13"/>
        <v>3158.5450081510662</v>
      </c>
      <c r="AA21" s="18">
        <f t="shared" si="0"/>
        <v>35119.209436615383</v>
      </c>
    </row>
    <row r="22" spans="1:27">
      <c r="A22" s="40" t="s">
        <v>81</v>
      </c>
      <c r="B22" s="52">
        <v>1506.8808839779006</v>
      </c>
      <c r="C22" s="22">
        <v>1361.0537016574585</v>
      </c>
      <c r="D22" s="52">
        <v>1506.8808839779006</v>
      </c>
      <c r="E22" s="52">
        <v>1458.2718232044199</v>
      </c>
      <c r="F22" s="22">
        <v>1506.8808839779006</v>
      </c>
      <c r="G22" s="22">
        <v>1458.2718232044199</v>
      </c>
      <c r="H22" s="52">
        <v>1482.3121739130436</v>
      </c>
      <c r="I22" s="22">
        <v>1482.3121739130436</v>
      </c>
      <c r="J22" s="22">
        <v>1434.4956521739132</v>
      </c>
      <c r="K22" s="22">
        <v>1482.3121739130436</v>
      </c>
      <c r="L22" s="22">
        <v>1434.4956521739132</v>
      </c>
      <c r="M22" s="22">
        <f>1482.31217391304-0.83</f>
        <v>1481.48217391304</v>
      </c>
      <c r="N22" s="12">
        <f t="shared" si="1"/>
        <v>17595.649999999998</v>
      </c>
      <c r="O22" s="18">
        <f t="shared" si="2"/>
        <v>1559.0627129813877</v>
      </c>
      <c r="P22" s="18">
        <f t="shared" si="3"/>
        <v>1416.9819804248264</v>
      </c>
      <c r="Q22" s="18">
        <f t="shared" si="4"/>
        <v>1625.0023012562149</v>
      </c>
      <c r="R22" s="18">
        <f t="shared" si="5"/>
        <v>1638.1947529173303</v>
      </c>
      <c r="S22" s="18">
        <f t="shared" si="6"/>
        <v>1699.4833297369942</v>
      </c>
      <c r="T22" s="18">
        <f t="shared" si="7"/>
        <v>1679.9011867757438</v>
      </c>
      <c r="U22" s="18">
        <f t="shared" si="8"/>
        <v>1732.2802079152082</v>
      </c>
      <c r="V22" s="18">
        <f t="shared" si="9"/>
        <v>1726.4895977183496</v>
      </c>
      <c r="W22" s="18">
        <f t="shared" si="10"/>
        <v>1682.7323247160205</v>
      </c>
      <c r="X22" s="18">
        <f t="shared" si="11"/>
        <v>1725.9870216262354</v>
      </c>
      <c r="Y22" s="18">
        <f t="shared" si="12"/>
        <v>1658.3381334234043</v>
      </c>
      <c r="Z22" s="22">
        <f t="shared" si="13"/>
        <v>1735.2036518928062</v>
      </c>
      <c r="AA22" s="18">
        <f t="shared" si="0"/>
        <v>19879.657201384522</v>
      </c>
    </row>
    <row r="23" spans="1:27">
      <c r="A23" s="40" t="s">
        <v>45</v>
      </c>
      <c r="B23" s="52">
        <v>275.82271232876718</v>
      </c>
      <c r="C23" s="22">
        <v>249.13019178082195</v>
      </c>
      <c r="D23" s="52">
        <v>275.82271232876718</v>
      </c>
      <c r="E23" s="52">
        <v>266.92520547945207</v>
      </c>
      <c r="F23" s="22">
        <v>275.82271232876718</v>
      </c>
      <c r="G23" s="22">
        <v>266.92520547945207</v>
      </c>
      <c r="H23" s="52">
        <v>275.82271232876718</v>
      </c>
      <c r="I23" s="22">
        <v>275.82271232876718</v>
      </c>
      <c r="J23" s="22">
        <v>266.92520547945207</v>
      </c>
      <c r="K23" s="22">
        <v>275.82271232876718</v>
      </c>
      <c r="L23" s="22">
        <v>266.92520547945207</v>
      </c>
      <c r="M23" s="22">
        <v>275.82271232876701</v>
      </c>
      <c r="N23" s="12">
        <f t="shared" si="1"/>
        <v>3247.59</v>
      </c>
      <c r="O23" s="18">
        <f t="shared" si="2"/>
        <v>285.37418634575977</v>
      </c>
      <c r="P23" s="18">
        <f t="shared" si="3"/>
        <v>259.36742400635268</v>
      </c>
      <c r="Q23" s="18">
        <f t="shared" si="4"/>
        <v>297.44391015816416</v>
      </c>
      <c r="R23" s="18">
        <f t="shared" si="5"/>
        <v>299.8586848348653</v>
      </c>
      <c r="S23" s="18">
        <f t="shared" si="6"/>
        <v>311.07707752463398</v>
      </c>
      <c r="T23" s="18">
        <f t="shared" si="7"/>
        <v>307.49272003346744</v>
      </c>
      <c r="U23" s="18">
        <f t="shared" si="8"/>
        <v>322.33576291780668</v>
      </c>
      <c r="V23" s="18">
        <f t="shared" si="9"/>
        <v>321.25826936506883</v>
      </c>
      <c r="W23" s="18">
        <f t="shared" si="10"/>
        <v>313.11609126249539</v>
      </c>
      <c r="X23" s="18">
        <f t="shared" si="11"/>
        <v>321.1647520187783</v>
      </c>
      <c r="Y23" s="18">
        <f t="shared" si="12"/>
        <v>308.57691785097694</v>
      </c>
      <c r="Z23" s="22">
        <f t="shared" si="13"/>
        <v>323.06063895706978</v>
      </c>
      <c r="AA23" s="18">
        <f t="shared" si="0"/>
        <v>3670.1264352754397</v>
      </c>
    </row>
    <row r="24" spans="1:27">
      <c r="A24" s="40" t="s">
        <v>29</v>
      </c>
      <c r="B24" s="52">
        <v>899.83147945205485</v>
      </c>
      <c r="C24" s="22">
        <v>812.75101369863023</v>
      </c>
      <c r="D24" s="52">
        <v>899.83147945205485</v>
      </c>
      <c r="E24" s="52">
        <v>870.80465753424664</v>
      </c>
      <c r="F24" s="22">
        <v>899.83147945205485</v>
      </c>
      <c r="G24" s="22">
        <v>870.80465753424664</v>
      </c>
      <c r="H24" s="52">
        <v>899.83147945205485</v>
      </c>
      <c r="I24" s="22">
        <v>899.83147945205485</v>
      </c>
      <c r="J24" s="22">
        <v>870.80465753424664</v>
      </c>
      <c r="K24" s="22">
        <v>899.83147945205485</v>
      </c>
      <c r="L24" s="22">
        <v>870.80465753424664</v>
      </c>
      <c r="M24" s="22">
        <v>899.83147945205383</v>
      </c>
      <c r="N24" s="12">
        <f t="shared" si="1"/>
        <v>10594.79</v>
      </c>
      <c r="O24" s="18">
        <f t="shared" si="2"/>
        <v>930.99177413226164</v>
      </c>
      <c r="P24" s="18">
        <f t="shared" si="3"/>
        <v>846.14849478790904</v>
      </c>
      <c r="Q24" s="18">
        <f t="shared" si="4"/>
        <v>970.36749248045953</v>
      </c>
      <c r="R24" s="18">
        <f t="shared" si="5"/>
        <v>978.24534362452857</v>
      </c>
      <c r="S24" s="18">
        <f t="shared" si="6"/>
        <v>1014.8437180146558</v>
      </c>
      <c r="T24" s="18">
        <f t="shared" si="7"/>
        <v>1003.1502730589084</v>
      </c>
      <c r="U24" s="18">
        <f t="shared" si="8"/>
        <v>1051.5735414889036</v>
      </c>
      <c r="V24" s="18">
        <f t="shared" si="9"/>
        <v>1048.0583754988584</v>
      </c>
      <c r="W24" s="18">
        <f t="shared" si="10"/>
        <v>1021.495703751697</v>
      </c>
      <c r="X24" s="18">
        <f t="shared" si="11"/>
        <v>1047.7532887590587</v>
      </c>
      <c r="Y24" s="18">
        <f t="shared" si="12"/>
        <v>1006.6873107376091</v>
      </c>
      <c r="Z24" s="22">
        <f t="shared" si="13"/>
        <v>1053.9383441308696</v>
      </c>
      <c r="AA24" s="18">
        <f t="shared" si="0"/>
        <v>11973.253660465718</v>
      </c>
    </row>
    <row r="25" spans="1:27">
      <c r="A25" s="40" t="s">
        <v>30</v>
      </c>
      <c r="B25" s="52">
        <v>2978.6246666666698</v>
      </c>
      <c r="C25" s="102">
        <f>2690.37-39.09</f>
        <v>2651.2799999999997</v>
      </c>
      <c r="D25" s="52">
        <v>2978.6246666666671</v>
      </c>
      <c r="E25" s="52">
        <v>2850.8637362637364</v>
      </c>
      <c r="F25" s="22">
        <v>2945.8925274725279</v>
      </c>
      <c r="G25" s="22">
        <v>2850.8637362637364</v>
      </c>
      <c r="H25" s="52">
        <f>2913.87195652174-36.57</f>
        <v>2877.3019565217396</v>
      </c>
      <c r="I25" s="22">
        <v>2913.8719565217393</v>
      </c>
      <c r="J25" s="22">
        <v>2819.8760869565222</v>
      </c>
      <c r="K25" s="22">
        <v>2913.8719565217393</v>
      </c>
      <c r="L25" s="22">
        <v>2819.8760869565222</v>
      </c>
      <c r="M25" s="22">
        <f>2913.87195652174-36.57</f>
        <v>2877.3019565217396</v>
      </c>
      <c r="N25" s="12">
        <f t="shared" si="1"/>
        <v>34478.24933333334</v>
      </c>
      <c r="O25" s="18">
        <f t="shared" si="2"/>
        <v>3081.7715608068761</v>
      </c>
      <c r="P25" s="18">
        <f t="shared" si="3"/>
        <v>2760.2261251600676</v>
      </c>
      <c r="Q25" s="18">
        <f t="shared" si="4"/>
        <v>3212.1131732286585</v>
      </c>
      <c r="R25" s="18">
        <f t="shared" si="5"/>
        <v>3202.6059474749054</v>
      </c>
      <c r="S25" s="18">
        <f t="shared" si="6"/>
        <v>3322.4226910491257</v>
      </c>
      <c r="T25" s="18">
        <f t="shared" si="7"/>
        <v>3284.1403760799662</v>
      </c>
      <c r="U25" s="18">
        <f t="shared" si="8"/>
        <v>3362.5125120039029</v>
      </c>
      <c r="V25" s="18">
        <f t="shared" si="9"/>
        <v>3393.8664948946962</v>
      </c>
      <c r="W25" s="18">
        <f t="shared" si="10"/>
        <v>3307.8501395417161</v>
      </c>
      <c r="X25" s="18">
        <f t="shared" si="11"/>
        <v>3392.8785502453825</v>
      </c>
      <c r="Y25" s="18">
        <f t="shared" si="12"/>
        <v>3259.8969815224182</v>
      </c>
      <c r="Z25" s="22">
        <f t="shared" si="13"/>
        <v>3370.0742070811448</v>
      </c>
      <c r="AA25" s="18">
        <f t="shared" si="0"/>
        <v>38950.358759088864</v>
      </c>
    </row>
    <row r="26" spans="1:27">
      <c r="A26" s="40" t="s">
        <v>51</v>
      </c>
      <c r="B26" s="52">
        <v>1818.9500547945204</v>
      </c>
      <c r="C26" s="102">
        <f>1642.92263013699-0.54</f>
        <v>1642.38263013699</v>
      </c>
      <c r="D26" s="52">
        <v>1818.9500547945204</v>
      </c>
      <c r="E26" s="52">
        <v>1723.7</v>
      </c>
      <c r="F26" s="22">
        <v>1818.9500547945204</v>
      </c>
      <c r="G26" s="22">
        <v>1760.2742465753424</v>
      </c>
      <c r="H26" s="52">
        <v>1818.9500547945204</v>
      </c>
      <c r="I26" s="22">
        <v>1818.9500547945204</v>
      </c>
      <c r="J26" s="22">
        <v>1760.2742465753424</v>
      </c>
      <c r="K26" s="22">
        <v>1818.9500547945204</v>
      </c>
      <c r="L26" s="22">
        <v>1760.2742465753424</v>
      </c>
      <c r="M26" s="22">
        <v>1818.9500547945208</v>
      </c>
      <c r="N26" s="12">
        <f t="shared" si="1"/>
        <v>21379.555753424662</v>
      </c>
      <c r="O26" s="18">
        <f t="shared" si="2"/>
        <v>1881.9385376496543</v>
      </c>
      <c r="P26" s="18">
        <f t="shared" si="3"/>
        <v>1709.8712483076947</v>
      </c>
      <c r="Q26" s="18">
        <f t="shared" si="4"/>
        <v>1961.5339582173387</v>
      </c>
      <c r="R26" s="18">
        <f t="shared" si="5"/>
        <v>1936.3717042812048</v>
      </c>
      <c r="S26" s="18">
        <f t="shared" si="6"/>
        <v>2051.4397180399928</v>
      </c>
      <c r="T26" s="18">
        <f t="shared" si="7"/>
        <v>2027.8021894263625</v>
      </c>
      <c r="U26" s="18">
        <f t="shared" si="8"/>
        <v>2125.6866364316002</v>
      </c>
      <c r="V26" s="18">
        <f t="shared" si="9"/>
        <v>2118.580959961937</v>
      </c>
      <c r="W26" s="18">
        <f t="shared" si="10"/>
        <v>2064.8862689744537</v>
      </c>
      <c r="X26" s="18">
        <f t="shared" si="11"/>
        <v>2117.9642472165533</v>
      </c>
      <c r="Y26" s="18">
        <f t="shared" si="12"/>
        <v>2034.9520780737353</v>
      </c>
      <c r="Z26" s="22">
        <f t="shared" si="13"/>
        <v>2130.4669291790869</v>
      </c>
      <c r="AA26" s="18">
        <f t="shared" si="0"/>
        <v>24161.494475759617</v>
      </c>
    </row>
    <row r="27" spans="1:27">
      <c r="A27" s="40" t="s">
        <v>82</v>
      </c>
      <c r="B27" s="52">
        <v>383.94188888888891</v>
      </c>
      <c r="C27" s="22">
        <v>346.78622222222225</v>
      </c>
      <c r="D27" s="52">
        <v>383.94188888888891</v>
      </c>
      <c r="E27" s="52">
        <v>367.47362637362642</v>
      </c>
      <c r="F27" s="22">
        <v>379.7227472527473</v>
      </c>
      <c r="G27" s="22">
        <v>367.47362637362642</v>
      </c>
      <c r="H27" s="52">
        <v>375.59532608695656</v>
      </c>
      <c r="I27" s="22">
        <v>375.59532608695656</v>
      </c>
      <c r="J27" s="22">
        <f>363.479347826087-0.08</f>
        <v>363.39934782608702</v>
      </c>
      <c r="K27" s="22">
        <v>375.59532608695656</v>
      </c>
      <c r="L27" s="22">
        <v>363.47934782608701</v>
      </c>
      <c r="M27" s="22">
        <v>375.59532608695645</v>
      </c>
      <c r="N27" s="12">
        <f t="shared" si="1"/>
        <v>4458.6000000000004</v>
      </c>
      <c r="O27" s="18">
        <f t="shared" si="2"/>
        <v>397.23742552107944</v>
      </c>
      <c r="P27" s="18">
        <f t="shared" si="3"/>
        <v>361.03632600983025</v>
      </c>
      <c r="Q27" s="18">
        <f t="shared" si="4"/>
        <v>414.03833549610044</v>
      </c>
      <c r="R27" s="18">
        <f t="shared" si="5"/>
        <v>412.81286313134166</v>
      </c>
      <c r="S27" s="18">
        <f t="shared" si="6"/>
        <v>428.25712751389727</v>
      </c>
      <c r="T27" s="18">
        <f t="shared" si="7"/>
        <v>423.32257349479465</v>
      </c>
      <c r="U27" s="18">
        <f t="shared" si="8"/>
        <v>438.9334183556814</v>
      </c>
      <c r="V27" s="18">
        <f t="shared" si="9"/>
        <v>437.46616593516723</v>
      </c>
      <c r="W27" s="18">
        <f t="shared" si="10"/>
        <v>426.28489562932504</v>
      </c>
      <c r="X27" s="18">
        <f t="shared" si="11"/>
        <v>437.33882080873354</v>
      </c>
      <c r="Y27" s="18">
        <f t="shared" si="12"/>
        <v>420.19762297529189</v>
      </c>
      <c r="Z27" s="22">
        <f t="shared" si="13"/>
        <v>439.9205018704543</v>
      </c>
      <c r="AA27" s="18">
        <f t="shared" si="0"/>
        <v>5036.8460767416973</v>
      </c>
    </row>
    <row r="28" spans="1:27">
      <c r="A28" s="40" t="s">
        <v>84</v>
      </c>
      <c r="B28" s="52">
        <v>3778.8099726027399</v>
      </c>
      <c r="C28" s="22">
        <v>3413.1186849315072</v>
      </c>
      <c r="D28" s="52">
        <v>3778.8099726027399</v>
      </c>
      <c r="E28" s="52">
        <v>3656.9128767123289</v>
      </c>
      <c r="F28" s="22">
        <v>3778.8099726027399</v>
      </c>
      <c r="G28" s="22">
        <v>3656.9128767123289</v>
      </c>
      <c r="H28" s="52">
        <v>3778.8099726027399</v>
      </c>
      <c r="I28" s="22">
        <v>3778.8099726027399</v>
      </c>
      <c r="J28" s="22">
        <v>3656.9128767123289</v>
      </c>
      <c r="K28" s="22">
        <v>3778.8099726027399</v>
      </c>
      <c r="L28" s="22">
        <v>3656.9128767123289</v>
      </c>
      <c r="M28" s="22">
        <v>3778.8099726027431</v>
      </c>
      <c r="N28" s="12">
        <f t="shared" si="1"/>
        <v>44492.44</v>
      </c>
      <c r="O28" s="18">
        <f t="shared" si="2"/>
        <v>3909.6665107164185</v>
      </c>
      <c r="P28" s="18">
        <f t="shared" si="3"/>
        <v>3553.3702070018712</v>
      </c>
      <c r="Q28" s="18">
        <f t="shared" si="4"/>
        <v>4075.0234253946792</v>
      </c>
      <c r="R28" s="18">
        <f t="shared" si="5"/>
        <v>4108.1061782719353</v>
      </c>
      <c r="S28" s="18">
        <f t="shared" si="6"/>
        <v>4261.7997367709968</v>
      </c>
      <c r="T28" s="18">
        <f t="shared" si="7"/>
        <v>4212.6935347521849</v>
      </c>
      <c r="U28" s="18">
        <f t="shared" si="8"/>
        <v>4416.045310976674</v>
      </c>
      <c r="V28" s="18">
        <f t="shared" si="9"/>
        <v>4401.2834976795602</v>
      </c>
      <c r="W28" s="18">
        <f t="shared" si="10"/>
        <v>4289.7345119091697</v>
      </c>
      <c r="X28" s="18">
        <f t="shared" si="11"/>
        <v>4400.002296875643</v>
      </c>
      <c r="Y28" s="18">
        <f t="shared" si="12"/>
        <v>4227.5471974200927</v>
      </c>
      <c r="Z28" s="22">
        <f t="shared" si="13"/>
        <v>4425.9762147189476</v>
      </c>
      <c r="AA28" s="18">
        <f t="shared" si="0"/>
        <v>50281.248622488172</v>
      </c>
    </row>
    <row r="29" spans="1:27">
      <c r="A29" s="40" t="s">
        <v>100</v>
      </c>
      <c r="B29" s="52"/>
      <c r="C29" s="22"/>
      <c r="D29" s="52"/>
      <c r="E29" s="52"/>
      <c r="F29" s="22"/>
      <c r="G29" s="22"/>
      <c r="H29" s="52"/>
      <c r="I29" s="22"/>
      <c r="J29" s="22">
        <v>3012.2950819672133</v>
      </c>
      <c r="K29" s="22">
        <v>3112.7049180327867</v>
      </c>
      <c r="L29" s="22">
        <v>3012.2950819672133</v>
      </c>
      <c r="M29" s="22">
        <v>3162.7049180327867</v>
      </c>
      <c r="N29" s="12">
        <f t="shared" si="1"/>
        <v>12300</v>
      </c>
      <c r="O29" s="18">
        <f t="shared" si="2"/>
        <v>0</v>
      </c>
      <c r="P29" s="18">
        <f t="shared" si="3"/>
        <v>0</v>
      </c>
      <c r="Q29" s="18">
        <f t="shared" si="4"/>
        <v>0</v>
      </c>
      <c r="R29" s="18">
        <f t="shared" si="5"/>
        <v>0</v>
      </c>
      <c r="S29" s="18">
        <f t="shared" si="6"/>
        <v>0</v>
      </c>
      <c r="T29" s="18">
        <f t="shared" si="7"/>
        <v>0</v>
      </c>
      <c r="U29" s="18">
        <f t="shared" si="8"/>
        <v>0</v>
      </c>
      <c r="V29" s="18">
        <f t="shared" si="9"/>
        <v>0</v>
      </c>
      <c r="W29" s="18">
        <f t="shared" si="10"/>
        <v>3533.5668660463743</v>
      </c>
      <c r="X29" s="18">
        <f t="shared" si="11"/>
        <v>3624.3973335888622</v>
      </c>
      <c r="Y29" s="18">
        <f t="shared" si="12"/>
        <v>3482.3415435102233</v>
      </c>
      <c r="Z29" s="22">
        <f t="shared" si="13"/>
        <v>3704.3558270664421</v>
      </c>
      <c r="AA29" s="18">
        <f t="shared" si="0"/>
        <v>14344.661570211902</v>
      </c>
    </row>
    <row r="30" spans="1:27">
      <c r="A30" s="40" t="s">
        <v>40</v>
      </c>
      <c r="B30" s="52">
        <v>2985.2586666666666</v>
      </c>
      <c r="C30" s="22">
        <v>2696.3626666666664</v>
      </c>
      <c r="D30" s="52">
        <v>2985.2586666666666</v>
      </c>
      <c r="E30" s="52">
        <v>3289.0153846153844</v>
      </c>
      <c r="F30" s="22">
        <v>3398.6492307692306</v>
      </c>
      <c r="G30" s="22">
        <v>3289.0153846153844</v>
      </c>
      <c r="H30" s="52">
        <v>3361.7073913043478</v>
      </c>
      <c r="I30" s="22">
        <v>3361.7073913043478</v>
      </c>
      <c r="J30" s="22">
        <v>3253.2652173913043</v>
      </c>
      <c r="K30" s="22">
        <v>3361.7073913043478</v>
      </c>
      <c r="L30" s="22">
        <v>3253.2652173913043</v>
      </c>
      <c r="M30" s="22">
        <v>3361.7073913043473</v>
      </c>
      <c r="N30" s="12">
        <f t="shared" si="1"/>
        <v>38596.92</v>
      </c>
      <c r="O30" s="18">
        <f t="shared" si="2"/>
        <v>3088.6352898168361</v>
      </c>
      <c r="P30" s="18">
        <f t="shared" si="3"/>
        <v>2807.1613241300806</v>
      </c>
      <c r="Q30" s="18">
        <f t="shared" si="4"/>
        <v>3219.2671993903514</v>
      </c>
      <c r="R30" s="18">
        <f t="shared" si="5"/>
        <v>3694.817152471308</v>
      </c>
      <c r="S30" s="18">
        <f t="shared" si="6"/>
        <v>3833.048632263673</v>
      </c>
      <c r="T30" s="18">
        <f t="shared" si="7"/>
        <v>3788.8826760691932</v>
      </c>
      <c r="U30" s="18">
        <f t="shared" si="8"/>
        <v>3928.6051084543037</v>
      </c>
      <c r="V30" s="18">
        <f t="shared" si="9"/>
        <v>3915.4726944854206</v>
      </c>
      <c r="W30" s="18">
        <f t="shared" si="10"/>
        <v>3816.236413043478</v>
      </c>
      <c r="X30" s="18">
        <f t="shared" si="11"/>
        <v>3914.3329117910012</v>
      </c>
      <c r="Y30" s="18">
        <f t="shared" si="12"/>
        <v>3760.9132937866225</v>
      </c>
      <c r="Z30" s="22">
        <f t="shared" si="13"/>
        <v>3937.4398455156452</v>
      </c>
      <c r="AA30" s="18">
        <f t="shared" si="0"/>
        <v>43704.812541217914</v>
      </c>
    </row>
    <row r="31" spans="1:27">
      <c r="A31" s="40" t="s">
        <v>21</v>
      </c>
      <c r="B31" s="52">
        <v>4918.3071232876709</v>
      </c>
      <c r="C31" s="22">
        <v>4442.3419178082186</v>
      </c>
      <c r="D31" s="52">
        <v>4918.3071232876709</v>
      </c>
      <c r="E31" s="52">
        <v>4759.6520547945202</v>
      </c>
      <c r="F31" s="22">
        <v>4918.3071232876709</v>
      </c>
      <c r="G31" s="22">
        <v>4759.6520547945202</v>
      </c>
      <c r="H31" s="52">
        <v>4918.3071232876709</v>
      </c>
      <c r="I31" s="22">
        <v>4918.3071232876709</v>
      </c>
      <c r="J31" s="22">
        <v>4759.6520547945202</v>
      </c>
      <c r="K31" s="22">
        <v>4918.3071232876709</v>
      </c>
      <c r="L31" s="22">
        <v>4759.6520547945202</v>
      </c>
      <c r="M31" s="22">
        <v>4918.3071232876828</v>
      </c>
      <c r="N31" s="12">
        <f t="shared" si="1"/>
        <v>57909.1</v>
      </c>
      <c r="O31" s="18">
        <f t="shared" si="2"/>
        <v>5088.6233467017792</v>
      </c>
      <c r="P31" s="18">
        <f t="shared" si="3"/>
        <v>4624.886175141035</v>
      </c>
      <c r="Q31" s="18">
        <f t="shared" si="4"/>
        <v>5303.8435078751127</v>
      </c>
      <c r="R31" s="18">
        <f t="shared" si="5"/>
        <v>5346.9023386482586</v>
      </c>
      <c r="S31" s="18">
        <f t="shared" si="6"/>
        <v>5546.9420678354645</v>
      </c>
      <c r="T31" s="18">
        <f t="shared" si="7"/>
        <v>5483.0279295385399</v>
      </c>
      <c r="U31" s="18">
        <f t="shared" si="8"/>
        <v>5747.7002726278733</v>
      </c>
      <c r="V31" s="18">
        <f t="shared" si="9"/>
        <v>5728.4870462369645</v>
      </c>
      <c r="W31" s="18">
        <f t="shared" si="10"/>
        <v>5583.3005522645926</v>
      </c>
      <c r="X31" s="18">
        <f t="shared" si="11"/>
        <v>5726.8195003466044</v>
      </c>
      <c r="Y31" s="18">
        <f t="shared" si="12"/>
        <v>5502.3607024051698</v>
      </c>
      <c r="Z31" s="22">
        <f t="shared" si="13"/>
        <v>5760.6258325185445</v>
      </c>
      <c r="AA31" s="18">
        <f t="shared" si="0"/>
        <v>65443.519272139936</v>
      </c>
    </row>
    <row r="32" spans="1:27">
      <c r="A32" s="91" t="s">
        <v>93</v>
      </c>
      <c r="B32" s="52">
        <v>451.15333333333331</v>
      </c>
      <c r="C32" s="22">
        <v>407.49333333333334</v>
      </c>
      <c r="D32" s="52">
        <v>451.15333333333331</v>
      </c>
      <c r="E32" s="52"/>
      <c r="F32" s="22"/>
      <c r="G32" s="22"/>
      <c r="H32" s="52"/>
      <c r="I32" s="22"/>
      <c r="J32" s="22"/>
      <c r="K32" s="22"/>
      <c r="L32" s="22"/>
      <c r="M32" s="22">
        <v>0</v>
      </c>
      <c r="N32" s="12">
        <f t="shared" si="1"/>
        <v>1309.8</v>
      </c>
      <c r="O32" s="18">
        <f t="shared" si="2"/>
        <v>466.77633734424518</v>
      </c>
      <c r="P32" s="18">
        <f t="shared" si="3"/>
        <v>424.23800748892103</v>
      </c>
      <c r="Q32" s="18">
        <f t="shared" si="4"/>
        <v>486.51835236688197</v>
      </c>
      <c r="R32" s="18">
        <f t="shared" si="5"/>
        <v>0</v>
      </c>
      <c r="S32" s="18">
        <f t="shared" si="6"/>
        <v>0</v>
      </c>
      <c r="T32" s="18">
        <f t="shared" si="7"/>
        <v>0</v>
      </c>
      <c r="U32" s="18">
        <f t="shared" si="8"/>
        <v>0</v>
      </c>
      <c r="V32" s="18">
        <f t="shared" si="9"/>
        <v>0</v>
      </c>
      <c r="W32" s="18">
        <f t="shared" si="10"/>
        <v>0</v>
      </c>
      <c r="X32" s="18">
        <f t="shared" si="11"/>
        <v>0</v>
      </c>
      <c r="Y32" s="18">
        <f t="shared" si="12"/>
        <v>0</v>
      </c>
      <c r="Z32" s="22">
        <f t="shared" si="13"/>
        <v>0</v>
      </c>
      <c r="AA32" s="18">
        <f t="shared" si="0"/>
        <v>1377.5326972000482</v>
      </c>
    </row>
    <row r="33" spans="1:27">
      <c r="A33" s="91" t="s">
        <v>85</v>
      </c>
      <c r="B33" s="52">
        <v>4599.6967671232878</v>
      </c>
      <c r="C33" s="22">
        <v>4154.5648219178083</v>
      </c>
      <c r="D33" s="52">
        <v>4599.6967671232878</v>
      </c>
      <c r="E33" s="52">
        <v>4451.3194520547941</v>
      </c>
      <c r="F33" s="22">
        <v>4599.6967671232878</v>
      </c>
      <c r="G33" s="22">
        <v>4451.3194520547941</v>
      </c>
      <c r="H33" s="52">
        <v>4599.6967671232878</v>
      </c>
      <c r="I33" s="22">
        <v>4599.6967671232878</v>
      </c>
      <c r="J33" s="22">
        <v>4451.3194520547941</v>
      </c>
      <c r="K33" s="22">
        <v>4599.6967671232878</v>
      </c>
      <c r="L33" s="22">
        <v>4451.3194520547941</v>
      </c>
      <c r="M33" s="22">
        <v>4599.6967671232924</v>
      </c>
      <c r="N33" s="12">
        <f t="shared" si="1"/>
        <v>54157.72</v>
      </c>
      <c r="O33" s="18">
        <f t="shared" si="2"/>
        <v>4758.9798217575117</v>
      </c>
      <c r="P33" s="18">
        <f t="shared" si="3"/>
        <v>4325.2837724150295</v>
      </c>
      <c r="Q33" s="18">
        <f t="shared" si="4"/>
        <v>4960.2579149618659</v>
      </c>
      <c r="R33" s="18">
        <f t="shared" si="5"/>
        <v>5000.5273734846087</v>
      </c>
      <c r="S33" s="18">
        <f t="shared" si="6"/>
        <v>5187.6084305584809</v>
      </c>
      <c r="T33" s="18">
        <f t="shared" si="7"/>
        <v>5127.8346815980212</v>
      </c>
      <c r="U33" s="18">
        <f t="shared" si="8"/>
        <v>5375.3614200342263</v>
      </c>
      <c r="V33" s="18">
        <f t="shared" si="9"/>
        <v>5357.3928359053862</v>
      </c>
      <c r="W33" s="18">
        <f t="shared" si="10"/>
        <v>5221.6115944711828</v>
      </c>
      <c r="X33" s="18">
        <f t="shared" si="11"/>
        <v>5355.8333144585449</v>
      </c>
      <c r="Y33" s="18">
        <f t="shared" si="12"/>
        <v>5145.915067923047</v>
      </c>
      <c r="Z33" s="22">
        <f t="shared" si="13"/>
        <v>5387.4496557934044</v>
      </c>
      <c r="AA33" s="18">
        <f t="shared" si="0"/>
        <v>61204.05588336131</v>
      </c>
    </row>
    <row r="34" spans="1:27">
      <c r="A34" s="40" t="s">
        <v>86</v>
      </c>
      <c r="B34" s="52">
        <v>3549.9390958904105</v>
      </c>
      <c r="C34" s="22">
        <v>3206.3966027397259</v>
      </c>
      <c r="D34" s="52">
        <v>3549.9390958904105</v>
      </c>
      <c r="E34" s="52">
        <v>3435.4249315068491</v>
      </c>
      <c r="F34" s="22">
        <v>3549.9390958904105</v>
      </c>
      <c r="G34" s="22">
        <v>3435.4249315068491</v>
      </c>
      <c r="H34" s="52">
        <v>3549.9390958904105</v>
      </c>
      <c r="I34" s="22">
        <v>3549.9390958904105</v>
      </c>
      <c r="J34" s="22">
        <v>3435.4249315068491</v>
      </c>
      <c r="K34" s="22">
        <v>3549.9390958904105</v>
      </c>
      <c r="L34" s="22">
        <v>3435.4249315068491</v>
      </c>
      <c r="M34" s="22">
        <v>3549.9390958904114</v>
      </c>
      <c r="N34" s="12">
        <f t="shared" si="1"/>
        <v>41797.67</v>
      </c>
      <c r="O34" s="18">
        <f t="shared" si="2"/>
        <v>3672.8700566877496</v>
      </c>
      <c r="P34" s="18">
        <f t="shared" si="3"/>
        <v>3338.1535222634648</v>
      </c>
      <c r="Q34" s="18">
        <f t="shared" si="4"/>
        <v>3828.2118125442521</v>
      </c>
      <c r="R34" s="18">
        <f t="shared" si="5"/>
        <v>3859.2908450148275</v>
      </c>
      <c r="S34" s="18">
        <f t="shared" si="6"/>
        <v>4003.6756582385901</v>
      </c>
      <c r="T34" s="18">
        <f t="shared" si="7"/>
        <v>3957.5436675692617</v>
      </c>
      <c r="U34" s="18">
        <f t="shared" si="8"/>
        <v>4148.5790532784977</v>
      </c>
      <c r="V34" s="18">
        <f t="shared" si="9"/>
        <v>4134.7113175284603</v>
      </c>
      <c r="W34" s="18">
        <f t="shared" si="10"/>
        <v>4029.9185101197086</v>
      </c>
      <c r="X34" s="18">
        <f t="shared" si="11"/>
        <v>4133.5077151095811</v>
      </c>
      <c r="Y34" s="18">
        <f t="shared" si="12"/>
        <v>3971.4976896567123</v>
      </c>
      <c r="Z34" s="22">
        <f t="shared" si="13"/>
        <v>4157.9084727803547</v>
      </c>
      <c r="AA34" s="18">
        <f t="shared" si="0"/>
        <v>47235.868320791458</v>
      </c>
    </row>
    <row r="35" spans="1:27">
      <c r="A35" s="40" t="s">
        <v>88</v>
      </c>
      <c r="B35" s="52">
        <v>7861.6492602739727</v>
      </c>
      <c r="C35" s="22">
        <v>7100.8444931506856</v>
      </c>
      <c r="D35" s="52">
        <v>7976.8861883785476</v>
      </c>
      <c r="E35" s="52">
        <v>7755.5672790760145</v>
      </c>
      <c r="F35" s="22">
        <v>8014.0861883785474</v>
      </c>
      <c r="G35" s="22">
        <v>7791.5490547769496</v>
      </c>
      <c r="H35" s="52">
        <v>8051.2673566028461</v>
      </c>
      <c r="I35" s="22">
        <v>8051.2673566028461</v>
      </c>
      <c r="J35" s="22">
        <v>7791.5490547769496</v>
      </c>
      <c r="K35" s="22">
        <v>8051.2673566028461</v>
      </c>
      <c r="L35" s="22">
        <v>7791.5490547769496</v>
      </c>
      <c r="M35" s="22">
        <v>8051.2673566028334</v>
      </c>
      <c r="N35" s="12">
        <f t="shared" si="1"/>
        <v>94288.75</v>
      </c>
      <c r="O35" s="18">
        <f t="shared" si="2"/>
        <v>8133.8905779168499</v>
      </c>
      <c r="P35" s="18">
        <f t="shared" si="3"/>
        <v>7392.6316649669307</v>
      </c>
      <c r="Q35" s="18">
        <f t="shared" si="4"/>
        <v>8602.1785469568404</v>
      </c>
      <c r="R35" s="18">
        <f t="shared" si="5"/>
        <v>8712.4563612298934</v>
      </c>
      <c r="S35" s="18">
        <f t="shared" si="6"/>
        <v>9038.4090906183228</v>
      </c>
      <c r="T35" s="18">
        <f t="shared" si="7"/>
        <v>8975.7151552028627</v>
      </c>
      <c r="U35" s="18">
        <f t="shared" si="8"/>
        <v>9408.983705273864</v>
      </c>
      <c r="V35" s="18">
        <f t="shared" si="9"/>
        <v>9377.5316591574901</v>
      </c>
      <c r="W35" s="18">
        <f t="shared" si="10"/>
        <v>9139.8614099767146</v>
      </c>
      <c r="X35" s="18">
        <f t="shared" si="11"/>
        <v>9374.8018870110682</v>
      </c>
      <c r="Y35" s="18">
        <f t="shared" si="12"/>
        <v>9007.3628988658638</v>
      </c>
      <c r="Z35" s="22">
        <f t="shared" si="13"/>
        <v>9430.1428431244967</v>
      </c>
      <c r="AA35" s="18">
        <f t="shared" si="0"/>
        <v>106593.9658003012</v>
      </c>
    </row>
    <row r="36" spans="1:27">
      <c r="A36" s="40" t="s">
        <v>26</v>
      </c>
      <c r="B36" s="52">
        <v>8301.1283333333322</v>
      </c>
      <c r="C36" s="102">
        <f>7497.79-0.06</f>
        <v>7497.73</v>
      </c>
      <c r="D36" s="52">
        <v>8301.1283333333322</v>
      </c>
      <c r="E36" s="52">
        <v>7945.0714285714284</v>
      </c>
      <c r="F36" s="22">
        <v>8209.9071428571424</v>
      </c>
      <c r="G36" s="22">
        <v>8043.2022696929234</v>
      </c>
      <c r="H36" s="52">
        <v>8425.9295865501826</v>
      </c>
      <c r="I36" s="22">
        <v>8425.9295865501826</v>
      </c>
      <c r="J36" s="22">
        <f>8154.12540633889-0.86</f>
        <v>8153.26540633889</v>
      </c>
      <c r="K36" s="22">
        <f>8510.16871698496-0.06</f>
        <v>8510.1087169849598</v>
      </c>
      <c r="L36" s="22">
        <v>8235.6471454693219</v>
      </c>
      <c r="M36" s="22">
        <v>8510.1687169849647</v>
      </c>
      <c r="N36" s="12">
        <f t="shared" si="1"/>
        <v>98559.21666666666</v>
      </c>
      <c r="O36" s="18">
        <f t="shared" si="2"/>
        <v>8588.5883866339718</v>
      </c>
      <c r="P36" s="18">
        <f t="shared" si="3"/>
        <v>7805.8259502566289</v>
      </c>
      <c r="Q36" s="18">
        <f t="shared" si="4"/>
        <v>8951.8373934642495</v>
      </c>
      <c r="R36" s="18">
        <f t="shared" si="5"/>
        <v>8925.3417084056164</v>
      </c>
      <c r="S36" s="18">
        <f t="shared" si="6"/>
        <v>9259.2589608954204</v>
      </c>
      <c r="T36" s="18">
        <f t="shared" si="7"/>
        <v>9265.6148348553961</v>
      </c>
      <c r="U36" s="18">
        <f t="shared" si="8"/>
        <v>9846.8266758796108</v>
      </c>
      <c r="V36" s="18">
        <f t="shared" si="9"/>
        <v>9813.9110224561555</v>
      </c>
      <c r="W36" s="18">
        <f t="shared" si="10"/>
        <v>9564.1720701235099</v>
      </c>
      <c r="X36" s="18">
        <f t="shared" si="11"/>
        <v>9909.0714200705152</v>
      </c>
      <c r="Y36" s="18">
        <f t="shared" si="12"/>
        <v>9520.7592257627821</v>
      </c>
      <c r="Z36" s="22">
        <f t="shared" si="13"/>
        <v>9967.6365304703377</v>
      </c>
      <c r="AA36" s="18">
        <f t="shared" si="0"/>
        <v>111418.84417927418</v>
      </c>
    </row>
    <row r="37" spans="1:27">
      <c r="A37" s="40" t="s">
        <v>89</v>
      </c>
      <c r="B37" s="52">
        <v>3467.7729589041096</v>
      </c>
      <c r="C37" s="22">
        <v>3132.1820273972603</v>
      </c>
      <c r="D37" s="52">
        <v>3467.7729589041096</v>
      </c>
      <c r="E37" s="52">
        <v>3355.9093150684935</v>
      </c>
      <c r="F37" s="22">
        <v>3467.7729589041096</v>
      </c>
      <c r="G37" s="22">
        <v>3355.9093150684935</v>
      </c>
      <c r="H37" s="52">
        <v>3467.7729589041096</v>
      </c>
      <c r="I37" s="22">
        <v>3467.7729589041096</v>
      </c>
      <c r="J37" s="22">
        <v>3355.9093150684935</v>
      </c>
      <c r="K37" s="22">
        <v>3467.7729589041096</v>
      </c>
      <c r="L37" s="22">
        <v>3355.9093150684935</v>
      </c>
      <c r="M37" s="22">
        <v>3467.7729589041192</v>
      </c>
      <c r="N37" s="12">
        <f t="shared" si="1"/>
        <v>40830.230000000003</v>
      </c>
      <c r="O37" s="18">
        <f t="shared" si="2"/>
        <v>3587.8585857698258</v>
      </c>
      <c r="P37" s="18">
        <f t="shared" si="3"/>
        <v>3260.8893292216385</v>
      </c>
      <c r="Q37" s="18">
        <f t="shared" si="4"/>
        <v>3739.6048343101115</v>
      </c>
      <c r="R37" s="18">
        <f t="shared" si="5"/>
        <v>3769.9645180903572</v>
      </c>
      <c r="S37" s="18">
        <f t="shared" si="6"/>
        <v>3911.0074310669243</v>
      </c>
      <c r="T37" s="18">
        <f t="shared" si="7"/>
        <v>3865.9432016640289</v>
      </c>
      <c r="U37" s="18">
        <f t="shared" si="8"/>
        <v>4052.5569228749673</v>
      </c>
      <c r="V37" s="18">
        <f t="shared" si="9"/>
        <v>4039.0101667937492</v>
      </c>
      <c r="W37" s="18">
        <f t="shared" si="10"/>
        <v>3936.642871467358</v>
      </c>
      <c r="X37" s="18">
        <f t="shared" si="11"/>
        <v>4037.8344227010425</v>
      </c>
      <c r="Y37" s="18">
        <f t="shared" si="12"/>
        <v>3879.5742469174047</v>
      </c>
      <c r="Z37" s="22">
        <f t="shared" si="13"/>
        <v>4061.6704056128269</v>
      </c>
      <c r="AA37" s="18">
        <f t="shared" si="0"/>
        <v>46142.55693649024</v>
      </c>
    </row>
    <row r="38" spans="1:27">
      <c r="A38" s="40" t="s">
        <v>90</v>
      </c>
      <c r="B38" s="52">
        <v>1995.1183835616439</v>
      </c>
      <c r="C38" s="22">
        <v>1802.0424109589042</v>
      </c>
      <c r="D38" s="52">
        <v>1995.1183835616439</v>
      </c>
      <c r="E38" s="52">
        <v>1930.7597260273972</v>
      </c>
      <c r="F38" s="22">
        <v>1995.1183835616439</v>
      </c>
      <c r="G38" s="22">
        <v>1930.7597260273972</v>
      </c>
      <c r="H38" s="52">
        <v>1995.1183835616439</v>
      </c>
      <c r="I38" s="22">
        <v>1995.1183835616439</v>
      </c>
      <c r="J38" s="22">
        <v>1971.7441522569054</v>
      </c>
      <c r="K38" s="22">
        <v>2037.4689573321357</v>
      </c>
      <c r="L38" s="22">
        <v>1971.7441522569054</v>
      </c>
      <c r="M38" s="22">
        <v>2037.4689573321348</v>
      </c>
      <c r="N38" s="12">
        <f t="shared" si="1"/>
        <v>23657.579999999998</v>
      </c>
      <c r="O38" s="18">
        <f t="shared" si="2"/>
        <v>2064.2074054210875</v>
      </c>
      <c r="P38" s="18">
        <f t="shared" si="3"/>
        <v>1876.0917524272061</v>
      </c>
      <c r="Q38" s="18">
        <f t="shared" si="4"/>
        <v>2151.5117744461336</v>
      </c>
      <c r="R38" s="18">
        <f t="shared" si="5"/>
        <v>2168.9786512996361</v>
      </c>
      <c r="S38" s="18">
        <f t="shared" si="6"/>
        <v>2250.1250561783345</v>
      </c>
      <c r="T38" s="18">
        <f t="shared" si="7"/>
        <v>2224.1981937256178</v>
      </c>
      <c r="U38" s="18">
        <f t="shared" si="8"/>
        <v>2331.5629117233188</v>
      </c>
      <c r="V38" s="18">
        <f t="shared" si="9"/>
        <v>2323.769038705806</v>
      </c>
      <c r="W38" s="18">
        <f t="shared" si="10"/>
        <v>2312.9506290551162</v>
      </c>
      <c r="X38" s="18">
        <f t="shared" si="11"/>
        <v>2372.405110887189</v>
      </c>
      <c r="Y38" s="18">
        <f t="shared" si="12"/>
        <v>2279.420305029832</v>
      </c>
      <c r="Z38" s="22">
        <f t="shared" si="13"/>
        <v>2386.4097979949574</v>
      </c>
      <c r="AA38" s="18">
        <f t="shared" si="0"/>
        <v>26741.630626894239</v>
      </c>
    </row>
    <row r="39" spans="1:27">
      <c r="A39" s="40" t="s">
        <v>94</v>
      </c>
      <c r="B39" s="52">
        <v>3763.6945856353591</v>
      </c>
      <c r="C39" s="22">
        <v>3399.4660773480659</v>
      </c>
      <c r="D39" s="52">
        <v>3763.6945856353591</v>
      </c>
      <c r="E39" s="52">
        <v>3642.2850828729279</v>
      </c>
      <c r="F39" s="22">
        <v>3763.6945856353591</v>
      </c>
      <c r="G39" s="22">
        <v>3642.2850828729279</v>
      </c>
      <c r="H39" s="52">
        <v>3702.33</v>
      </c>
      <c r="I39" s="22">
        <v>3702.33</v>
      </c>
      <c r="J39" s="22">
        <v>3582.8999999999996</v>
      </c>
      <c r="K39" s="22">
        <v>3702.33</v>
      </c>
      <c r="L39" s="22">
        <v>3582.8999999999996</v>
      </c>
      <c r="M39" s="22">
        <v>3702.3299999999981</v>
      </c>
      <c r="N39" s="12">
        <f t="shared" si="1"/>
        <v>43950.240000000005</v>
      </c>
      <c r="O39" s="18">
        <f t="shared" si="2"/>
        <v>3894.0276925034495</v>
      </c>
      <c r="P39" s="18">
        <f t="shared" si="3"/>
        <v>3539.1565878713482</v>
      </c>
      <c r="Q39" s="18">
        <f t="shared" si="4"/>
        <v>4058.7231730870576</v>
      </c>
      <c r="R39" s="18">
        <f t="shared" si="5"/>
        <v>4091.6735936651739</v>
      </c>
      <c r="S39" s="18">
        <f t="shared" si="6"/>
        <v>4244.7523719482551</v>
      </c>
      <c r="T39" s="18">
        <f t="shared" si="7"/>
        <v>4195.8425966488048</v>
      </c>
      <c r="U39" s="18">
        <f t="shared" si="8"/>
        <v>4326.6682248451561</v>
      </c>
      <c r="V39" s="18">
        <f t="shared" si="9"/>
        <v>4312.2051783780007</v>
      </c>
      <c r="W39" s="18">
        <f t="shared" si="10"/>
        <v>4202.9138513513508</v>
      </c>
      <c r="X39" s="18">
        <f t="shared" si="11"/>
        <v>4310.9499080133201</v>
      </c>
      <c r="Y39" s="18">
        <f t="shared" si="12"/>
        <v>4141.9851564125684</v>
      </c>
      <c r="Z39" s="22">
        <f t="shared" si="13"/>
        <v>4336.3981353510253</v>
      </c>
      <c r="AA39" s="18">
        <f t="shared" si="0"/>
        <v>49655.296470075511</v>
      </c>
    </row>
    <row r="40" spans="1:27">
      <c r="A40" s="40" t="s">
        <v>91</v>
      </c>
      <c r="B40" s="52">
        <v>6704.99</v>
      </c>
      <c r="C40" s="22">
        <v>6056.12</v>
      </c>
      <c r="D40" s="52">
        <v>6704.99</v>
      </c>
      <c r="E40" s="52">
        <v>6488.7</v>
      </c>
      <c r="F40" s="22">
        <v>6704.99</v>
      </c>
      <c r="G40" s="22">
        <v>6488.7</v>
      </c>
      <c r="H40" s="52">
        <v>6595.6695108695649</v>
      </c>
      <c r="I40" s="22">
        <v>6595.6695108695649</v>
      </c>
      <c r="J40" s="22">
        <v>6382.9059782608692</v>
      </c>
      <c r="K40" s="22">
        <v>6595.6695108695649</v>
      </c>
      <c r="L40" s="22">
        <v>6382.9059782608692</v>
      </c>
      <c r="M40" s="22">
        <v>6595.669510869564</v>
      </c>
      <c r="N40" s="12">
        <f t="shared" si="1"/>
        <v>78296.979999999981</v>
      </c>
      <c r="O40" s="18">
        <f t="shared" si="2"/>
        <v>6937.1773250700962</v>
      </c>
      <c r="P40" s="18">
        <f t="shared" si="3"/>
        <v>6304.9774603604255</v>
      </c>
      <c r="Q40" s="18">
        <f t="shared" si="4"/>
        <v>7230.5809276293794</v>
      </c>
      <c r="R40" s="18">
        <f t="shared" si="5"/>
        <v>7289.2818225732162</v>
      </c>
      <c r="S40" s="18">
        <f t="shared" si="6"/>
        <v>7561.9903684572619</v>
      </c>
      <c r="T40" s="18">
        <f t="shared" si="7"/>
        <v>7474.8580183625745</v>
      </c>
      <c r="U40" s="18">
        <f t="shared" si="8"/>
        <v>7707.9227660039323</v>
      </c>
      <c r="V40" s="18">
        <f t="shared" si="9"/>
        <v>7682.1569713239041</v>
      </c>
      <c r="W40" s="18">
        <f t="shared" si="10"/>
        <v>7487.4553986731289</v>
      </c>
      <c r="X40" s="18">
        <f t="shared" si="11"/>
        <v>7679.9207178099768</v>
      </c>
      <c r="Y40" s="18">
        <f t="shared" si="12"/>
        <v>7378.911445123661</v>
      </c>
      <c r="Z40" s="22">
        <f t="shared" si="13"/>
        <v>7725.2565190910591</v>
      </c>
      <c r="AA40" s="18">
        <f t="shared" si="0"/>
        <v>88460.489740478617</v>
      </c>
    </row>
    <row r="41" spans="1:27">
      <c r="A41" s="40" t="s">
        <v>92</v>
      </c>
      <c r="B41" s="52">
        <v>1815.4211506849315</v>
      </c>
      <c r="C41" s="22">
        <v>1639.7352328767122</v>
      </c>
      <c r="D41" s="52">
        <v>1815.4211506849315</v>
      </c>
      <c r="E41" s="52">
        <v>1756.8591780821916</v>
      </c>
      <c r="F41" s="22">
        <v>1815.4211506849315</v>
      </c>
      <c r="G41" s="22">
        <v>1756.8591780821916</v>
      </c>
      <c r="H41" s="52">
        <v>1815.4211506849315</v>
      </c>
      <c r="I41" s="22">
        <v>1815.4211506849315</v>
      </c>
      <c r="J41" s="22">
        <v>1756.8591780821916</v>
      </c>
      <c r="K41" s="22">
        <v>1815.4211506849315</v>
      </c>
      <c r="L41" s="22">
        <v>1756.8591780821916</v>
      </c>
      <c r="M41" s="22">
        <v>1815.4211506849315</v>
      </c>
      <c r="N41" s="12">
        <f t="shared" si="1"/>
        <v>21375.119999999999</v>
      </c>
      <c r="O41" s="18">
        <f t="shared" si="2"/>
        <v>1878.2874310005188</v>
      </c>
      <c r="P41" s="18">
        <f t="shared" si="3"/>
        <v>1707.1150644713982</v>
      </c>
      <c r="Q41" s="18">
        <f t="shared" si="4"/>
        <v>1957.7284302821404</v>
      </c>
      <c r="R41" s="18">
        <f t="shared" si="5"/>
        <v>1973.6220925016476</v>
      </c>
      <c r="S41" s="18">
        <f t="shared" si="6"/>
        <v>2047.4597659613289</v>
      </c>
      <c r="T41" s="18">
        <f t="shared" si="7"/>
        <v>2023.8680959855676</v>
      </c>
      <c r="U41" s="18">
        <f t="shared" si="8"/>
        <v>2121.5626395757058</v>
      </c>
      <c r="V41" s="18">
        <f t="shared" si="9"/>
        <v>2114.4707486692191</v>
      </c>
      <c r="W41" s="18">
        <f t="shared" si="10"/>
        <v>2060.880229544613</v>
      </c>
      <c r="X41" s="18">
        <f t="shared" si="11"/>
        <v>2113.8552323943682</v>
      </c>
      <c r="Y41" s="18">
        <f t="shared" si="12"/>
        <v>2031.0041132947117</v>
      </c>
      <c r="Z41" s="22">
        <f t="shared" si="13"/>
        <v>2126.3336581846979</v>
      </c>
      <c r="AA41" s="18">
        <f t="shared" si="0"/>
        <v>24156.187501865919</v>
      </c>
    </row>
    <row r="42" spans="1:27">
      <c r="A42" s="40" t="s">
        <v>33</v>
      </c>
      <c r="B42" s="52">
        <v>2692.8912154696136</v>
      </c>
      <c r="C42" s="22">
        <v>2432.2888397790057</v>
      </c>
      <c r="D42" s="52">
        <v>2692.8912154696136</v>
      </c>
      <c r="E42" s="52">
        <v>2606.0237569060778</v>
      </c>
      <c r="F42" s="22">
        <v>2692.8912154696136</v>
      </c>
      <c r="G42" s="22">
        <v>2606.0237569060778</v>
      </c>
      <c r="H42" s="52">
        <v>2648.9853804347827</v>
      </c>
      <c r="I42" s="22">
        <v>2648.9853804347827</v>
      </c>
      <c r="J42" s="22">
        <v>2563.5342391304348</v>
      </c>
      <c r="K42" s="22">
        <v>2648.9853804347827</v>
      </c>
      <c r="L42" s="22">
        <v>2563.5342391304348</v>
      </c>
      <c r="M42" s="22">
        <v>2648.9853804347822</v>
      </c>
      <c r="N42" s="12">
        <f t="shared" si="1"/>
        <v>31446.020000000004</v>
      </c>
      <c r="O42" s="18">
        <f t="shared" si="2"/>
        <v>2786.1434362819714</v>
      </c>
      <c r="P42" s="18">
        <f t="shared" si="3"/>
        <v>2532.236202699557</v>
      </c>
      <c r="Q42" s="18">
        <f t="shared" si="4"/>
        <v>2903.9816409502905</v>
      </c>
      <c r="R42" s="18">
        <f t="shared" si="5"/>
        <v>2927.5573844390146</v>
      </c>
      <c r="S42" s="18">
        <f t="shared" si="6"/>
        <v>3037.0839381840074</v>
      </c>
      <c r="T42" s="18">
        <f t="shared" si="7"/>
        <v>3002.0894131879663</v>
      </c>
      <c r="U42" s="18">
        <f t="shared" si="8"/>
        <v>3095.6940287890411</v>
      </c>
      <c r="V42" s="18">
        <f t="shared" si="9"/>
        <v>3085.3458430119645</v>
      </c>
      <c r="W42" s="18">
        <f t="shared" si="10"/>
        <v>3007.1488353162945</v>
      </c>
      <c r="X42" s="18">
        <f t="shared" si="11"/>
        <v>3084.4477078256009</v>
      </c>
      <c r="Y42" s="18">
        <f t="shared" si="12"/>
        <v>2963.5548763386219</v>
      </c>
      <c r="Z42" s="22">
        <f t="shared" si="13"/>
        <v>3102.6556963559492</v>
      </c>
      <c r="AA42" s="18">
        <f t="shared" si="0"/>
        <v>35527.939003380285</v>
      </c>
    </row>
    <row r="43" spans="1:27">
      <c r="A43" s="40" t="s">
        <v>95</v>
      </c>
      <c r="B43" s="52">
        <v>5531.9328729281769</v>
      </c>
      <c r="C43" s="22">
        <v>4996.58453038674</v>
      </c>
      <c r="D43" s="52">
        <v>5531.9328729281769</v>
      </c>
      <c r="E43" s="52">
        <v>5353.4834254143643</v>
      </c>
      <c r="F43" s="22">
        <v>5531.9328729281769</v>
      </c>
      <c r="G43" s="22">
        <v>5353.4834254143643</v>
      </c>
      <c r="H43" s="52">
        <v>5441.7383152173916</v>
      </c>
      <c r="I43" s="22">
        <v>5441.7383152173916</v>
      </c>
      <c r="J43" s="22">
        <v>5266.198369565217</v>
      </c>
      <c r="K43" s="22">
        <v>5441.7383152173916</v>
      </c>
      <c r="L43" s="22">
        <v>5266.198369565217</v>
      </c>
      <c r="M43" s="22">
        <v>5441.7383152173934</v>
      </c>
      <c r="N43" s="12">
        <f t="shared" si="1"/>
        <v>64598.700000000004</v>
      </c>
      <c r="O43" s="18">
        <f t="shared" si="2"/>
        <v>5723.4983631425584</v>
      </c>
      <c r="P43" s="18">
        <f t="shared" si="3"/>
        <v>5201.903668169386</v>
      </c>
      <c r="Q43" s="18">
        <f t="shared" si="4"/>
        <v>5965.5701684745954</v>
      </c>
      <c r="R43" s="18">
        <f t="shared" si="5"/>
        <v>6014.0011743985579</v>
      </c>
      <c r="S43" s="18">
        <f t="shared" si="6"/>
        <v>6238.9985822551535</v>
      </c>
      <c r="T43" s="18">
        <f t="shared" si="7"/>
        <v>6167.1102853621996</v>
      </c>
      <c r="U43" s="18">
        <f t="shared" si="8"/>
        <v>6359.3996905660761</v>
      </c>
      <c r="V43" s="18">
        <f t="shared" si="9"/>
        <v>6338.1416951645078</v>
      </c>
      <c r="W43" s="18">
        <f t="shared" si="10"/>
        <v>6177.5037180522913</v>
      </c>
      <c r="X43" s="18">
        <f t="shared" si="11"/>
        <v>6336.2966805819515</v>
      </c>
      <c r="Y43" s="18">
        <f t="shared" si="12"/>
        <v>6087.9498388074462</v>
      </c>
      <c r="Z43" s="22">
        <f t="shared" si="13"/>
        <v>6373.7008541045625</v>
      </c>
      <c r="AA43" s="18">
        <f t="shared" si="0"/>
        <v>72984.07471907929</v>
      </c>
    </row>
    <row r="44" spans="1:27">
      <c r="A44" s="40" t="s">
        <v>53</v>
      </c>
      <c r="B44" s="52">
        <v>1339.1035555555554</v>
      </c>
      <c r="C44" s="22">
        <v>1209.5128888888887</v>
      </c>
      <c r="D44" s="52">
        <v>1339.1035555555554</v>
      </c>
      <c r="E44" s="52">
        <v>1281.6659340659339</v>
      </c>
      <c r="F44" s="22">
        <v>1324.3881318681317</v>
      </c>
      <c r="G44" s="22">
        <v>1281.6659340659339</v>
      </c>
      <c r="H44" s="52">
        <v>1309.9926086956521</v>
      </c>
      <c r="I44" s="22">
        <v>1309.9926086956521</v>
      </c>
      <c r="J44" s="22">
        <v>1267.7347826086957</v>
      </c>
      <c r="K44" s="22">
        <v>1309.9926086956521</v>
      </c>
      <c r="L44" s="22">
        <v>1267.7347826086957</v>
      </c>
      <c r="M44" s="22">
        <v>1309.9926086956521</v>
      </c>
      <c r="N44" s="12">
        <f t="shared" si="1"/>
        <v>15550.879999999994</v>
      </c>
      <c r="O44" s="18">
        <f t="shared" si="2"/>
        <v>1385.4754177889517</v>
      </c>
      <c r="P44" s="18">
        <f t="shared" si="3"/>
        <v>1259.2140681591295</v>
      </c>
      <c r="Q44" s="18">
        <f t="shared" si="4"/>
        <v>1444.0732393218616</v>
      </c>
      <c r="R44" s="18">
        <f t="shared" si="5"/>
        <v>1439.7990654211374</v>
      </c>
      <c r="S44" s="18">
        <f t="shared" si="6"/>
        <v>1493.6652101324414</v>
      </c>
      <c r="T44" s="18">
        <f t="shared" si="7"/>
        <v>1476.4545878396143</v>
      </c>
      <c r="U44" s="18">
        <f t="shared" si="8"/>
        <v>1530.901728053818</v>
      </c>
      <c r="V44" s="18">
        <f t="shared" si="9"/>
        <v>1525.7842793198597</v>
      </c>
      <c r="W44" s="18">
        <f t="shared" si="10"/>
        <v>1487.1138121817469</v>
      </c>
      <c r="X44" s="18">
        <f t="shared" si="11"/>
        <v>1525.3401279612165</v>
      </c>
      <c r="Y44" s="18">
        <f t="shared" si="12"/>
        <v>1465.5554583809574</v>
      </c>
      <c r="Z44" s="22">
        <f t="shared" si="13"/>
        <v>1534.3444548896109</v>
      </c>
      <c r="AA44" s="18">
        <f t="shared" si="0"/>
        <v>17567.721449450346</v>
      </c>
    </row>
    <row r="45" spans="1:27">
      <c r="A45" s="40" t="s">
        <v>59</v>
      </c>
      <c r="B45" s="52">
        <v>493.99877777777778</v>
      </c>
      <c r="C45" s="22">
        <v>446.19244444444445</v>
      </c>
      <c r="D45" s="52">
        <v>493.99877777777778</v>
      </c>
      <c r="E45" s="52">
        <v>472.80989010989015</v>
      </c>
      <c r="F45" s="22">
        <v>488.57021978021982</v>
      </c>
      <c r="G45" s="22">
        <v>-961.38010989010991</v>
      </c>
      <c r="H45" s="5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12">
        <f t="shared" si="1"/>
        <v>1434.19</v>
      </c>
      <c r="O45" s="18">
        <f t="shared" si="2"/>
        <v>511.10547813081621</v>
      </c>
      <c r="P45" s="18">
        <f t="shared" si="3"/>
        <v>464.52733849483559</v>
      </c>
      <c r="Q45" s="18">
        <f t="shared" si="4"/>
        <v>532.7223666063968</v>
      </c>
      <c r="R45" s="18">
        <f t="shared" si="5"/>
        <v>531.14561275923711</v>
      </c>
      <c r="S45" s="18">
        <f t="shared" si="6"/>
        <v>551.01697337252847</v>
      </c>
      <c r="T45" s="18">
        <f t="shared" si="7"/>
        <v>-1107.4914579355466</v>
      </c>
      <c r="U45" s="18">
        <f t="shared" si="8"/>
        <v>0</v>
      </c>
      <c r="V45" s="18">
        <f t="shared" si="9"/>
        <v>0</v>
      </c>
      <c r="W45" s="18">
        <f t="shared" si="10"/>
        <v>0</v>
      </c>
      <c r="X45" s="18">
        <f t="shared" si="11"/>
        <v>0</v>
      </c>
      <c r="Y45" s="18">
        <f t="shared" si="12"/>
        <v>0</v>
      </c>
      <c r="Z45" s="22">
        <f t="shared" si="13"/>
        <v>0</v>
      </c>
      <c r="AA45" s="18">
        <f t="shared" si="0"/>
        <v>1483.0263114282677</v>
      </c>
    </row>
    <row r="46" spans="1:27">
      <c r="A46" s="40" t="s">
        <v>96</v>
      </c>
      <c r="B46" s="52">
        <v>1185.502</v>
      </c>
      <c r="C46" s="22">
        <v>1070.7759999999998</v>
      </c>
      <c r="D46" s="52">
        <v>1185.502</v>
      </c>
      <c r="E46" s="52">
        <v>1147.26</v>
      </c>
      <c r="F46" s="22">
        <v>1185.502</v>
      </c>
      <c r="G46" s="22">
        <v>1147.26</v>
      </c>
      <c r="H46" s="52">
        <v>1185.502</v>
      </c>
      <c r="I46" s="22">
        <v>1185.502</v>
      </c>
      <c r="J46" s="22">
        <v>1147.26</v>
      </c>
      <c r="K46" s="22">
        <v>1185.502</v>
      </c>
      <c r="L46" s="22">
        <v>1147.26</v>
      </c>
      <c r="M46" s="22">
        <v>1185.5019999999986</v>
      </c>
      <c r="N46" s="12">
        <f t="shared" si="1"/>
        <v>13958.33</v>
      </c>
      <c r="O46" s="18">
        <f t="shared" si="2"/>
        <v>1226.5547887804828</v>
      </c>
      <c r="P46" s="18">
        <f t="shared" si="3"/>
        <v>1114.7762172967007</v>
      </c>
      <c r="Q46" s="18">
        <f t="shared" si="4"/>
        <v>1278.431161100387</v>
      </c>
      <c r="R46" s="18">
        <f t="shared" si="5"/>
        <v>1288.8100025837762</v>
      </c>
      <c r="S46" s="18">
        <f t="shared" si="6"/>
        <v>1337.02730440863</v>
      </c>
      <c r="T46" s="18">
        <f t="shared" si="7"/>
        <v>1321.6215282177704</v>
      </c>
      <c r="U46" s="18">
        <f t="shared" si="8"/>
        <v>1385.4177866074558</v>
      </c>
      <c r="V46" s="18">
        <f t="shared" si="9"/>
        <v>1380.7866568829563</v>
      </c>
      <c r="W46" s="18">
        <f t="shared" si="10"/>
        <v>1345.7911036036035</v>
      </c>
      <c r="X46" s="18">
        <f t="shared" si="11"/>
        <v>1380.3847139097832</v>
      </c>
      <c r="Y46" s="18">
        <f t="shared" si="12"/>
        <v>1326.2814732607337</v>
      </c>
      <c r="Z46" s="22">
        <f t="shared" si="13"/>
        <v>1388.5333458267921</v>
      </c>
      <c r="AA46" s="18">
        <f t="shared" si="0"/>
        <v>15774.416082479071</v>
      </c>
    </row>
    <row r="47" spans="1:27">
      <c r="A47" s="40" t="s">
        <v>50</v>
      </c>
      <c r="B47" s="52">
        <v>1789.2235555555558</v>
      </c>
      <c r="C47" s="22">
        <v>1616.0728888888891</v>
      </c>
      <c r="D47" s="52">
        <v>1789.2235555555558</v>
      </c>
      <c r="E47" s="52">
        <v>1712.4791208791212</v>
      </c>
      <c r="F47" s="22">
        <v>1769.5617582417585</v>
      </c>
      <c r="G47" s="22">
        <v>1712.4791208791212</v>
      </c>
      <c r="H47" s="52">
        <v>1750.3273913043481</v>
      </c>
      <c r="I47" s="22">
        <v>1750.3273913043481</v>
      </c>
      <c r="J47" s="22">
        <v>1693.8652173913047</v>
      </c>
      <c r="K47" s="22">
        <v>1750.3273913043481</v>
      </c>
      <c r="L47" s="22">
        <v>1693.8652173913047</v>
      </c>
      <c r="M47" s="22">
        <v>1750.3273913043477</v>
      </c>
      <c r="N47" s="12">
        <f t="shared" si="1"/>
        <v>20778.080000000002</v>
      </c>
      <c r="O47" s="18">
        <f t="shared" si="2"/>
        <v>1851.1826384649787</v>
      </c>
      <c r="P47" s="18">
        <f t="shared" si="3"/>
        <v>1682.480389877348</v>
      </c>
      <c r="Q47" s="18">
        <f t="shared" si="4"/>
        <v>1929.4772573956452</v>
      </c>
      <c r="R47" s="18">
        <f t="shared" si="5"/>
        <v>1923.7663826899593</v>
      </c>
      <c r="S47" s="18">
        <f t="shared" si="6"/>
        <v>1995.7388411040845</v>
      </c>
      <c r="T47" s="18">
        <f t="shared" si="7"/>
        <v>1972.7431208072173</v>
      </c>
      <c r="U47" s="18">
        <f t="shared" si="8"/>
        <v>2045.491867832591</v>
      </c>
      <c r="V47" s="18">
        <f t="shared" si="9"/>
        <v>2038.6542638391138</v>
      </c>
      <c r="W47" s="18">
        <f t="shared" si="10"/>
        <v>1986.9852869173524</v>
      </c>
      <c r="X47" s="18">
        <f t="shared" si="11"/>
        <v>2038.0608175221212</v>
      </c>
      <c r="Y47" s="18">
        <f t="shared" si="12"/>
        <v>1958.180408997832</v>
      </c>
      <c r="Z47" s="22">
        <f t="shared" si="13"/>
        <v>2050.0918167494528</v>
      </c>
      <c r="AA47" s="18">
        <f t="shared" si="0"/>
        <v>23472.853092197696</v>
      </c>
    </row>
    <row r="48" spans="1:27">
      <c r="A48" s="40" t="s">
        <v>97</v>
      </c>
      <c r="B48" s="52">
        <v>29942.105303867404</v>
      </c>
      <c r="C48" s="102">
        <f>27044.4822099448</f>
        <v>27044.482209944799</v>
      </c>
      <c r="D48" s="52">
        <v>29942.105303867404</v>
      </c>
      <c r="E48" s="52">
        <v>28976.23093922652</v>
      </c>
      <c r="F48" s="22">
        <v>29942.105303867404</v>
      </c>
      <c r="G48" s="22">
        <v>28976.23093922652</v>
      </c>
      <c r="H48" s="52">
        <v>29453.918804347828</v>
      </c>
      <c r="I48" s="22">
        <f>29453.9188043478+0.01</f>
        <v>29453.928804347797</v>
      </c>
      <c r="J48" s="22">
        <f>28503.7923913043</f>
        <v>28503.792391304301</v>
      </c>
      <c r="K48" s="22">
        <v>29453.918804347828</v>
      </c>
      <c r="L48" s="22">
        <v>28503.792391304349</v>
      </c>
      <c r="M48" s="22">
        <v>29453.918804347806</v>
      </c>
      <c r="N48" s="12">
        <f t="shared" si="1"/>
        <v>349646.52999999991</v>
      </c>
      <c r="O48" s="18">
        <f t="shared" si="2"/>
        <v>30978.971479278865</v>
      </c>
      <c r="P48" s="18">
        <f t="shared" si="3"/>
        <v>28155.791292249902</v>
      </c>
      <c r="Q48" s="18">
        <f t="shared" si="4"/>
        <v>32289.207820326974</v>
      </c>
      <c r="R48" s="18">
        <f t="shared" si="5"/>
        <v>32551.345180388598</v>
      </c>
      <c r="S48" s="18">
        <f t="shared" si="6"/>
        <v>33769.1647443439</v>
      </c>
      <c r="T48" s="18">
        <f t="shared" si="7"/>
        <v>33380.062597747325</v>
      </c>
      <c r="U48" s="18">
        <f t="shared" si="8"/>
        <v>34420.847030907826</v>
      </c>
      <c r="V48" s="18">
        <f t="shared" si="9"/>
        <v>34305.797785093579</v>
      </c>
      <c r="W48" s="18">
        <f t="shared" si="10"/>
        <v>33436.318026586312</v>
      </c>
      <c r="X48" s="18">
        <f t="shared" si="11"/>
        <v>34295.799823417976</v>
      </c>
      <c r="Y48" s="18">
        <f t="shared" si="12"/>
        <v>32951.599259328512</v>
      </c>
      <c r="Z48" s="22">
        <f t="shared" si="13"/>
        <v>34498.253419320907</v>
      </c>
      <c r="AA48" s="18">
        <f t="shared" si="0"/>
        <v>395033.15845899063</v>
      </c>
    </row>
    <row r="49" spans="1:27">
      <c r="A49" s="40" t="s">
        <v>99</v>
      </c>
      <c r="B49" s="52">
        <v>5094.8270684931513</v>
      </c>
      <c r="C49" s="22">
        <v>4601.7792876712338</v>
      </c>
      <c r="D49" s="52">
        <v>4668.1506301369873</v>
      </c>
      <c r="E49" s="52">
        <v>4788.2523287671238</v>
      </c>
      <c r="F49" s="22">
        <v>4947.8607397260275</v>
      </c>
      <c r="G49" s="22">
        <v>4788.2523287671238</v>
      </c>
      <c r="H49" s="52">
        <v>4947.8607397260275</v>
      </c>
      <c r="I49" s="22">
        <v>4947.8607397260275</v>
      </c>
      <c r="J49" s="102">
        <f>4788.25232876712+0.01</f>
        <v>4788.2623287671204</v>
      </c>
      <c r="K49" s="22">
        <v>5048.9476962477675</v>
      </c>
      <c r="L49" s="22">
        <v>4886.0784157236458</v>
      </c>
      <c r="M49" s="22">
        <v>5048.9676962477679</v>
      </c>
      <c r="N49" s="12">
        <f t="shared" si="1"/>
        <v>58557.100000000006</v>
      </c>
      <c r="O49" s="18">
        <f t="shared" si="2"/>
        <v>5271.2560070490845</v>
      </c>
      <c r="P49" s="18">
        <f t="shared" si="3"/>
        <v>4790.8751290133923</v>
      </c>
      <c r="Q49" s="18">
        <f t="shared" si="4"/>
        <v>5034.0777411404897</v>
      </c>
      <c r="R49" s="18">
        <f t="shared" si="5"/>
        <v>5379.03134094288</v>
      </c>
      <c r="S49" s="18">
        <f t="shared" si="6"/>
        <v>5580.2730888899223</v>
      </c>
      <c r="T49" s="18">
        <f t="shared" si="7"/>
        <v>5515.9748969174416</v>
      </c>
      <c r="U49" s="18">
        <f t="shared" si="8"/>
        <v>5782.237629690344</v>
      </c>
      <c r="V49" s="18">
        <f t="shared" si="9"/>
        <v>5762.9089529403864</v>
      </c>
      <c r="W49" s="18">
        <f t="shared" si="10"/>
        <v>5616.861778302271</v>
      </c>
      <c r="X49" s="18">
        <f t="shared" si="11"/>
        <v>5878.9358611208017</v>
      </c>
      <c r="Y49" s="18">
        <f t="shared" si="12"/>
        <v>5648.5149658084738</v>
      </c>
      <c r="Z49" s="22">
        <f t="shared" si="13"/>
        <v>5913.6635857571837</v>
      </c>
      <c r="AA49" s="18">
        <f t="shared" si="0"/>
        <v>66174.610977572665</v>
      </c>
    </row>
    <row r="50" spans="1:27">
      <c r="A50" s="40" t="s">
        <v>76</v>
      </c>
      <c r="B50">
        <v>0</v>
      </c>
      <c r="C50" s="103"/>
      <c r="D50" s="43"/>
      <c r="E50">
        <v>0</v>
      </c>
      <c r="F50">
        <v>0</v>
      </c>
      <c r="G50">
        <v>0</v>
      </c>
      <c r="H50">
        <v>0</v>
      </c>
      <c r="K50">
        <v>0</v>
      </c>
      <c r="L50">
        <v>0</v>
      </c>
      <c r="M50">
        <v>0</v>
      </c>
      <c r="N50" s="12">
        <f>SUM(B50:M50)</f>
        <v>0</v>
      </c>
      <c r="O50" s="18">
        <f>B50/$B$57</f>
        <v>0</v>
      </c>
      <c r="P50" s="18">
        <f t="shared" si="3"/>
        <v>0</v>
      </c>
      <c r="Q50" s="18">
        <f t="shared" si="4"/>
        <v>0</v>
      </c>
      <c r="R50" s="18">
        <f t="shared" si="5"/>
        <v>0</v>
      </c>
      <c r="S50" s="18">
        <f t="shared" si="6"/>
        <v>0</v>
      </c>
      <c r="T50" s="18">
        <f t="shared" si="7"/>
        <v>0</v>
      </c>
      <c r="U50" s="18">
        <f t="shared" si="8"/>
        <v>0</v>
      </c>
      <c r="V50" s="18">
        <f t="shared" si="9"/>
        <v>0</v>
      </c>
      <c r="W50" s="18">
        <f t="shared" si="10"/>
        <v>0</v>
      </c>
      <c r="X50" s="18">
        <f t="shared" si="11"/>
        <v>0</v>
      </c>
      <c r="Y50" s="18">
        <f t="shared" si="12"/>
        <v>0</v>
      </c>
      <c r="Z50" s="22">
        <f>M50/$M$57</f>
        <v>0</v>
      </c>
      <c r="AA50" s="18">
        <f t="shared" si="0"/>
        <v>0</v>
      </c>
    </row>
    <row r="51" spans="1:27">
      <c r="B51" s="59">
        <f>SUM(B2:B50)</f>
        <v>204296.62928757869</v>
      </c>
      <c r="C51" s="59">
        <f t="shared" ref="C51:M51" si="14">SUM(C2:C50)</f>
        <v>184699.93004025807</v>
      </c>
      <c r="D51" s="59">
        <f t="shared" si="14"/>
        <v>204221.71956774619</v>
      </c>
      <c r="E51" s="59">
        <f t="shared" si="14"/>
        <v>198647.01831962346</v>
      </c>
      <c r="F51" s="59">
        <f t="shared" si="14"/>
        <v>205941.5626585414</v>
      </c>
      <c r="G51" s="59">
        <f t="shared" si="14"/>
        <v>198114.21891031667</v>
      </c>
      <c r="H51" s="59">
        <f t="shared" si="14"/>
        <v>204509.12857805888</v>
      </c>
      <c r="I51" s="59">
        <f t="shared" si="14"/>
        <v>204600.58263034641</v>
      </c>
      <c r="J51" s="59">
        <f t="shared" si="14"/>
        <v>201052.90366659657</v>
      </c>
      <c r="K51" s="59">
        <f t="shared" si="14"/>
        <v>207940.89420910628</v>
      </c>
      <c r="L51" s="59">
        <f t="shared" si="14"/>
        <v>201347.43886973272</v>
      </c>
      <c r="M51" s="59">
        <f t="shared" si="14"/>
        <v>208147.15683205714</v>
      </c>
      <c r="N51" s="105">
        <f>SUM(N2:N50)</f>
        <v>2423519.1835699631</v>
      </c>
      <c r="O51" s="59">
        <f>SUM(O2:O50)</f>
        <v>211371.22416022138</v>
      </c>
      <c r="P51" s="59">
        <f t="shared" ref="P51:AA51" si="15">SUM(P2:P50)</f>
        <v>192289.60057495144</v>
      </c>
      <c r="Q51" s="59">
        <f t="shared" si="15"/>
        <v>220230.25694508446</v>
      </c>
      <c r="R51" s="59">
        <f t="shared" si="15"/>
        <v>223156.27163308515</v>
      </c>
      <c r="S51" s="59">
        <f t="shared" si="15"/>
        <v>232264.0471184786</v>
      </c>
      <c r="T51" s="59">
        <f t="shared" si="15"/>
        <v>228223.78254094327</v>
      </c>
      <c r="U51" s="59">
        <f t="shared" si="15"/>
        <v>238996.29376891305</v>
      </c>
      <c r="V51" s="59">
        <f t="shared" si="15"/>
        <v>238303.90373568429</v>
      </c>
      <c r="W51" s="59">
        <f t="shared" si="15"/>
        <v>235844.71620049336</v>
      </c>
      <c r="X51" s="94">
        <f t="shared" si="15"/>
        <v>242123.95404055135</v>
      </c>
      <c r="Y51" s="94">
        <f t="shared" si="15"/>
        <v>232766.22375174297</v>
      </c>
      <c r="Z51" s="94">
        <f t="shared" si="15"/>
        <v>243794.83805202405</v>
      </c>
      <c r="AA51" s="59">
        <f t="shared" si="15"/>
        <v>2739365.1125221741</v>
      </c>
    </row>
    <row r="52" spans="1:27"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7">
      <c r="A53" s="21" t="s">
        <v>163</v>
      </c>
      <c r="B53" s="94">
        <v>204296.62928757866</v>
      </c>
      <c r="C53" s="94">
        <v>184699.93</v>
      </c>
      <c r="D53" s="95">
        <v>204221.72</v>
      </c>
      <c r="E53" s="95">
        <v>198647.01831962346</v>
      </c>
      <c r="F53" s="95">
        <v>205941.56265854137</v>
      </c>
      <c r="G53" s="95">
        <v>198114.21891031667</v>
      </c>
      <c r="H53" s="94">
        <v>204509.12857805888</v>
      </c>
      <c r="I53" s="94">
        <v>204600.58263034647</v>
      </c>
      <c r="J53" s="94">
        <v>201052.9036665966</v>
      </c>
      <c r="K53" s="94">
        <v>207940.89420910628</v>
      </c>
      <c r="L53" s="94">
        <v>201347.43886973272</v>
      </c>
      <c r="M53" s="94">
        <v>208147.15683205714</v>
      </c>
      <c r="N53" s="60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7"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7">
      <c r="A55" s="21" t="s">
        <v>3</v>
      </c>
      <c r="B55" s="14">
        <f>B51-B53</f>
        <v>0</v>
      </c>
      <c r="C55" s="14">
        <f t="shared" ref="C55:M55" si="16">C51-C53</f>
        <v>4.0258077206090093E-5</v>
      </c>
      <c r="D55" s="63">
        <f t="shared" si="16"/>
        <v>-4.3225381523370743E-4</v>
      </c>
      <c r="E55" s="14">
        <f t="shared" si="16"/>
        <v>0</v>
      </c>
      <c r="F55" s="14">
        <f t="shared" si="16"/>
        <v>0</v>
      </c>
      <c r="G55" s="14">
        <f t="shared" si="16"/>
        <v>0</v>
      </c>
      <c r="H55" s="14">
        <f t="shared" si="16"/>
        <v>0</v>
      </c>
      <c r="I55" s="14">
        <f t="shared" si="16"/>
        <v>0</v>
      </c>
      <c r="J55" s="14">
        <f t="shared" si="16"/>
        <v>0</v>
      </c>
      <c r="K55" s="14">
        <f t="shared" si="16"/>
        <v>0</v>
      </c>
      <c r="L55" s="14">
        <f t="shared" si="16"/>
        <v>0</v>
      </c>
      <c r="M55" s="14">
        <f t="shared" si="16"/>
        <v>0</v>
      </c>
      <c r="N55" s="14"/>
      <c r="O55" s="20">
        <f>B53/B57</f>
        <v>211371.22416022126</v>
      </c>
      <c r="P55" s="20">
        <f t="shared" ref="P55:Z55" si="17">C53/C57</f>
        <v>192289.60053303905</v>
      </c>
      <c r="Q55" s="20">
        <f t="shared" si="17"/>
        <v>220230.25741122171</v>
      </c>
      <c r="R55" s="20">
        <f t="shared" si="17"/>
        <v>223156.27163308521</v>
      </c>
      <c r="S55" s="20">
        <f t="shared" si="17"/>
        <v>232264.04711847854</v>
      </c>
      <c r="T55" s="20">
        <f t="shared" si="17"/>
        <v>228223.78254094333</v>
      </c>
      <c r="U55" s="20">
        <f t="shared" si="17"/>
        <v>238996.29376891302</v>
      </c>
      <c r="V55" s="20">
        <f t="shared" si="17"/>
        <v>238303.90373568429</v>
      </c>
      <c r="W55" s="20">
        <f t="shared" si="17"/>
        <v>235844.71620049336</v>
      </c>
      <c r="X55" s="20">
        <f t="shared" si="17"/>
        <v>242123.9540405513</v>
      </c>
      <c r="Y55" s="20">
        <f t="shared" si="17"/>
        <v>232766.22375174297</v>
      </c>
      <c r="Z55" s="20">
        <f t="shared" si="17"/>
        <v>243794.8380520241</v>
      </c>
      <c r="AA55" s="20"/>
    </row>
    <row r="56" spans="1:27">
      <c r="A56" s="21"/>
      <c r="O56" s="20"/>
      <c r="P56" s="18"/>
      <c r="Q56" s="18"/>
      <c r="R56" s="18"/>
      <c r="S56" s="18"/>
      <c r="T56" s="18"/>
      <c r="U56" s="18"/>
      <c r="V56" s="18"/>
      <c r="W56" s="18"/>
      <c r="X56" s="18"/>
      <c r="Y56" s="19"/>
      <c r="Z56" s="19"/>
    </row>
    <row r="57" spans="1:27">
      <c r="A57" t="s">
        <v>164</v>
      </c>
      <c r="B57">
        <v>0.96653</v>
      </c>
      <c r="C57">
        <v>0.96052999999999999</v>
      </c>
      <c r="D57">
        <v>0.92730999999999997</v>
      </c>
      <c r="E57">
        <v>0.89017000000000002</v>
      </c>
      <c r="F57">
        <v>0.88666999999999996</v>
      </c>
      <c r="G57">
        <v>0.86807000000000001</v>
      </c>
      <c r="H57" s="56">
        <v>0.85570000000000002</v>
      </c>
      <c r="I57">
        <v>0.85857000000000006</v>
      </c>
      <c r="J57">
        <v>0.85248000000000002</v>
      </c>
      <c r="K57">
        <v>0.85882000000000003</v>
      </c>
      <c r="L57" s="15">
        <v>0.86502000000000001</v>
      </c>
      <c r="M57" s="57">
        <v>0.85377999999999998</v>
      </c>
      <c r="N57" s="15"/>
      <c r="O57" s="14">
        <f>O51-O55</f>
        <v>0</v>
      </c>
      <c r="P57" s="14">
        <f t="shared" ref="P57:Z57" si="18">P51-P55</f>
        <v>4.191239713691175E-5</v>
      </c>
      <c r="Q57" s="14">
        <f t="shared" si="18"/>
        <v>-4.6613725135102868E-4</v>
      </c>
      <c r="R57" s="14">
        <f t="shared" si="18"/>
        <v>0</v>
      </c>
      <c r="S57" s="14">
        <f t="shared" si="18"/>
        <v>0</v>
      </c>
      <c r="T57" s="14">
        <f t="shared" si="18"/>
        <v>0</v>
      </c>
      <c r="U57" s="14">
        <f t="shared" si="18"/>
        <v>0</v>
      </c>
      <c r="V57" s="14">
        <f t="shared" si="18"/>
        <v>0</v>
      </c>
      <c r="W57" s="14">
        <f t="shared" si="18"/>
        <v>0</v>
      </c>
      <c r="X57" s="14">
        <f t="shared" si="18"/>
        <v>0</v>
      </c>
      <c r="Y57" s="14">
        <f t="shared" si="18"/>
        <v>0</v>
      </c>
      <c r="Z57" s="14">
        <f t="shared" si="18"/>
        <v>0</v>
      </c>
      <c r="AA57" s="14"/>
    </row>
    <row r="58" spans="1:27">
      <c r="AA58" s="18"/>
    </row>
    <row r="59" spans="1:27">
      <c r="C59" s="15"/>
      <c r="K59" t="s">
        <v>13</v>
      </c>
      <c r="L59" s="27">
        <f>SUM(B51:M51)</f>
        <v>2423519.1835699626</v>
      </c>
      <c r="M59" s="18">
        <f>AA51</f>
        <v>2739365.1125221741</v>
      </c>
      <c r="N59" s="18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7">
      <c r="K60" t="s">
        <v>2</v>
      </c>
      <c r="L60" s="55"/>
      <c r="M60" s="51"/>
      <c r="N60" s="36"/>
    </row>
    <row r="61" spans="1:27">
      <c r="K61" t="s">
        <v>3</v>
      </c>
      <c r="L61" s="27">
        <f>L59-L60</f>
        <v>2423519.1835699626</v>
      </c>
      <c r="M61" s="27">
        <f>M59-M60</f>
        <v>2739365.1125221741</v>
      </c>
      <c r="N61" s="27"/>
    </row>
    <row r="62" spans="1:27"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</row>
    <row r="63" spans="1:27"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</row>
    <row r="64" spans="1:27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</row>
    <row r="65" spans="2:13"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</row>
    <row r="66" spans="2:13"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</row>
    <row r="67" spans="2:13"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</row>
    <row r="68" spans="2:13"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</row>
    <row r="69" spans="2:13"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</row>
    <row r="70" spans="2:13"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</row>
    <row r="71" spans="2:13"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</row>
    <row r="72" spans="2:13"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</row>
    <row r="73" spans="2:13"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</row>
    <row r="74" spans="2:13"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</row>
    <row r="75" spans="2:13"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</row>
    <row r="76" spans="2:13"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</row>
    <row r="77" spans="2:13"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</row>
    <row r="78" spans="2:13"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</row>
    <row r="79" spans="2:13"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</row>
    <row r="80" spans="2:13"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</row>
    <row r="81" spans="2:13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</row>
    <row r="82" spans="2:13"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</row>
    <row r="83" spans="2:13"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</row>
    <row r="84" spans="2:13"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</row>
    <row r="85" spans="2:13"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</row>
    <row r="86" spans="2:13"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</row>
    <row r="87" spans="2:13"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</row>
    <row r="88" spans="2:13"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</row>
    <row r="89" spans="2:13"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</row>
    <row r="90" spans="2:13"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</row>
    <row r="91" spans="2:13"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</row>
    <row r="92" spans="2:13"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</row>
    <row r="93" spans="2:13"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</row>
    <row r="94" spans="2:13"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</row>
    <row r="95" spans="2:13"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</row>
    <row r="96" spans="2:13"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</row>
    <row r="97" spans="2:13"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</row>
    <row r="98" spans="2:13"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</row>
    <row r="99" spans="2:13"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</row>
    <row r="100" spans="2:13"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</row>
    <row r="101" spans="2:13"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</row>
    <row r="102" spans="2:13"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</row>
    <row r="103" spans="2:13"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</row>
    <row r="104" spans="2:13"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</row>
    <row r="105" spans="2:13"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</row>
    <row r="106" spans="2:13"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</row>
    <row r="107" spans="2:13"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</row>
    <row r="108" spans="2:13"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</row>
    <row r="109" spans="2:13"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</row>
    <row r="110" spans="2:13"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</row>
    <row r="111" spans="2:13"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</row>
  </sheetData>
  <printOptions gridLines="1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9C8E1-DCFB-45BB-8201-9469BE8872A7}">
  <dimension ref="A1:AF144"/>
  <sheetViews>
    <sheetView topLeftCell="A28" zoomScale="80" zoomScaleNormal="80" workbookViewId="0">
      <selection activeCell="N38" sqref="N38"/>
    </sheetView>
  </sheetViews>
  <sheetFormatPr defaultRowHeight="17.100000000000001" customHeight="1"/>
  <cols>
    <col min="1" max="1" width="23.28515625" bestFit="1" customWidth="1"/>
    <col min="2" max="12" width="13.28515625" bestFit="1" customWidth="1"/>
    <col min="13" max="14" width="14.42578125" style="5" bestFit="1" customWidth="1"/>
    <col min="15" max="15" width="15" bestFit="1" customWidth="1"/>
    <col min="16" max="21" width="13.7109375" bestFit="1" customWidth="1"/>
    <col min="22" max="22" width="14.28515625" bestFit="1" customWidth="1"/>
    <col min="23" max="26" width="13.7109375" bestFit="1" customWidth="1"/>
    <col min="27" max="27" width="15" bestFit="1" customWidth="1"/>
    <col min="31" max="31" width="14.42578125" style="22" customWidth="1"/>
    <col min="32" max="32" width="8.85546875" customWidth="1"/>
  </cols>
  <sheetData>
    <row r="1" spans="1:32" ht="17.100000000000001" customHeight="1">
      <c r="A1" s="1" t="s">
        <v>14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7" t="s">
        <v>148</v>
      </c>
      <c r="N1" s="7" t="s">
        <v>165</v>
      </c>
      <c r="O1" s="1" t="s">
        <v>166</v>
      </c>
      <c r="P1" s="1" t="s">
        <v>167</v>
      </c>
      <c r="Q1" s="1" t="s">
        <v>168</v>
      </c>
      <c r="R1" s="1" t="s">
        <v>169</v>
      </c>
      <c r="S1" s="1" t="s">
        <v>170</v>
      </c>
      <c r="T1" s="1" t="s">
        <v>171</v>
      </c>
      <c r="U1" s="1" t="s">
        <v>172</v>
      </c>
      <c r="V1" s="1" t="s">
        <v>173</v>
      </c>
      <c r="W1" s="1" t="s">
        <v>174</v>
      </c>
      <c r="X1" s="1" t="s">
        <v>175</v>
      </c>
      <c r="Y1" s="1" t="s">
        <v>176</v>
      </c>
      <c r="Z1" s="1" t="s">
        <v>177</v>
      </c>
      <c r="AA1" s="1" t="s">
        <v>162</v>
      </c>
    </row>
    <row r="2" spans="1:32" ht="17.100000000000001" customHeight="1">
      <c r="A2" s="90" t="s">
        <v>71</v>
      </c>
      <c r="B2" s="106">
        <v>897.49331506849319</v>
      </c>
      <c r="C2" s="107">
        <v>810.63912328767128</v>
      </c>
      <c r="D2" s="8">
        <v>897.49331506849319</v>
      </c>
      <c r="E2" s="8">
        <v>868.5419178082193</v>
      </c>
      <c r="F2" s="8">
        <v>897.49331506849319</v>
      </c>
      <c r="G2" s="8">
        <v>868.5419178082193</v>
      </c>
      <c r="H2" s="62">
        <v>897.49331506849319</v>
      </c>
      <c r="I2" s="8">
        <v>897.49331506849319</v>
      </c>
      <c r="J2" s="8">
        <v>868.5419178082193</v>
      </c>
      <c r="K2" s="8">
        <v>897.49331506849319</v>
      </c>
      <c r="L2" s="8">
        <v>868.5419178082193</v>
      </c>
      <c r="M2" s="8">
        <v>897.49331506849376</v>
      </c>
      <c r="N2" s="22">
        <f>SUM(B2:M2)</f>
        <v>10567.26</v>
      </c>
      <c r="O2" s="6">
        <f>B2/$B$44</f>
        <v>928.57264137532536</v>
      </c>
      <c r="P2" s="6">
        <f>C2/$C$44</f>
        <v>843.94982279332373</v>
      </c>
      <c r="Q2" s="6">
        <f>D2/$D$44</f>
        <v>967.84604400739045</v>
      </c>
      <c r="R2" s="6">
        <f>E2/$E$44</f>
        <v>975.7034249730043</v>
      </c>
      <c r="S2" s="6">
        <f>F2/$F$44</f>
        <v>1012.2067004279983</v>
      </c>
      <c r="T2" s="6">
        <f>G2/$G$44</f>
        <v>1000.5436402688946</v>
      </c>
      <c r="U2" s="6">
        <f>H2/$H$44</f>
        <v>1048.8410834036381</v>
      </c>
      <c r="V2" s="6">
        <f>I2/$I$44</f>
        <v>1045.3350513860175</v>
      </c>
      <c r="W2" s="6">
        <f>J2/$J$44</f>
        <v>1018.8414013328398</v>
      </c>
      <c r="X2" s="6">
        <f>K2/$K$44</f>
        <v>1045.0307573979335</v>
      </c>
      <c r="Y2" s="6">
        <f>L2/$L$44</f>
        <v>1004.0714871427473</v>
      </c>
      <c r="Z2" s="6">
        <f>M2/$M$44</f>
        <v>1051.1997412313403</v>
      </c>
      <c r="AA2" s="4">
        <f>SUM(O2:Z2)</f>
        <v>11942.141795740452</v>
      </c>
      <c r="AD2">
        <v>868.97234972677688</v>
      </c>
      <c r="AE2" s="22">
        <f>AD2/0.95474</f>
        <v>910.16648483019128</v>
      </c>
      <c r="AF2" s="4">
        <f>AE2-Z2</f>
        <v>-141.03325640114906</v>
      </c>
    </row>
    <row r="3" spans="1:32" ht="17.100000000000001" customHeight="1">
      <c r="A3" s="90" t="s">
        <v>75</v>
      </c>
      <c r="B3" s="106">
        <v>685.75736986301365</v>
      </c>
      <c r="C3" s="107">
        <v>619.39375342465758</v>
      </c>
      <c r="D3" s="8">
        <v>685.75736986301365</v>
      </c>
      <c r="E3" s="8">
        <v>663.63616438356166</v>
      </c>
      <c r="F3" s="8">
        <v>685.75736986301365</v>
      </c>
      <c r="G3" s="8">
        <v>663.63616438356166</v>
      </c>
      <c r="H3" s="62">
        <v>685.75736986301365</v>
      </c>
      <c r="I3" s="8">
        <v>685.75736986301365</v>
      </c>
      <c r="J3" s="8">
        <v>663.63616438356166</v>
      </c>
      <c r="K3" s="8">
        <v>685.75736986301365</v>
      </c>
      <c r="L3" s="8">
        <v>663.63616438356166</v>
      </c>
      <c r="M3" s="8">
        <v>685.75736986301308</v>
      </c>
      <c r="N3" s="22">
        <f t="shared" ref="N3:N37" si="0">SUM(B3:M3)</f>
        <v>8074.24</v>
      </c>
      <c r="O3" s="6">
        <f t="shared" ref="O3:O37" si="1">B3/$B$44</f>
        <v>709.50448497513128</v>
      </c>
      <c r="P3" s="6">
        <f t="shared" ref="P3:P37" si="2">C3/$C$44</f>
        <v>644.84581785541059</v>
      </c>
      <c r="Q3" s="6">
        <f t="shared" ref="Q3:Q37" si="3">D3/$D$44</f>
        <v>739.512536113073</v>
      </c>
      <c r="R3" s="6">
        <f t="shared" ref="R3:R37" si="4">E3/$E$44</f>
        <v>745.51620969428495</v>
      </c>
      <c r="S3" s="6">
        <f t="shared" ref="S3:S37" si="5">F3/$F$44</f>
        <v>773.40765996708319</v>
      </c>
      <c r="T3" s="6">
        <f t="shared" ref="T3:T37" si="6">G3/$G$44</f>
        <v>764.49614015409088</v>
      </c>
      <c r="U3" s="6">
        <f t="shared" ref="U3:U37" si="7">H3/$H$44</f>
        <v>801.39928697325422</v>
      </c>
      <c r="V3" s="6">
        <f t="shared" ref="V3:V37" si="8">I3/$I$44</f>
        <v>798.72039538187175</v>
      </c>
      <c r="W3" s="6">
        <f t="shared" ref="W3:W37" si="9">J3/$J$44</f>
        <v>778.47710724423052</v>
      </c>
      <c r="X3" s="6">
        <f t="shared" ref="X3:X37" si="10">K3/$K$44</f>
        <v>798.48789020168795</v>
      </c>
      <c r="Y3" s="6">
        <f t="shared" ref="Y3:Y37" si="11">L3/$L$44</f>
        <v>767.19170005729541</v>
      </c>
      <c r="Z3" s="6">
        <f t="shared" ref="Z3:Z37" si="12">M3/$M$44</f>
        <v>803.20149202723542</v>
      </c>
      <c r="AA3" s="4">
        <f t="shared" ref="AA3:AA36" si="13">SUM(O3:Z3)</f>
        <v>9124.7607206446501</v>
      </c>
      <c r="AD3">
        <v>663.96494535519287</v>
      </c>
      <c r="AE3" s="22">
        <f t="shared" ref="AE3:AE36" si="14">AD3/0.95474</f>
        <v>695.44058629071037</v>
      </c>
      <c r="AF3" s="4">
        <f t="shared" ref="AF3:AF36" si="15">AE3-Z3</f>
        <v>-107.76090573652505</v>
      </c>
    </row>
    <row r="4" spans="1:32" ht="17.100000000000001" customHeight="1">
      <c r="A4" s="90" t="s">
        <v>23</v>
      </c>
      <c r="B4" s="106">
        <v>2593.3631780821916</v>
      </c>
      <c r="C4" s="107">
        <v>2342.3925479452055</v>
      </c>
      <c r="D4" s="8">
        <v>2593.3631780821916</v>
      </c>
      <c r="E4" s="8">
        <v>2509.706301369863</v>
      </c>
      <c r="F4" s="8">
        <v>2593.3631780821916</v>
      </c>
      <c r="G4" s="8">
        <v>2509.706301369863</v>
      </c>
      <c r="H4" s="62">
        <v>2593.3631780821916</v>
      </c>
      <c r="I4" s="8">
        <v>2593.3631780821916</v>
      </c>
      <c r="J4" s="8">
        <v>2509.706301369863</v>
      </c>
      <c r="K4" s="8">
        <v>2593.3631780821916</v>
      </c>
      <c r="L4" s="8">
        <v>2509.706301369863</v>
      </c>
      <c r="M4" s="8">
        <v>2593.3631780821888</v>
      </c>
      <c r="N4" s="22">
        <f t="shared" si="0"/>
        <v>30534.76</v>
      </c>
      <c r="O4" s="6">
        <f t="shared" si="1"/>
        <v>2683.1688391277989</v>
      </c>
      <c r="P4" s="6">
        <f t="shared" si="2"/>
        <v>2438.6459016847007</v>
      </c>
      <c r="Q4" s="6">
        <f t="shared" si="3"/>
        <v>2796.6517972222791</v>
      </c>
      <c r="R4" s="6">
        <f t="shared" si="4"/>
        <v>2819.3561919294775</v>
      </c>
      <c r="S4" s="6">
        <f t="shared" si="5"/>
        <v>2924.8346939472312</v>
      </c>
      <c r="T4" s="6">
        <f t="shared" si="6"/>
        <v>2891.1335507157983</v>
      </c>
      <c r="U4" s="6">
        <f t="shared" si="7"/>
        <v>3030.6920393621499</v>
      </c>
      <c r="V4" s="6">
        <f t="shared" si="8"/>
        <v>3020.5611401309052</v>
      </c>
      <c r="W4" s="6">
        <f t="shared" si="9"/>
        <v>2944.0060779958039</v>
      </c>
      <c r="X4" s="6">
        <f t="shared" si="10"/>
        <v>3019.6818635828131</v>
      </c>
      <c r="Y4" s="6">
        <f t="shared" si="11"/>
        <v>2901.3274853412208</v>
      </c>
      <c r="Z4" s="6">
        <f t="shared" si="12"/>
        <v>3037.5075289678712</v>
      </c>
      <c r="AA4" s="4">
        <f t="shared" si="13"/>
        <v>34507.567110008051</v>
      </c>
      <c r="AD4">
        <v>2510.9491803278652</v>
      </c>
      <c r="AE4" s="22">
        <f t="shared" si="14"/>
        <v>2629.9821735004975</v>
      </c>
      <c r="AF4" s="4">
        <f t="shared" si="15"/>
        <v>-407.52535546737363</v>
      </c>
    </row>
    <row r="5" spans="1:32" ht="17.100000000000001" customHeight="1">
      <c r="A5" s="90" t="s">
        <v>27</v>
      </c>
      <c r="B5" s="106">
        <v>2397.273315068493</v>
      </c>
      <c r="C5" s="107">
        <v>2165.2791232876712</v>
      </c>
      <c r="D5" s="8">
        <v>2397.273315068493</v>
      </c>
      <c r="E5" s="8">
        <v>2319.9419178082194</v>
      </c>
      <c r="F5" s="8">
        <v>2397.273315068493</v>
      </c>
      <c r="G5" s="8">
        <v>2319.9419178082194</v>
      </c>
      <c r="H5" s="62">
        <v>2397.273315068493</v>
      </c>
      <c r="I5" s="8">
        <v>2397.273315068493</v>
      </c>
      <c r="J5" s="8">
        <v>2319.9419178082194</v>
      </c>
      <c r="K5" s="8">
        <v>2397.273315068493</v>
      </c>
      <c r="L5" s="8">
        <v>2319.9419178082194</v>
      </c>
      <c r="M5" s="8">
        <v>2397.2733150684871</v>
      </c>
      <c r="N5" s="22">
        <f t="shared" si="0"/>
        <v>28225.96</v>
      </c>
      <c r="O5" s="6">
        <f t="shared" si="1"/>
        <v>2480.2885736278163</v>
      </c>
      <c r="P5" s="6">
        <f t="shared" si="2"/>
        <v>2254.2545503916285</v>
      </c>
      <c r="Q5" s="6">
        <f t="shared" si="3"/>
        <v>2585.190837010809</v>
      </c>
      <c r="R5" s="6">
        <f t="shared" si="4"/>
        <v>2606.1785027671335</v>
      </c>
      <c r="S5" s="6">
        <f t="shared" si="5"/>
        <v>2703.6815445075317</v>
      </c>
      <c r="T5" s="6">
        <f t="shared" si="6"/>
        <v>2672.5286184388578</v>
      </c>
      <c r="U5" s="6">
        <f t="shared" si="7"/>
        <v>2801.5347844670946</v>
      </c>
      <c r="V5" s="6">
        <f t="shared" si="8"/>
        <v>2792.1699046886019</v>
      </c>
      <c r="W5" s="6">
        <f t="shared" si="9"/>
        <v>2721.4033382697767</v>
      </c>
      <c r="X5" s="6">
        <f t="shared" si="10"/>
        <v>2791.3571121637747</v>
      </c>
      <c r="Y5" s="6">
        <f t="shared" si="11"/>
        <v>2681.9517673674823</v>
      </c>
      <c r="Z5" s="6">
        <f t="shared" si="12"/>
        <v>2807.83493999448</v>
      </c>
      <c r="AA5" s="4">
        <f t="shared" si="13"/>
        <v>31898.374473694988</v>
      </c>
      <c r="AD5">
        <v>2321.0902732240429</v>
      </c>
      <c r="AE5" s="22">
        <f t="shared" si="14"/>
        <v>2431.1228954731578</v>
      </c>
      <c r="AF5" s="4">
        <f t="shared" si="15"/>
        <v>-376.71204452132224</v>
      </c>
    </row>
    <row r="6" spans="1:32" ht="17.100000000000001" customHeight="1">
      <c r="A6" s="90" t="s">
        <v>38</v>
      </c>
      <c r="B6" s="106">
        <v>711.78972602739725</v>
      </c>
      <c r="C6" s="107">
        <v>642.90684931506848</v>
      </c>
      <c r="D6" s="8">
        <v>711.78972602739725</v>
      </c>
      <c r="E6" s="8">
        <v>688.82876712328766</v>
      </c>
      <c r="F6" s="8">
        <v>711.78972602739725</v>
      </c>
      <c r="G6" s="8">
        <v>688.82876712328766</v>
      </c>
      <c r="H6" s="62">
        <v>711.78972602739725</v>
      </c>
      <c r="I6" s="8">
        <v>711.78972602739725</v>
      </c>
      <c r="J6" s="8">
        <v>688.82876712328766</v>
      </c>
      <c r="K6" s="8">
        <v>711.78972602739725</v>
      </c>
      <c r="L6" s="8">
        <v>688.82876712328766</v>
      </c>
      <c r="M6" s="8">
        <v>711.78972602739668</v>
      </c>
      <c r="N6" s="22">
        <f t="shared" si="0"/>
        <v>8380.75</v>
      </c>
      <c r="O6" s="6">
        <f t="shared" si="1"/>
        <v>736.43831647998229</v>
      </c>
      <c r="P6" s="6">
        <f t="shared" si="2"/>
        <v>669.32511146457523</v>
      </c>
      <c r="Q6" s="6">
        <f t="shared" si="3"/>
        <v>767.58551727836141</v>
      </c>
      <c r="R6" s="6">
        <f t="shared" si="4"/>
        <v>773.81709911959251</v>
      </c>
      <c r="S6" s="6">
        <f t="shared" si="5"/>
        <v>802.76734977770457</v>
      </c>
      <c r="T6" s="6">
        <f t="shared" si="6"/>
        <v>793.51753559423514</v>
      </c>
      <c r="U6" s="6">
        <f t="shared" si="7"/>
        <v>831.82158002500557</v>
      </c>
      <c r="V6" s="6">
        <f t="shared" si="8"/>
        <v>829.04099377732416</v>
      </c>
      <c r="W6" s="6">
        <f t="shared" si="9"/>
        <v>808.02924071331609</v>
      </c>
      <c r="X6" s="6">
        <f t="shared" si="10"/>
        <v>828.79966235928043</v>
      </c>
      <c r="Y6" s="6">
        <f t="shared" si="11"/>
        <v>796.31542290731738</v>
      </c>
      <c r="Z6" s="6">
        <f t="shared" si="12"/>
        <v>833.69219942771758</v>
      </c>
      <c r="AA6" s="4">
        <f t="shared" si="13"/>
        <v>9471.1500289244123</v>
      </c>
      <c r="AD6">
        <v>689.16980874316778</v>
      </c>
      <c r="AE6" s="22">
        <f t="shared" si="14"/>
        <v>721.84030075535509</v>
      </c>
      <c r="AF6" s="4">
        <f t="shared" si="15"/>
        <v>-111.85189867236249</v>
      </c>
    </row>
    <row r="7" spans="1:32" ht="17.100000000000001" customHeight="1">
      <c r="A7" s="90" t="s">
        <v>49</v>
      </c>
      <c r="B7" s="106">
        <v>495.05556164383563</v>
      </c>
      <c r="C7" s="107">
        <v>447.14695890410962</v>
      </c>
      <c r="D7" s="8">
        <v>495.05556164383563</v>
      </c>
      <c r="E7" s="8">
        <v>479.0860273972603</v>
      </c>
      <c r="F7" s="8">
        <v>495.05556164383563</v>
      </c>
      <c r="G7" s="8">
        <v>479.0860273972603</v>
      </c>
      <c r="H7" s="62">
        <v>495.05556164383563</v>
      </c>
      <c r="I7" s="8">
        <v>495.05556164383563</v>
      </c>
      <c r="J7" s="8">
        <v>479.0860273972603</v>
      </c>
      <c r="K7" s="8">
        <v>495.05556164383563</v>
      </c>
      <c r="L7" s="8">
        <v>479.0860273972603</v>
      </c>
      <c r="M7" s="8">
        <v>495.05556164383597</v>
      </c>
      <c r="N7" s="22">
        <f t="shared" si="0"/>
        <v>5828.88</v>
      </c>
      <c r="O7" s="6">
        <f t="shared" si="1"/>
        <v>512.19885740104871</v>
      </c>
      <c r="P7" s="6">
        <f t="shared" si="2"/>
        <v>465.52107576453585</v>
      </c>
      <c r="Q7" s="6">
        <f t="shared" si="3"/>
        <v>533.86198967317898</v>
      </c>
      <c r="R7" s="6">
        <f t="shared" si="4"/>
        <v>538.19610568459984</v>
      </c>
      <c r="S7" s="6">
        <f t="shared" si="5"/>
        <v>558.33124121018602</v>
      </c>
      <c r="T7" s="6">
        <f t="shared" si="6"/>
        <v>551.89791998025544</v>
      </c>
      <c r="U7" s="6">
        <f t="shared" si="7"/>
        <v>578.53869538837864</v>
      </c>
      <c r="V7" s="6">
        <f t="shared" si="8"/>
        <v>576.60477496748729</v>
      </c>
      <c r="W7" s="6">
        <f t="shared" si="9"/>
        <v>561.99092928544985</v>
      </c>
      <c r="X7" s="6">
        <f t="shared" si="10"/>
        <v>576.43692699731685</v>
      </c>
      <c r="Y7" s="6">
        <f t="shared" si="11"/>
        <v>553.84387343328513</v>
      </c>
      <c r="Z7" s="6">
        <f t="shared" si="12"/>
        <v>579.83972644455946</v>
      </c>
      <c r="AA7" s="4">
        <f t="shared" si="13"/>
        <v>6587.2621162302821</v>
      </c>
      <c r="AD7">
        <v>479.32352459016329</v>
      </c>
      <c r="AE7" s="22">
        <f t="shared" si="14"/>
        <v>502.04613254934668</v>
      </c>
      <c r="AF7" s="4">
        <f t="shared" si="15"/>
        <v>-77.79359389521278</v>
      </c>
    </row>
    <row r="8" spans="1:32" ht="17.100000000000001" customHeight="1">
      <c r="A8" s="90" t="s">
        <v>42</v>
      </c>
      <c r="B8" s="106">
        <v>585.95435616438363</v>
      </c>
      <c r="C8" s="107">
        <v>529.24909589041101</v>
      </c>
      <c r="D8" s="8">
        <v>585.95435616438363</v>
      </c>
      <c r="E8" s="8">
        <v>567.05260273972601</v>
      </c>
      <c r="F8" s="8">
        <v>585.95435616438363</v>
      </c>
      <c r="G8" s="8">
        <v>567.05260273972601</v>
      </c>
      <c r="H8" s="62">
        <v>585.95435616438363</v>
      </c>
      <c r="I8" s="8">
        <v>585.95435616438363</v>
      </c>
      <c r="J8" s="8">
        <v>567.05260273972601</v>
      </c>
      <c r="K8" s="8">
        <v>585.95435616438363</v>
      </c>
      <c r="L8" s="8">
        <v>567.05260273972601</v>
      </c>
      <c r="M8" s="8">
        <v>585.95435616438317</v>
      </c>
      <c r="N8" s="22">
        <f t="shared" si="0"/>
        <v>6899.14</v>
      </c>
      <c r="O8" s="6">
        <f t="shared" si="1"/>
        <v>606.24538934578709</v>
      </c>
      <c r="P8" s="6">
        <f t="shared" si="2"/>
        <v>550.99694532228148</v>
      </c>
      <c r="Q8" s="6">
        <f t="shared" si="3"/>
        <v>631.88616122373708</v>
      </c>
      <c r="R8" s="6">
        <f t="shared" si="4"/>
        <v>637.01607865882477</v>
      </c>
      <c r="S8" s="6">
        <f t="shared" si="5"/>
        <v>660.84829323692429</v>
      </c>
      <c r="T8" s="6">
        <f t="shared" si="6"/>
        <v>653.23372854692138</v>
      </c>
      <c r="U8" s="6">
        <f t="shared" si="7"/>
        <v>684.76610513542551</v>
      </c>
      <c r="V8" s="6">
        <f t="shared" si="8"/>
        <v>682.47709116831891</v>
      </c>
      <c r="W8" s="6">
        <f t="shared" si="9"/>
        <v>665.17994878440084</v>
      </c>
      <c r="X8" s="6">
        <f t="shared" si="10"/>
        <v>682.27842407534013</v>
      </c>
      <c r="Y8" s="6">
        <f t="shared" si="11"/>
        <v>655.53698497112896</v>
      </c>
      <c r="Z8" s="6">
        <f t="shared" si="12"/>
        <v>686.30602282131599</v>
      </c>
      <c r="AA8" s="4">
        <f t="shared" si="13"/>
        <v>7796.7711732904063</v>
      </c>
      <c r="AD8">
        <v>567.33303278688527</v>
      </c>
      <c r="AE8" s="22">
        <f t="shared" si="14"/>
        <v>594.2277822096961</v>
      </c>
      <c r="AF8" s="4">
        <f t="shared" si="15"/>
        <v>-92.07824061161989</v>
      </c>
    </row>
    <row r="9" spans="1:32" ht="17.100000000000001" customHeight="1">
      <c r="A9" s="90" t="s">
        <v>37</v>
      </c>
      <c r="B9" s="106">
        <v>581.97531506849316</v>
      </c>
      <c r="C9" s="107">
        <v>525.65512328767124</v>
      </c>
      <c r="D9" s="8">
        <v>581.97531506849316</v>
      </c>
      <c r="E9" s="8">
        <v>563.20191780821926</v>
      </c>
      <c r="F9" s="8">
        <v>581.97531506849316</v>
      </c>
      <c r="G9" s="8">
        <v>563.20191780821926</v>
      </c>
      <c r="H9" s="62">
        <v>581.97531506849316</v>
      </c>
      <c r="I9" s="8">
        <v>581.97531506849316</v>
      </c>
      <c r="J9" s="8">
        <v>563.20191780821926</v>
      </c>
      <c r="K9" s="8">
        <v>581.97531506849316</v>
      </c>
      <c r="L9" s="8">
        <v>563.20191780821926</v>
      </c>
      <c r="M9" s="8">
        <v>581.97531506849373</v>
      </c>
      <c r="N9" s="22">
        <f t="shared" si="0"/>
        <v>6852.29</v>
      </c>
      <c r="O9" s="6">
        <f t="shared" si="1"/>
        <v>602.12855790145488</v>
      </c>
      <c r="P9" s="6">
        <f t="shared" si="2"/>
        <v>547.25528956687583</v>
      </c>
      <c r="Q9" s="6">
        <f t="shared" si="3"/>
        <v>627.59521095264063</v>
      </c>
      <c r="R9" s="6">
        <f t="shared" si="4"/>
        <v>632.69029264996493</v>
      </c>
      <c r="S9" s="6">
        <f t="shared" si="5"/>
        <v>656.36066977397809</v>
      </c>
      <c r="T9" s="6">
        <f t="shared" si="6"/>
        <v>648.79781331945492</v>
      </c>
      <c r="U9" s="6">
        <f t="shared" si="7"/>
        <v>680.11606295254546</v>
      </c>
      <c r="V9" s="6">
        <f t="shared" si="8"/>
        <v>677.84259299590383</v>
      </c>
      <c r="W9" s="6">
        <f t="shared" si="9"/>
        <v>660.66291034184883</v>
      </c>
      <c r="X9" s="6">
        <f t="shared" si="10"/>
        <v>677.64527499184135</v>
      </c>
      <c r="Y9" s="6">
        <f t="shared" si="11"/>
        <v>651.08542901692363</v>
      </c>
      <c r="Z9" s="6">
        <f t="shared" si="12"/>
        <v>681.64552351717509</v>
      </c>
      <c r="AA9" s="4">
        <f t="shared" si="13"/>
        <v>7743.8256279806083</v>
      </c>
      <c r="AD9">
        <v>563.48090163934467</v>
      </c>
      <c r="AE9" s="22">
        <f t="shared" si="14"/>
        <v>590.19303856478689</v>
      </c>
      <c r="AF9" s="4">
        <f t="shared" si="15"/>
        <v>-91.452484952388204</v>
      </c>
    </row>
    <row r="10" spans="1:32" ht="17.100000000000001" customHeight="1">
      <c r="A10" s="90" t="s">
        <v>79</v>
      </c>
      <c r="B10" s="106">
        <v>141.28186301369863</v>
      </c>
      <c r="C10" s="107">
        <v>127.60942465753425</v>
      </c>
      <c r="D10" s="8">
        <v>141.28186301369863</v>
      </c>
      <c r="E10" s="8">
        <v>136.72438356164383</v>
      </c>
      <c r="F10" s="8">
        <v>141.28186301369863</v>
      </c>
      <c r="G10" s="8">
        <v>136.72438356164383</v>
      </c>
      <c r="H10" s="62">
        <v>141.28186301369863</v>
      </c>
      <c r="I10" s="8">
        <v>141.28186301369863</v>
      </c>
      <c r="J10" s="8">
        <v>136.72438356164383</v>
      </c>
      <c r="K10" s="8">
        <v>141.28186301369863</v>
      </c>
      <c r="L10" s="8">
        <v>136.72438356164383</v>
      </c>
      <c r="M10" s="8">
        <v>141.28186301369874</v>
      </c>
      <c r="N10" s="22">
        <f t="shared" si="0"/>
        <v>1663.48</v>
      </c>
      <c r="O10" s="6">
        <f t="shared" si="1"/>
        <v>146.17431741766796</v>
      </c>
      <c r="P10" s="6">
        <f t="shared" si="2"/>
        <v>132.85313801498575</v>
      </c>
      <c r="Q10" s="6">
        <f t="shared" si="3"/>
        <v>152.35666930551665</v>
      </c>
      <c r="R10" s="6">
        <f t="shared" si="4"/>
        <v>153.59356478160782</v>
      </c>
      <c r="S10" s="6">
        <f t="shared" si="5"/>
        <v>159.33984798594588</v>
      </c>
      <c r="T10" s="6">
        <f t="shared" si="6"/>
        <v>157.50386899863355</v>
      </c>
      <c r="U10" s="6">
        <f t="shared" si="7"/>
        <v>165.10676991200026</v>
      </c>
      <c r="V10" s="6">
        <f t="shared" si="8"/>
        <v>164.55485634683092</v>
      </c>
      <c r="W10" s="6">
        <f t="shared" si="9"/>
        <v>160.38427125755894</v>
      </c>
      <c r="X10" s="6">
        <f t="shared" si="10"/>
        <v>164.50695490754595</v>
      </c>
      <c r="Y10" s="6">
        <f t="shared" si="11"/>
        <v>158.05921662116927</v>
      </c>
      <c r="Z10" s="6">
        <f t="shared" si="12"/>
        <v>165.47806579411412</v>
      </c>
      <c r="AA10" s="4">
        <f t="shared" si="13"/>
        <v>1879.9115413435773</v>
      </c>
      <c r="AD10">
        <v>136.79215846994543</v>
      </c>
      <c r="AE10" s="22">
        <f t="shared" si="14"/>
        <v>143.27686958747452</v>
      </c>
      <c r="AF10" s="4">
        <f t="shared" si="15"/>
        <v>-22.201196206639594</v>
      </c>
    </row>
    <row r="11" spans="1:32" ht="17.100000000000001" customHeight="1">
      <c r="A11" s="90" t="s">
        <v>32</v>
      </c>
      <c r="B11" s="106">
        <v>2069.4266575342467</v>
      </c>
      <c r="C11" s="107">
        <v>1869.1595616438358</v>
      </c>
      <c r="D11" s="8">
        <v>2069.4266575342467</v>
      </c>
      <c r="E11" s="8">
        <v>2002.6709589041097</v>
      </c>
      <c r="F11" s="8">
        <v>2069.4266575342467</v>
      </c>
      <c r="G11" s="8">
        <v>2002.6709589041097</v>
      </c>
      <c r="H11" s="62">
        <v>-679.48731506849299</v>
      </c>
      <c r="I11" s="8">
        <v>1667.4628219178085</v>
      </c>
      <c r="J11" s="8">
        <v>1613.6736986301371</v>
      </c>
      <c r="K11" s="8">
        <v>1667.4628219178085</v>
      </c>
      <c r="L11" s="8">
        <v>1613.6736986301371</v>
      </c>
      <c r="M11" s="8">
        <v>1667.4628219178094</v>
      </c>
      <c r="N11" s="22">
        <f t="shared" si="0"/>
        <v>19633.030000000002</v>
      </c>
      <c r="O11" s="6">
        <f t="shared" si="1"/>
        <v>2141.0889031217312</v>
      </c>
      <c r="P11" s="6">
        <f t="shared" si="2"/>
        <v>1945.9668741672158</v>
      </c>
      <c r="Q11" s="6">
        <f t="shared" si="3"/>
        <v>2231.6449272996588</v>
      </c>
      <c r="R11" s="6">
        <f t="shared" si="4"/>
        <v>2249.7623587675498</v>
      </c>
      <c r="S11" s="6">
        <f t="shared" si="5"/>
        <v>2333.931065147402</v>
      </c>
      <c r="T11" s="6">
        <f t="shared" si="6"/>
        <v>2307.0385555359703</v>
      </c>
      <c r="U11" s="6">
        <f t="shared" si="7"/>
        <v>-794.07188859237226</v>
      </c>
      <c r="V11" s="6">
        <f t="shared" si="8"/>
        <v>1942.1396297539029</v>
      </c>
      <c r="W11" s="6">
        <f t="shared" si="9"/>
        <v>1892.9167823645564</v>
      </c>
      <c r="X11" s="6">
        <f t="shared" si="10"/>
        <v>1941.5742785657162</v>
      </c>
      <c r="Y11" s="6">
        <f t="shared" si="11"/>
        <v>1865.4755943563582</v>
      </c>
      <c r="Z11" s="6">
        <f t="shared" si="12"/>
        <v>1953.0357023095053</v>
      </c>
      <c r="AA11" s="4">
        <f t="shared" si="13"/>
        <v>22010.502782797194</v>
      </c>
      <c r="AD11">
        <v>1914.123797814209</v>
      </c>
      <c r="AE11" s="22">
        <f t="shared" si="14"/>
        <v>2004.8639397262175</v>
      </c>
      <c r="AF11" s="4">
        <f t="shared" si="15"/>
        <v>51.828237416712227</v>
      </c>
    </row>
    <row r="12" spans="1:32" ht="17.100000000000001" customHeight="1">
      <c r="A12" s="90" t="s">
        <v>22</v>
      </c>
      <c r="B12" s="106">
        <v>2206.2818904109586</v>
      </c>
      <c r="C12" s="107">
        <v>1992.7707397260274</v>
      </c>
      <c r="D12" s="8">
        <v>2206.2818904109586</v>
      </c>
      <c r="E12" s="8">
        <v>2135.111506849315</v>
      </c>
      <c r="F12" s="8">
        <v>2206.2818904109586</v>
      </c>
      <c r="G12" s="8">
        <v>2135.111506849315</v>
      </c>
      <c r="H12" s="62">
        <v>2206.2818904109586</v>
      </c>
      <c r="I12" s="8">
        <v>2206.2818904109586</v>
      </c>
      <c r="J12" s="8">
        <v>2135.111506849315</v>
      </c>
      <c r="K12" s="8">
        <v>2206.2818904109586</v>
      </c>
      <c r="L12" s="8">
        <v>2135.111506849315</v>
      </c>
      <c r="M12" s="8">
        <v>2206.2818904109554</v>
      </c>
      <c r="N12" s="22">
        <f t="shared" si="0"/>
        <v>25977.19</v>
      </c>
      <c r="O12" s="6">
        <f t="shared" si="1"/>
        <v>2282.6833004779555</v>
      </c>
      <c r="P12" s="6">
        <f t="shared" si="2"/>
        <v>2074.6574700696774</v>
      </c>
      <c r="Q12" s="6">
        <f t="shared" si="3"/>
        <v>2379.2279716717803</v>
      </c>
      <c r="R12" s="6">
        <f t="shared" si="4"/>
        <v>2398.543544322225</v>
      </c>
      <c r="S12" s="6">
        <f t="shared" si="5"/>
        <v>2488.2784918977281</v>
      </c>
      <c r="T12" s="6">
        <f t="shared" si="6"/>
        <v>2459.6075280211444</v>
      </c>
      <c r="U12" s="6">
        <f t="shared" si="7"/>
        <v>2578.335737303913</v>
      </c>
      <c r="V12" s="6">
        <f t="shared" si="8"/>
        <v>2569.7169600742614</v>
      </c>
      <c r="W12" s="6">
        <f t="shared" si="9"/>
        <v>2504.5883854745157</v>
      </c>
      <c r="X12" s="6">
        <f t="shared" si="10"/>
        <v>2568.9689229535393</v>
      </c>
      <c r="Y12" s="6">
        <f t="shared" si="11"/>
        <v>2468.2799320817035</v>
      </c>
      <c r="Z12" s="6">
        <f t="shared" si="12"/>
        <v>2584.1339577068511</v>
      </c>
      <c r="AA12" s="4">
        <f t="shared" si="13"/>
        <v>29357.022202055294</v>
      </c>
      <c r="AD12">
        <v>135.43781420765026</v>
      </c>
      <c r="AE12" s="22">
        <f t="shared" si="14"/>
        <v>141.85832185479845</v>
      </c>
      <c r="AF12" s="4">
        <f t="shared" si="15"/>
        <v>-2442.2756358520528</v>
      </c>
    </row>
    <row r="13" spans="1:32" ht="17.100000000000001" customHeight="1">
      <c r="A13" s="90" t="s">
        <v>46</v>
      </c>
      <c r="B13" s="106">
        <v>139.88304109589041</v>
      </c>
      <c r="C13" s="107">
        <v>126.34597260273972</v>
      </c>
      <c r="D13" s="8">
        <v>139.88304109589041</v>
      </c>
      <c r="E13" s="8">
        <v>135.37068493150684</v>
      </c>
      <c r="F13" s="8">
        <v>139.88304109589041</v>
      </c>
      <c r="G13" s="8">
        <v>135.37068493150684</v>
      </c>
      <c r="H13" s="62">
        <v>139.88304109589041</v>
      </c>
      <c r="I13" s="8">
        <v>139.88304109589041</v>
      </c>
      <c r="J13" s="8">
        <v>135.37068493150684</v>
      </c>
      <c r="K13" s="8">
        <v>139.88304109589041</v>
      </c>
      <c r="L13" s="8">
        <v>135.37068493150684</v>
      </c>
      <c r="M13" s="8">
        <v>139.88304109589058</v>
      </c>
      <c r="N13" s="22">
        <f t="shared" si="0"/>
        <v>1647.01</v>
      </c>
      <c r="O13" s="6">
        <f t="shared" si="1"/>
        <v>144.72705564844381</v>
      </c>
      <c r="P13" s="6">
        <f t="shared" si="2"/>
        <v>131.5377683182615</v>
      </c>
      <c r="Q13" s="6">
        <f t="shared" si="3"/>
        <v>150.84819649943429</v>
      </c>
      <c r="R13" s="6">
        <f t="shared" si="4"/>
        <v>152.07284555928288</v>
      </c>
      <c r="S13" s="6">
        <f t="shared" si="5"/>
        <v>157.76223521252598</v>
      </c>
      <c r="T13" s="6">
        <f t="shared" si="6"/>
        <v>155.94443412571204</v>
      </c>
      <c r="U13" s="6">
        <f t="shared" si="7"/>
        <v>163.47205924493446</v>
      </c>
      <c r="V13" s="6">
        <f t="shared" si="8"/>
        <v>162.92561013765959</v>
      </c>
      <c r="W13" s="6">
        <f t="shared" si="9"/>
        <v>158.7963177218314</v>
      </c>
      <c r="X13" s="6">
        <f t="shared" si="10"/>
        <v>162.87818296719965</v>
      </c>
      <c r="Y13" s="6">
        <f t="shared" si="11"/>
        <v>156.49428328998965</v>
      </c>
      <c r="Z13" s="6">
        <f t="shared" si="12"/>
        <v>163.83967895229517</v>
      </c>
      <c r="AA13" s="4">
        <f t="shared" si="13"/>
        <v>1861.2986676775702</v>
      </c>
      <c r="AD13">
        <v>10704.238010330104</v>
      </c>
      <c r="AE13" s="22">
        <f t="shared" si="14"/>
        <v>11211.678582996527</v>
      </c>
      <c r="AF13" s="4">
        <f t="shared" si="15"/>
        <v>11047.838904044231</v>
      </c>
    </row>
    <row r="14" spans="1:32" ht="17.100000000000001" customHeight="1">
      <c r="A14" s="90" t="s">
        <v>16</v>
      </c>
      <c r="B14" s="106">
        <v>10448.268876712329</v>
      </c>
      <c r="C14" s="107">
        <v>9437.1460821917808</v>
      </c>
      <c r="D14" s="8">
        <v>10448.268876712329</v>
      </c>
      <c r="E14" s="61">
        <v>10111.227945205479</v>
      </c>
      <c r="F14" s="8">
        <v>10448.268876712329</v>
      </c>
      <c r="G14" s="8">
        <v>10111.227945205479</v>
      </c>
      <c r="H14" s="62">
        <v>10448.268876712329</v>
      </c>
      <c r="I14" s="8">
        <v>10982.334465753425</v>
      </c>
      <c r="J14" s="8">
        <v>9979.9010958904109</v>
      </c>
      <c r="K14" s="8">
        <v>10312.564465753425</v>
      </c>
      <c r="L14" s="8">
        <v>9979.9010958904109</v>
      </c>
      <c r="M14" s="8">
        <v>10312.561397260264</v>
      </c>
      <c r="N14" s="22">
        <f t="shared" si="0"/>
        <v>123019.93999999999</v>
      </c>
      <c r="O14" s="6">
        <f t="shared" si="1"/>
        <v>10810.082332376987</v>
      </c>
      <c r="P14" s="6">
        <f t="shared" si="2"/>
        <v>9824.9363186904939</v>
      </c>
      <c r="Q14" s="6">
        <f t="shared" si="3"/>
        <v>11267.288044680128</v>
      </c>
      <c r="R14" s="6">
        <f t="shared" si="4"/>
        <v>11358.760624605949</v>
      </c>
      <c r="S14" s="6">
        <f t="shared" si="5"/>
        <v>11783.717591338751</v>
      </c>
      <c r="T14" s="6">
        <f t="shared" si="6"/>
        <v>11647.940771142279</v>
      </c>
      <c r="U14" s="6">
        <f t="shared" si="7"/>
        <v>12210.200860946978</v>
      </c>
      <c r="V14" s="6">
        <f t="shared" si="8"/>
        <v>12791.425819389711</v>
      </c>
      <c r="W14" s="6">
        <f t="shared" si="9"/>
        <v>11706.903500246823</v>
      </c>
      <c r="X14" s="6">
        <f t="shared" si="10"/>
        <v>12007.829889561754</v>
      </c>
      <c r="Y14" s="6">
        <f t="shared" si="11"/>
        <v>11537.191158459238</v>
      </c>
      <c r="Z14" s="6">
        <f t="shared" si="12"/>
        <v>12078.710437419786</v>
      </c>
      <c r="AA14" s="4">
        <f t="shared" si="13"/>
        <v>139024.98734885888</v>
      </c>
      <c r="AD14">
        <v>567.33303278688527</v>
      </c>
      <c r="AE14" s="22">
        <f t="shared" si="14"/>
        <v>594.2277822096961</v>
      </c>
      <c r="AF14" s="4">
        <f t="shared" si="15"/>
        <v>-11484.482655210089</v>
      </c>
    </row>
    <row r="15" spans="1:32" ht="17.100000000000001" customHeight="1">
      <c r="A15" s="90" t="s">
        <v>81</v>
      </c>
      <c r="B15" s="106">
        <v>585.95435616438363</v>
      </c>
      <c r="C15" s="107">
        <v>529.24909589041101</v>
      </c>
      <c r="D15" s="8">
        <v>585.95435616438363</v>
      </c>
      <c r="E15" s="8">
        <v>567.05260273972601</v>
      </c>
      <c r="F15" s="8">
        <v>585.95435616438363</v>
      </c>
      <c r="G15" s="8">
        <v>567.05260273972601</v>
      </c>
      <c r="H15" s="62">
        <v>585.95435616438363</v>
      </c>
      <c r="I15" s="8">
        <v>585.95435616438363</v>
      </c>
      <c r="J15" s="8">
        <v>567.05260273972601</v>
      </c>
      <c r="K15" s="8">
        <v>585.95435616438363</v>
      </c>
      <c r="L15" s="8">
        <v>567.05260273972601</v>
      </c>
      <c r="M15" s="8">
        <v>585.95435616438317</v>
      </c>
      <c r="N15" s="22">
        <f t="shared" si="0"/>
        <v>6899.14</v>
      </c>
      <c r="O15" s="6">
        <f t="shared" si="1"/>
        <v>606.24538934578709</v>
      </c>
      <c r="P15" s="6">
        <f t="shared" si="2"/>
        <v>550.99694532228148</v>
      </c>
      <c r="Q15" s="6">
        <f t="shared" si="3"/>
        <v>631.88616122373708</v>
      </c>
      <c r="R15" s="6">
        <f t="shared" si="4"/>
        <v>637.01607865882477</v>
      </c>
      <c r="S15" s="6">
        <f t="shared" si="5"/>
        <v>660.84829323692429</v>
      </c>
      <c r="T15" s="6">
        <f t="shared" si="6"/>
        <v>653.23372854692138</v>
      </c>
      <c r="U15" s="6">
        <f t="shared" si="7"/>
        <v>684.76610513542551</v>
      </c>
      <c r="V15" s="6">
        <f t="shared" si="8"/>
        <v>682.47709116831891</v>
      </c>
      <c r="W15" s="6">
        <f t="shared" si="9"/>
        <v>665.17994878440084</v>
      </c>
      <c r="X15" s="6">
        <f t="shared" si="10"/>
        <v>682.27842407534013</v>
      </c>
      <c r="Y15" s="6">
        <f t="shared" si="11"/>
        <v>655.53698497112896</v>
      </c>
      <c r="Z15" s="6">
        <f t="shared" si="12"/>
        <v>686.30602282131599</v>
      </c>
      <c r="AA15" s="4">
        <f t="shared" si="13"/>
        <v>7796.7711732904063</v>
      </c>
      <c r="AD15">
        <v>600.75120218579286</v>
      </c>
      <c r="AE15" s="22">
        <f t="shared" si="14"/>
        <v>629.23015919076693</v>
      </c>
      <c r="AF15" s="4">
        <f t="shared" si="15"/>
        <v>-57.075863630549065</v>
      </c>
    </row>
    <row r="16" spans="1:32" ht="17.100000000000001" customHeight="1">
      <c r="A16" s="90" t="s">
        <v>45</v>
      </c>
      <c r="B16" s="106">
        <v>735.52723287671233</v>
      </c>
      <c r="C16" s="107">
        <v>664.34717808219182</v>
      </c>
      <c r="D16" s="8">
        <v>735.52723287671233</v>
      </c>
      <c r="E16" s="8">
        <v>711.80054794520549</v>
      </c>
      <c r="F16" s="8">
        <v>735.52723287671233</v>
      </c>
      <c r="G16" s="8">
        <v>711.80054794520549</v>
      </c>
      <c r="H16" s="62">
        <v>735.52723287671233</v>
      </c>
      <c r="I16" s="8">
        <v>735.52723287671233</v>
      </c>
      <c r="J16" s="8">
        <v>711.80054794520549</v>
      </c>
      <c r="K16" s="8">
        <v>735.52723287671233</v>
      </c>
      <c r="L16" s="8">
        <v>711.80054794520549</v>
      </c>
      <c r="M16" s="8">
        <v>735.52723287671142</v>
      </c>
      <c r="N16" s="22">
        <f t="shared" si="0"/>
        <v>8660.24</v>
      </c>
      <c r="O16" s="6">
        <f t="shared" si="1"/>
        <v>760.99783025535919</v>
      </c>
      <c r="P16" s="6">
        <f t="shared" si="2"/>
        <v>691.64646401694051</v>
      </c>
      <c r="Q16" s="6">
        <f t="shared" si="3"/>
        <v>793.1837604217709</v>
      </c>
      <c r="R16" s="6">
        <f t="shared" si="4"/>
        <v>799.62315955964084</v>
      </c>
      <c r="S16" s="6">
        <f t="shared" si="5"/>
        <v>829.53887339902371</v>
      </c>
      <c r="T16" s="6">
        <f t="shared" si="6"/>
        <v>819.98058675591312</v>
      </c>
      <c r="U16" s="6">
        <f t="shared" si="7"/>
        <v>859.56203444748428</v>
      </c>
      <c r="V16" s="6">
        <f t="shared" si="8"/>
        <v>856.68871830685009</v>
      </c>
      <c r="W16" s="6">
        <f t="shared" si="9"/>
        <v>834.97624336665433</v>
      </c>
      <c r="X16" s="6">
        <f t="shared" si="10"/>
        <v>856.43933871674199</v>
      </c>
      <c r="Y16" s="6">
        <f t="shared" si="11"/>
        <v>822.87178093593843</v>
      </c>
      <c r="Z16" s="6">
        <f t="shared" si="12"/>
        <v>861.49503721885196</v>
      </c>
      <c r="AA16" s="4">
        <f t="shared" si="13"/>
        <v>9787.0038274011713</v>
      </c>
      <c r="AF16" s="4"/>
    </row>
    <row r="17" spans="1:32" ht="17.100000000000001" customHeight="1">
      <c r="A17" s="90" t="s">
        <v>30</v>
      </c>
      <c r="B17" s="106">
        <v>620.46882191780821</v>
      </c>
      <c r="C17" s="107">
        <v>560.42345205479455</v>
      </c>
      <c r="D17" s="8">
        <v>620.46882191780821</v>
      </c>
      <c r="E17" s="8">
        <v>600.45369863013696</v>
      </c>
      <c r="F17" s="8">
        <v>620.46882191780821</v>
      </c>
      <c r="G17" s="8">
        <v>600.45369863013696</v>
      </c>
      <c r="H17" s="62">
        <v>620.46882191780821</v>
      </c>
      <c r="I17" s="8">
        <v>620.46882191780821</v>
      </c>
      <c r="J17" s="8">
        <v>600.45369863013696</v>
      </c>
      <c r="K17" s="8">
        <v>620.46882191780821</v>
      </c>
      <c r="L17" s="8">
        <v>600.45369863013696</v>
      </c>
      <c r="M17" s="8">
        <v>620.46882191780878</v>
      </c>
      <c r="N17" s="22">
        <f t="shared" si="0"/>
        <v>7305.52</v>
      </c>
      <c r="O17" s="6">
        <f t="shared" si="1"/>
        <v>641.95505769899353</v>
      </c>
      <c r="P17" s="6">
        <f t="shared" si="2"/>
        <v>583.4523149248796</v>
      </c>
      <c r="Q17" s="6">
        <f t="shared" si="3"/>
        <v>669.10614780149922</v>
      </c>
      <c r="R17" s="6">
        <f t="shared" si="4"/>
        <v>674.53823273098055</v>
      </c>
      <c r="S17" s="6">
        <f t="shared" si="5"/>
        <v>699.77423609438483</v>
      </c>
      <c r="T17" s="6">
        <f t="shared" si="6"/>
        <v>691.71115074836928</v>
      </c>
      <c r="U17" s="6">
        <f t="shared" si="7"/>
        <v>725.10087871661585</v>
      </c>
      <c r="V17" s="6">
        <f t="shared" si="8"/>
        <v>722.67703497421076</v>
      </c>
      <c r="W17" s="6">
        <f t="shared" si="9"/>
        <v>704.36103912131307</v>
      </c>
      <c r="X17" s="6">
        <f t="shared" si="10"/>
        <v>722.46666579470457</v>
      </c>
      <c r="Y17" s="6">
        <f t="shared" si="11"/>
        <v>694.15007587123648</v>
      </c>
      <c r="Z17" s="6">
        <f t="shared" si="12"/>
        <v>726.73150216426802</v>
      </c>
      <c r="AA17" s="4">
        <f t="shared" si="13"/>
        <v>8256.0243366414561</v>
      </c>
      <c r="AF17" s="4"/>
    </row>
    <row r="18" spans="1:32" ht="17.100000000000001" customHeight="1">
      <c r="A18" s="90" t="s">
        <v>51</v>
      </c>
      <c r="B18" s="106">
        <v>581.97021917808217</v>
      </c>
      <c r="C18" s="107">
        <v>525.65052054794523</v>
      </c>
      <c r="D18" s="8">
        <v>581.97021917808217</v>
      </c>
      <c r="E18" s="8">
        <v>563.19698630136986</v>
      </c>
      <c r="F18" s="8">
        <v>581.97021917808217</v>
      </c>
      <c r="G18" s="8">
        <v>563.19698630136986</v>
      </c>
      <c r="H18" s="62">
        <v>581.97021917808217</v>
      </c>
      <c r="I18" s="8">
        <v>581.97021917808217</v>
      </c>
      <c r="J18" s="8">
        <v>563.19698630136986</v>
      </c>
      <c r="K18" s="8">
        <v>581.97021917808217</v>
      </c>
      <c r="L18" s="8">
        <v>563.19698630136986</v>
      </c>
      <c r="M18" s="8">
        <v>581.97021917808161</v>
      </c>
      <c r="N18" s="22">
        <f t="shared" si="0"/>
        <v>6852.23</v>
      </c>
      <c r="O18" s="6">
        <f t="shared" si="1"/>
        <v>602.12328554528278</v>
      </c>
      <c r="P18" s="6">
        <f t="shared" si="2"/>
        <v>547.25049769184227</v>
      </c>
      <c r="Q18" s="6">
        <f t="shared" si="3"/>
        <v>627.58971560544171</v>
      </c>
      <c r="R18" s="6">
        <f t="shared" si="4"/>
        <v>632.68475268922771</v>
      </c>
      <c r="S18" s="6">
        <f t="shared" si="5"/>
        <v>656.35492255075985</v>
      </c>
      <c r="T18" s="6">
        <f t="shared" si="6"/>
        <v>648.79213231809626</v>
      </c>
      <c r="U18" s="6">
        <f t="shared" si="7"/>
        <v>680.11010772242867</v>
      </c>
      <c r="V18" s="6">
        <f t="shared" si="8"/>
        <v>677.83665767273737</v>
      </c>
      <c r="W18" s="6">
        <f t="shared" si="9"/>
        <v>660.65712544736516</v>
      </c>
      <c r="X18" s="6">
        <f t="shared" si="10"/>
        <v>677.63934139643015</v>
      </c>
      <c r="Y18" s="6">
        <f t="shared" si="11"/>
        <v>651.07972798475168</v>
      </c>
      <c r="Z18" s="6">
        <f t="shared" si="12"/>
        <v>681.63955489479918</v>
      </c>
      <c r="AA18" s="4">
        <f t="shared" si="13"/>
        <v>7743.7578215191652</v>
      </c>
      <c r="AF18" s="4"/>
    </row>
    <row r="19" spans="1:32" ht="17.100000000000001" customHeight="1">
      <c r="A19" s="90" t="s">
        <v>82</v>
      </c>
      <c r="B19" s="106">
        <v>691.51657534246579</v>
      </c>
      <c r="C19" s="107">
        <v>624.59561643835616</v>
      </c>
      <c r="D19" s="8">
        <v>691.51657534246579</v>
      </c>
      <c r="E19" s="8">
        <v>669.20958904109591</v>
      </c>
      <c r="F19" s="8">
        <v>691.51657534246579</v>
      </c>
      <c r="G19" s="8">
        <v>669.20958904109591</v>
      </c>
      <c r="H19" s="62">
        <v>691.51657534246579</v>
      </c>
      <c r="I19" s="8">
        <v>691.51657534246579</v>
      </c>
      <c r="J19" s="8">
        <v>669.20958904109591</v>
      </c>
      <c r="K19" s="8">
        <v>691.51657534246579</v>
      </c>
      <c r="L19" s="8">
        <v>669.20958904109591</v>
      </c>
      <c r="M19" s="8">
        <v>691.51657534246624</v>
      </c>
      <c r="N19" s="22">
        <f t="shared" si="0"/>
        <v>8142.05</v>
      </c>
      <c r="O19" s="6">
        <f t="shared" si="1"/>
        <v>715.4631261755618</v>
      </c>
      <c r="P19" s="6">
        <f t="shared" si="2"/>
        <v>650.26143528922171</v>
      </c>
      <c r="Q19" s="6">
        <f t="shared" si="3"/>
        <v>745.72319433896519</v>
      </c>
      <c r="R19" s="6">
        <f t="shared" si="4"/>
        <v>751.77728865396034</v>
      </c>
      <c r="S19" s="6">
        <f t="shared" si="5"/>
        <v>779.90298007428453</v>
      </c>
      <c r="T19" s="6">
        <f t="shared" si="6"/>
        <v>770.91661852281027</v>
      </c>
      <c r="U19" s="6">
        <f t="shared" si="7"/>
        <v>808.12968954360849</v>
      </c>
      <c r="V19" s="6">
        <f t="shared" si="8"/>
        <v>805.42829978040902</v>
      </c>
      <c r="W19" s="6">
        <f t="shared" si="9"/>
        <v>785.01500215969395</v>
      </c>
      <c r="X19" s="6">
        <f t="shared" si="10"/>
        <v>805.19384194879694</v>
      </c>
      <c r="Y19" s="6">
        <f t="shared" si="11"/>
        <v>773.63481658354249</v>
      </c>
      <c r="Z19" s="6">
        <f t="shared" si="12"/>
        <v>809.94703008089471</v>
      </c>
      <c r="AA19" s="4">
        <f t="shared" si="13"/>
        <v>9201.3933231517512</v>
      </c>
      <c r="AF19" s="4"/>
    </row>
    <row r="20" spans="1:32" ht="17.100000000000001" customHeight="1">
      <c r="A20" s="90" t="s">
        <v>84</v>
      </c>
      <c r="B20" s="106">
        <v>1946.4305479452055</v>
      </c>
      <c r="C20" s="107">
        <v>1758.0663013698631</v>
      </c>
      <c r="D20" s="8">
        <v>1946.4305479452055</v>
      </c>
      <c r="E20" s="8">
        <v>1883.6424657534246</v>
      </c>
      <c r="F20" s="8">
        <v>1946.4305479452055</v>
      </c>
      <c r="G20" s="8">
        <v>1883.6424657534246</v>
      </c>
      <c r="H20" s="62">
        <v>1946.4305479452055</v>
      </c>
      <c r="I20" s="8">
        <v>1946.4305479452055</v>
      </c>
      <c r="J20" s="8">
        <v>1883.6424657534246</v>
      </c>
      <c r="K20" s="8">
        <v>1946.4305479452055</v>
      </c>
      <c r="L20" s="8">
        <v>1883.6424657534246</v>
      </c>
      <c r="M20" s="8">
        <v>1946.430547945205</v>
      </c>
      <c r="N20" s="22">
        <f t="shared" si="0"/>
        <v>22917.65</v>
      </c>
      <c r="O20" s="6">
        <f t="shared" si="1"/>
        <v>2013.833557101389</v>
      </c>
      <c r="P20" s="6">
        <f t="shared" si="2"/>
        <v>1830.3085810644782</v>
      </c>
      <c r="Q20" s="6">
        <f t="shared" si="3"/>
        <v>2099.00739552599</v>
      </c>
      <c r="R20" s="6">
        <f t="shared" si="4"/>
        <v>2116.0480197641177</v>
      </c>
      <c r="S20" s="6">
        <f t="shared" si="5"/>
        <v>2195.2141698097439</v>
      </c>
      <c r="T20" s="6">
        <f t="shared" si="6"/>
        <v>2169.9200130789277</v>
      </c>
      <c r="U20" s="6">
        <f t="shared" si="7"/>
        <v>2274.6646581105592</v>
      </c>
      <c r="V20" s="6">
        <f t="shared" si="8"/>
        <v>2267.0609827331555</v>
      </c>
      <c r="W20" s="6">
        <f t="shared" si="9"/>
        <v>2209.6031176724669</v>
      </c>
      <c r="X20" s="6">
        <f t="shared" si="10"/>
        <v>2266.4010478857099</v>
      </c>
      <c r="Y20" s="6">
        <f t="shared" si="11"/>
        <v>2177.5709992294105</v>
      </c>
      <c r="Z20" s="6">
        <f t="shared" si="12"/>
        <v>2279.7799760420776</v>
      </c>
      <c r="AA20" s="4">
        <f t="shared" si="13"/>
        <v>25899.412518018031</v>
      </c>
      <c r="AF20" s="4"/>
    </row>
    <row r="21" spans="1:32" ht="17.100000000000001" customHeight="1">
      <c r="A21" s="90" t="s">
        <v>21</v>
      </c>
      <c r="B21" s="106">
        <v>777.96410958904107</v>
      </c>
      <c r="C21" s="107">
        <v>702.67726027397259</v>
      </c>
      <c r="D21" s="8">
        <v>777.96410958904107</v>
      </c>
      <c r="E21" s="8">
        <v>752.86849315068491</v>
      </c>
      <c r="F21" s="8">
        <v>777.96410958904107</v>
      </c>
      <c r="G21" s="8">
        <v>752.86849315068491</v>
      </c>
      <c r="H21" s="62">
        <v>777.96410958904107</v>
      </c>
      <c r="I21" s="8">
        <v>777.96410958904107</v>
      </c>
      <c r="J21" s="8">
        <v>752.86849315068491</v>
      </c>
      <c r="K21" s="8">
        <v>777.96410958904107</v>
      </c>
      <c r="L21" s="8">
        <v>752.86849315068491</v>
      </c>
      <c r="M21" s="8">
        <v>777.96410958904198</v>
      </c>
      <c r="N21" s="22">
        <f t="shared" si="0"/>
        <v>9159.9</v>
      </c>
      <c r="O21" s="6">
        <f t="shared" si="1"/>
        <v>804.9042550040258</v>
      </c>
      <c r="P21" s="6">
        <f t="shared" si="2"/>
        <v>731.55160200511443</v>
      </c>
      <c r="Q21" s="6">
        <f t="shared" si="3"/>
        <v>838.94718011133398</v>
      </c>
      <c r="R21" s="6">
        <f t="shared" si="4"/>
        <v>845.75810592435698</v>
      </c>
      <c r="S21" s="6">
        <f t="shared" si="5"/>
        <v>877.39983261984855</v>
      </c>
      <c r="T21" s="6">
        <f t="shared" si="6"/>
        <v>867.29007240278418</v>
      </c>
      <c r="U21" s="6">
        <f t="shared" si="7"/>
        <v>909.15520578361702</v>
      </c>
      <c r="V21" s="6">
        <f t="shared" si="8"/>
        <v>906.11611119540748</v>
      </c>
      <c r="W21" s="6">
        <f t="shared" si="9"/>
        <v>883.15091632728615</v>
      </c>
      <c r="X21" s="6">
        <f t="shared" si="10"/>
        <v>905.85234343522632</v>
      </c>
      <c r="Y21" s="6">
        <f t="shared" si="11"/>
        <v>870.34807651925382</v>
      </c>
      <c r="Z21" s="6">
        <f t="shared" si="12"/>
        <v>911.19973481346722</v>
      </c>
      <c r="AA21" s="4">
        <f t="shared" si="13"/>
        <v>10351.673436141722</v>
      </c>
      <c r="AF21" s="4"/>
    </row>
    <row r="22" spans="1:32" ht="17.100000000000001" customHeight="1">
      <c r="A22" s="90" t="s">
        <v>85</v>
      </c>
      <c r="B22" s="106">
        <v>777.96410958904107</v>
      </c>
      <c r="C22" s="107">
        <v>702.67726027397259</v>
      </c>
      <c r="D22" s="8">
        <v>777.96410958904107</v>
      </c>
      <c r="E22" s="8">
        <v>752.86849315068491</v>
      </c>
      <c r="F22" s="8">
        <v>777.96410958904107</v>
      </c>
      <c r="G22" s="8">
        <v>752.86849315068491</v>
      </c>
      <c r="H22" s="62">
        <v>777.96410958904107</v>
      </c>
      <c r="I22" s="8">
        <v>777.96410958904107</v>
      </c>
      <c r="J22" s="8">
        <v>752.86849315068491</v>
      </c>
      <c r="K22" s="8">
        <v>777.96410958904107</v>
      </c>
      <c r="L22" s="8">
        <v>752.86849315068491</v>
      </c>
      <c r="M22" s="8">
        <v>777.96410958904198</v>
      </c>
      <c r="N22" s="22">
        <f t="shared" si="0"/>
        <v>9159.9</v>
      </c>
      <c r="O22" s="6">
        <f t="shared" si="1"/>
        <v>804.9042550040258</v>
      </c>
      <c r="P22" s="6">
        <f t="shared" si="2"/>
        <v>731.55160200511443</v>
      </c>
      <c r="Q22" s="6">
        <f t="shared" si="3"/>
        <v>838.94718011133398</v>
      </c>
      <c r="R22" s="6">
        <f t="shared" si="4"/>
        <v>845.75810592435698</v>
      </c>
      <c r="S22" s="6">
        <f t="shared" si="5"/>
        <v>877.39983261984855</v>
      </c>
      <c r="T22" s="6">
        <f t="shared" si="6"/>
        <v>867.29007240278418</v>
      </c>
      <c r="U22" s="6">
        <f t="shared" si="7"/>
        <v>909.15520578361702</v>
      </c>
      <c r="V22" s="6">
        <f t="shared" si="8"/>
        <v>906.11611119540748</v>
      </c>
      <c r="W22" s="6">
        <f t="shared" si="9"/>
        <v>883.15091632728615</v>
      </c>
      <c r="X22" s="6">
        <f t="shared" si="10"/>
        <v>905.85234343522632</v>
      </c>
      <c r="Y22" s="6">
        <f t="shared" si="11"/>
        <v>870.34807651925382</v>
      </c>
      <c r="Z22" s="6">
        <f t="shared" si="12"/>
        <v>911.19973481346722</v>
      </c>
      <c r="AA22" s="4">
        <f t="shared" si="13"/>
        <v>10351.673436141722</v>
      </c>
      <c r="AD22">
        <v>563.47581967213046</v>
      </c>
      <c r="AE22" s="22">
        <f t="shared" si="14"/>
        <v>590.18771568398768</v>
      </c>
      <c r="AF22" s="4">
        <f t="shared" si="15"/>
        <v>-321.01201912947954</v>
      </c>
    </row>
    <row r="23" spans="1:32" ht="17.100000000000001" customHeight="1">
      <c r="A23" s="90" t="s">
        <v>86</v>
      </c>
      <c r="B23" s="106">
        <v>944.66342465753428</v>
      </c>
      <c r="C23" s="107">
        <v>853.24438356164387</v>
      </c>
      <c r="D23" s="8">
        <v>944.66342465753428</v>
      </c>
      <c r="E23" s="8">
        <v>914.19041095890407</v>
      </c>
      <c r="F23" s="8">
        <v>944.66342465753428</v>
      </c>
      <c r="G23" s="8">
        <v>914.19041095890407</v>
      </c>
      <c r="H23" s="62">
        <v>944.66342465753428</v>
      </c>
      <c r="I23" s="8">
        <v>944.66342465753428</v>
      </c>
      <c r="J23" s="8">
        <v>914.19041095890407</v>
      </c>
      <c r="K23" s="8">
        <v>944.66342465753428</v>
      </c>
      <c r="L23" s="8">
        <v>914.19041095890407</v>
      </c>
      <c r="M23" s="8">
        <v>944.66342465753587</v>
      </c>
      <c r="N23" s="22">
        <f t="shared" si="0"/>
        <v>11122.65</v>
      </c>
      <c r="O23" s="6">
        <f t="shared" si="1"/>
        <v>977.3762062817857</v>
      </c>
      <c r="P23" s="6">
        <f t="shared" si="2"/>
        <v>888.30581404187672</v>
      </c>
      <c r="Q23" s="6">
        <f t="shared" si="3"/>
        <v>1018.7137253534787</v>
      </c>
      <c r="R23" s="6">
        <f t="shared" si="4"/>
        <v>1026.9840715356663</v>
      </c>
      <c r="S23" s="6">
        <f t="shared" si="5"/>
        <v>1065.4058721480758</v>
      </c>
      <c r="T23" s="6">
        <f t="shared" si="6"/>
        <v>1053.1298293442971</v>
      </c>
      <c r="U23" s="6">
        <f t="shared" si="7"/>
        <v>1103.9656709799394</v>
      </c>
      <c r="V23" s="6">
        <f t="shared" si="8"/>
        <v>1100.2753702756143</v>
      </c>
      <c r="W23" s="6">
        <f t="shared" si="9"/>
        <v>1072.3892771195854</v>
      </c>
      <c r="X23" s="6">
        <f t="shared" si="10"/>
        <v>1099.9550833207591</v>
      </c>
      <c r="Y23" s="6">
        <f t="shared" si="11"/>
        <v>1056.8430914417054</v>
      </c>
      <c r="Z23" s="6">
        <f t="shared" si="12"/>
        <v>1106.4482942415327</v>
      </c>
      <c r="AA23" s="4">
        <f t="shared" si="13"/>
        <v>12569.792306084317</v>
      </c>
      <c r="AD23">
        <v>669.54071038251368</v>
      </c>
      <c r="AE23" s="22">
        <f t="shared" si="14"/>
        <v>701.28067367295148</v>
      </c>
      <c r="AF23" s="4">
        <f t="shared" si="15"/>
        <v>-405.16762056858124</v>
      </c>
    </row>
    <row r="24" spans="1:32" ht="17.100000000000001" customHeight="1">
      <c r="A24" s="90" t="s">
        <v>88</v>
      </c>
      <c r="B24" s="106">
        <v>1989.5349863013698</v>
      </c>
      <c r="C24" s="107">
        <v>1796.9993424657534</v>
      </c>
      <c r="D24" s="8">
        <v>1989.5349863013698</v>
      </c>
      <c r="E24" s="8">
        <v>1925.3564383561643</v>
      </c>
      <c r="F24" s="8">
        <v>1989.5349863013698</v>
      </c>
      <c r="G24" s="8">
        <v>1925.3564383561643</v>
      </c>
      <c r="H24" s="62">
        <v>1989.5349863013698</v>
      </c>
      <c r="I24" s="8">
        <v>1989.5349863013698</v>
      </c>
      <c r="J24" s="8">
        <v>1925.3564383561643</v>
      </c>
      <c r="K24" s="8">
        <v>1989.5349863013698</v>
      </c>
      <c r="L24" s="8">
        <v>1925.3564383561643</v>
      </c>
      <c r="M24" s="8">
        <v>1989.5349863013726</v>
      </c>
      <c r="N24" s="22">
        <f t="shared" si="0"/>
        <v>23425.17</v>
      </c>
      <c r="O24" s="6">
        <f t="shared" si="1"/>
        <v>2058.4306605085926</v>
      </c>
      <c r="P24" s="6">
        <f t="shared" si="2"/>
        <v>1870.8414546820541</v>
      </c>
      <c r="Q24" s="6">
        <f t="shared" si="3"/>
        <v>2145.4907056986012</v>
      </c>
      <c r="R24" s="6">
        <f t="shared" si="4"/>
        <v>2162.9087009853897</v>
      </c>
      <c r="S24" s="6">
        <f t="shared" si="5"/>
        <v>2243.8280152721645</v>
      </c>
      <c r="T24" s="6">
        <f t="shared" si="6"/>
        <v>2217.9737099037684</v>
      </c>
      <c r="U24" s="6">
        <f t="shared" si="7"/>
        <v>2325.0379645919948</v>
      </c>
      <c r="V24" s="6">
        <f t="shared" si="8"/>
        <v>2317.2659029565089</v>
      </c>
      <c r="W24" s="6">
        <f t="shared" si="9"/>
        <v>2258.5356118104405</v>
      </c>
      <c r="X24" s="6">
        <f t="shared" si="10"/>
        <v>2316.591353603048</v>
      </c>
      <c r="Y24" s="6">
        <f t="shared" si="11"/>
        <v>2225.7941300272414</v>
      </c>
      <c r="Z24" s="6">
        <f t="shared" si="12"/>
        <v>2330.2665631677628</v>
      </c>
      <c r="AA24" s="4">
        <f t="shared" si="13"/>
        <v>26472.964773207565</v>
      </c>
      <c r="AD24">
        <v>1884.5755464480862</v>
      </c>
      <c r="AE24" s="22">
        <f t="shared" si="14"/>
        <v>1973.9149364728473</v>
      </c>
      <c r="AF24" s="4">
        <f t="shared" si="15"/>
        <v>-356.35162669491547</v>
      </c>
    </row>
    <row r="25" spans="1:32" ht="17.100000000000001" customHeight="1">
      <c r="A25" s="90" t="s">
        <v>26</v>
      </c>
      <c r="B25" s="106">
        <v>682.62424657534245</v>
      </c>
      <c r="C25" s="107">
        <v>616.56383561643838</v>
      </c>
      <c r="D25" s="8">
        <v>682.62424657534245</v>
      </c>
      <c r="E25" s="8">
        <v>660.60410958904106</v>
      </c>
      <c r="F25" s="8">
        <v>682.62424657534245</v>
      </c>
      <c r="G25" s="8">
        <v>660.60410958904106</v>
      </c>
      <c r="H25" s="62">
        <v>682.62424657534245</v>
      </c>
      <c r="I25" s="8">
        <v>682.62424657534245</v>
      </c>
      <c r="J25" s="8">
        <v>660.60410958904106</v>
      </c>
      <c r="K25" s="8">
        <v>682.62424657534245</v>
      </c>
      <c r="L25" s="8">
        <v>660.60410958904106</v>
      </c>
      <c r="M25" s="8">
        <v>682.62424657534302</v>
      </c>
      <c r="N25" s="22">
        <f t="shared" si="0"/>
        <v>8037.35</v>
      </c>
      <c r="O25" s="6">
        <f t="shared" si="1"/>
        <v>706.26286465535725</v>
      </c>
      <c r="P25" s="6">
        <f t="shared" si="2"/>
        <v>641.89961335558326</v>
      </c>
      <c r="Q25" s="6">
        <f t="shared" si="3"/>
        <v>736.13381347698453</v>
      </c>
      <c r="R25" s="6">
        <f t="shared" si="4"/>
        <v>742.11005716777811</v>
      </c>
      <c r="S25" s="6">
        <f t="shared" si="5"/>
        <v>769.87407555837285</v>
      </c>
      <c r="T25" s="6">
        <f t="shared" si="6"/>
        <v>761.00327115214327</v>
      </c>
      <c r="U25" s="6">
        <f t="shared" si="7"/>
        <v>797.73781298976564</v>
      </c>
      <c r="V25" s="6">
        <f t="shared" si="8"/>
        <v>795.07116085507573</v>
      </c>
      <c r="W25" s="6">
        <f t="shared" si="9"/>
        <v>774.92036128594339</v>
      </c>
      <c r="X25" s="6">
        <f t="shared" si="10"/>
        <v>794.8397179564314</v>
      </c>
      <c r="Y25" s="6">
        <f t="shared" si="11"/>
        <v>763.68651544362103</v>
      </c>
      <c r="Z25" s="6">
        <f t="shared" si="12"/>
        <v>799.53178403727316</v>
      </c>
      <c r="AA25" s="4">
        <f t="shared" si="13"/>
        <v>9083.0710479343306</v>
      </c>
      <c r="AD25">
        <v>753.24155737704859</v>
      </c>
      <c r="AE25" s="22">
        <f t="shared" si="14"/>
        <v>788.94940756336655</v>
      </c>
      <c r="AF25" s="4">
        <f t="shared" si="15"/>
        <v>-10.582376473906606</v>
      </c>
    </row>
    <row r="26" spans="1:32" ht="17.100000000000001" customHeight="1">
      <c r="A26" s="91" t="s">
        <v>89</v>
      </c>
      <c r="B26" s="106">
        <v>1026.4023561643835</v>
      </c>
      <c r="C26" s="107">
        <v>927.07309589041097</v>
      </c>
      <c r="D26" s="8">
        <v>1026.4023561643835</v>
      </c>
      <c r="E26" s="8">
        <v>993.29260273972602</v>
      </c>
      <c r="F26" s="8">
        <v>1026.4023561643835</v>
      </c>
      <c r="G26" s="8">
        <v>993.29260273972602</v>
      </c>
      <c r="H26" s="62">
        <v>1026.4023561643835</v>
      </c>
      <c r="I26" s="8">
        <v>1026.4023561643835</v>
      </c>
      <c r="J26" s="8">
        <v>993.29260273972602</v>
      </c>
      <c r="K26" s="8">
        <v>1026.4023561643835</v>
      </c>
      <c r="L26" s="8">
        <v>993.29260273972602</v>
      </c>
      <c r="M26" s="8">
        <v>1026.4023561643826</v>
      </c>
      <c r="N26" s="22">
        <f t="shared" si="0"/>
        <v>12085.06</v>
      </c>
      <c r="O26" s="6">
        <f t="shared" si="1"/>
        <v>1061.9456780072874</v>
      </c>
      <c r="P26" s="6">
        <f t="shared" si="2"/>
        <v>965.1682882267196</v>
      </c>
      <c r="Q26" s="6">
        <f t="shared" si="3"/>
        <v>1106.8600103141166</v>
      </c>
      <c r="R26" s="6">
        <f t="shared" si="4"/>
        <v>1115.8459650850129</v>
      </c>
      <c r="S26" s="6">
        <f t="shared" si="5"/>
        <v>1157.5922904399422</v>
      </c>
      <c r="T26" s="6">
        <f t="shared" si="6"/>
        <v>1144.2540379689726</v>
      </c>
      <c r="U26" s="6">
        <f t="shared" si="7"/>
        <v>1199.4885545920106</v>
      </c>
      <c r="V26" s="6">
        <f t="shared" si="8"/>
        <v>1195.4789430848778</v>
      </c>
      <c r="W26" s="6">
        <f t="shared" si="9"/>
        <v>1165.1799487844007</v>
      </c>
      <c r="X26" s="6">
        <f t="shared" si="10"/>
        <v>1195.130942647334</v>
      </c>
      <c r="Y26" s="6">
        <f t="shared" si="11"/>
        <v>1148.2885976506045</v>
      </c>
      <c r="Z26" s="6">
        <f t="shared" si="12"/>
        <v>1202.1859919000008</v>
      </c>
      <c r="AA26" s="4">
        <f t="shared" si="13"/>
        <v>13657.419248701281</v>
      </c>
      <c r="AF26" s="4"/>
    </row>
    <row r="27" spans="1:32" ht="17.100000000000001" customHeight="1">
      <c r="A27" s="91" t="s">
        <v>90</v>
      </c>
      <c r="B27" s="106">
        <v>944.66342465753428</v>
      </c>
      <c r="C27" s="106">
        <v>853.24438356164387</v>
      </c>
      <c r="D27" s="8">
        <v>944.66342465753428</v>
      </c>
      <c r="E27" s="8">
        <v>914.19041095890407</v>
      </c>
      <c r="F27" s="8">
        <v>944.66342465753428</v>
      </c>
      <c r="G27" s="8">
        <v>914.19041095890407</v>
      </c>
      <c r="H27" s="8">
        <v>944.66342465753428</v>
      </c>
      <c r="I27" s="8">
        <v>944.66342465753428</v>
      </c>
      <c r="J27" s="8">
        <v>914.19041095890407</v>
      </c>
      <c r="K27" s="8">
        <v>944.66342465753428</v>
      </c>
      <c r="L27" s="8">
        <v>914.19041095890407</v>
      </c>
      <c r="M27" s="8">
        <v>944.66342465753587</v>
      </c>
      <c r="N27" s="22">
        <f t="shared" si="0"/>
        <v>11122.65</v>
      </c>
      <c r="O27" s="6">
        <f t="shared" si="1"/>
        <v>977.3762062817857</v>
      </c>
      <c r="P27" s="6">
        <f t="shared" si="2"/>
        <v>888.30581404187672</v>
      </c>
      <c r="Q27" s="6">
        <f t="shared" si="3"/>
        <v>1018.7137253534787</v>
      </c>
      <c r="R27" s="6">
        <f t="shared" si="4"/>
        <v>1026.9840715356663</v>
      </c>
      <c r="S27" s="6">
        <f t="shared" si="5"/>
        <v>1065.4058721480758</v>
      </c>
      <c r="T27" s="6">
        <f t="shared" si="6"/>
        <v>1053.1298293442971</v>
      </c>
      <c r="U27" s="6">
        <f t="shared" si="7"/>
        <v>1103.9656709799394</v>
      </c>
      <c r="V27" s="6">
        <f t="shared" si="8"/>
        <v>1100.2753702756143</v>
      </c>
      <c r="W27" s="6">
        <f t="shared" si="9"/>
        <v>1072.3892771195854</v>
      </c>
      <c r="X27" s="6">
        <f t="shared" si="10"/>
        <v>1099.9550833207591</v>
      </c>
      <c r="Y27" s="6">
        <f t="shared" si="11"/>
        <v>1056.8430914417054</v>
      </c>
      <c r="Z27" s="6">
        <f t="shared" si="12"/>
        <v>1106.4482942415327</v>
      </c>
      <c r="AA27" s="4">
        <f t="shared" si="13"/>
        <v>12569.792306084317</v>
      </c>
      <c r="AD27">
        <v>753.24155737704859</v>
      </c>
      <c r="AE27" s="22">
        <f t="shared" si="14"/>
        <v>788.94940756336655</v>
      </c>
      <c r="AF27" s="4">
        <f t="shared" si="15"/>
        <v>-317.49888667816617</v>
      </c>
    </row>
    <row r="28" spans="1:32" ht="17.100000000000001" customHeight="1">
      <c r="A28" s="90" t="s">
        <v>91</v>
      </c>
      <c r="B28" s="106">
        <v>761.48315068493162</v>
      </c>
      <c r="C28" s="107">
        <v>687.79123287671234</v>
      </c>
      <c r="D28" s="8">
        <v>761.48315068493162</v>
      </c>
      <c r="E28" s="8">
        <v>736.91917808219182</v>
      </c>
      <c r="F28" s="8">
        <v>761.48315068493162</v>
      </c>
      <c r="G28" s="8">
        <v>736.91917808219182</v>
      </c>
      <c r="H28" s="62">
        <v>761.48315068493162</v>
      </c>
      <c r="I28" s="8">
        <v>761.48315068493162</v>
      </c>
      <c r="J28" s="8">
        <v>736.91917808219182</v>
      </c>
      <c r="K28" s="8">
        <v>761.48315068493162</v>
      </c>
      <c r="L28" s="8">
        <v>736.91917808219182</v>
      </c>
      <c r="M28" s="8">
        <v>761.48315068493139</v>
      </c>
      <c r="N28" s="22">
        <f t="shared" si="0"/>
        <v>8965.85</v>
      </c>
      <c r="O28" s="6">
        <f t="shared" si="1"/>
        <v>787.85257641762973</v>
      </c>
      <c r="P28" s="6">
        <f t="shared" si="2"/>
        <v>716.05387950060106</v>
      </c>
      <c r="Q28" s="6">
        <f t="shared" si="3"/>
        <v>821.1743113790767</v>
      </c>
      <c r="R28" s="6">
        <f t="shared" si="4"/>
        <v>827.84094957389243</v>
      </c>
      <c r="S28" s="6">
        <f t="shared" si="5"/>
        <v>858.81235486137075</v>
      </c>
      <c r="T28" s="6">
        <f t="shared" si="6"/>
        <v>848.91676717567918</v>
      </c>
      <c r="U28" s="6">
        <f t="shared" si="7"/>
        <v>889.89499904748345</v>
      </c>
      <c r="V28" s="6">
        <f t="shared" si="8"/>
        <v>886.92028685480693</v>
      </c>
      <c r="W28" s="6">
        <f t="shared" si="9"/>
        <v>864.44160341848703</v>
      </c>
      <c r="X28" s="6">
        <f t="shared" si="10"/>
        <v>886.66210694316806</v>
      </c>
      <c r="Y28" s="6">
        <f t="shared" si="11"/>
        <v>851.90998830338231</v>
      </c>
      <c r="Z28" s="6">
        <f t="shared" si="12"/>
        <v>891.8962152837164</v>
      </c>
      <c r="AA28" s="4">
        <f t="shared" si="13"/>
        <v>10132.376038759292</v>
      </c>
      <c r="AD28">
        <v>1926.3095081967222</v>
      </c>
      <c r="AE28" s="22">
        <f t="shared" si="14"/>
        <v>2017.6273207331024</v>
      </c>
      <c r="AF28" s="4">
        <f t="shared" si="15"/>
        <v>1125.731105449386</v>
      </c>
    </row>
    <row r="29" spans="1:32" ht="17.100000000000001" customHeight="1">
      <c r="A29" s="90" t="s">
        <v>92</v>
      </c>
      <c r="B29" s="106">
        <v>1850.388301369863</v>
      </c>
      <c r="C29" s="107">
        <v>1671.3184657534248</v>
      </c>
      <c r="D29" s="8">
        <v>1850.388301369863</v>
      </c>
      <c r="E29" s="8">
        <v>1790.6983561643835</v>
      </c>
      <c r="F29" s="8">
        <v>1850.388301369863</v>
      </c>
      <c r="G29" s="8">
        <v>1790.6983561643835</v>
      </c>
      <c r="H29" s="62">
        <v>1850.388301369863</v>
      </c>
      <c r="I29" s="8">
        <v>1850.388301369863</v>
      </c>
      <c r="J29" s="8">
        <v>1790.6983561643835</v>
      </c>
      <c r="K29" s="8">
        <v>1850.388301369863</v>
      </c>
      <c r="L29" s="8">
        <v>1790.6983561643835</v>
      </c>
      <c r="M29" s="8">
        <v>1850.3883013698651</v>
      </c>
      <c r="N29" s="22">
        <f t="shared" si="0"/>
        <v>21786.83</v>
      </c>
      <c r="O29" s="6">
        <f t="shared" si="1"/>
        <v>1914.465460327008</v>
      </c>
      <c r="P29" s="6">
        <f t="shared" si="2"/>
        <v>1739.9961123061485</v>
      </c>
      <c r="Q29" s="6">
        <f t="shared" si="3"/>
        <v>1995.4365868693997</v>
      </c>
      <c r="R29" s="6">
        <f t="shared" si="4"/>
        <v>2011.636379752613</v>
      </c>
      <c r="S29" s="6">
        <f t="shared" si="5"/>
        <v>2086.8962538146807</v>
      </c>
      <c r="T29" s="6">
        <f t="shared" si="6"/>
        <v>2062.8501804743669</v>
      </c>
      <c r="U29" s="6">
        <f t="shared" si="7"/>
        <v>2162.42643609894</v>
      </c>
      <c r="V29" s="6">
        <f t="shared" si="8"/>
        <v>2155.197947016391</v>
      </c>
      <c r="W29" s="6">
        <f t="shared" si="9"/>
        <v>2100.5752113414783</v>
      </c>
      <c r="X29" s="6">
        <f t="shared" si="10"/>
        <v>2154.5705751727519</v>
      </c>
      <c r="Y29" s="6">
        <f t="shared" si="11"/>
        <v>2070.1236458860876</v>
      </c>
      <c r="Z29" s="6">
        <f t="shared" si="12"/>
        <v>2167.2893501485923</v>
      </c>
      <c r="AA29" s="4">
        <f t="shared" si="13"/>
        <v>24621.464139208456</v>
      </c>
      <c r="AD29">
        <v>660.93101092896177</v>
      </c>
      <c r="AE29" s="22">
        <f t="shared" si="14"/>
        <v>692.26282645428262</v>
      </c>
      <c r="AF29" s="4">
        <f t="shared" si="15"/>
        <v>-1475.0265236943096</v>
      </c>
    </row>
    <row r="30" spans="1:32" ht="17.100000000000001" customHeight="1">
      <c r="A30" s="90" t="s">
        <v>33</v>
      </c>
      <c r="B30" s="106">
        <v>799.02797260273974</v>
      </c>
      <c r="C30" s="107">
        <v>721.70268493150684</v>
      </c>
      <c r="D30" s="8">
        <v>799.02797260273974</v>
      </c>
      <c r="E30" s="8">
        <v>773.25287671232877</v>
      </c>
      <c r="F30" s="8">
        <v>799.02797260273974</v>
      </c>
      <c r="G30" s="8">
        <v>773.25287671232877</v>
      </c>
      <c r="H30" s="62">
        <v>799.02797260273974</v>
      </c>
      <c r="I30" s="8">
        <v>799.02797260273974</v>
      </c>
      <c r="J30" s="8">
        <v>773.25287671232877</v>
      </c>
      <c r="K30" s="8">
        <v>799.02797260273974</v>
      </c>
      <c r="L30" s="8">
        <v>773.25287671232877</v>
      </c>
      <c r="M30" s="8">
        <v>799.02797260273837</v>
      </c>
      <c r="N30" s="22">
        <f t="shared" si="0"/>
        <v>9407.91</v>
      </c>
      <c r="O30" s="6">
        <f t="shared" si="1"/>
        <v>826.6975392411407</v>
      </c>
      <c r="P30" s="6">
        <f t="shared" si="2"/>
        <v>751.35881745651545</v>
      </c>
      <c r="Q30" s="6">
        <f t="shared" si="3"/>
        <v>861.66219775775062</v>
      </c>
      <c r="R30" s="6">
        <f t="shared" si="4"/>
        <v>868.65753363102419</v>
      </c>
      <c r="S30" s="6">
        <f t="shared" si="5"/>
        <v>901.15597979263964</v>
      </c>
      <c r="T30" s="6">
        <f t="shared" si="6"/>
        <v>890.77249151834383</v>
      </c>
      <c r="U30" s="6">
        <f t="shared" si="7"/>
        <v>933.77114947147334</v>
      </c>
      <c r="V30" s="6">
        <f t="shared" si="8"/>
        <v>930.64976950363939</v>
      </c>
      <c r="W30" s="6">
        <f t="shared" si="9"/>
        <v>907.06277767493521</v>
      </c>
      <c r="X30" s="6">
        <f t="shared" si="10"/>
        <v>930.37886006699853</v>
      </c>
      <c r="Y30" s="6">
        <f t="shared" si="11"/>
        <v>893.91329300169798</v>
      </c>
      <c r="Z30" s="6">
        <f t="shared" si="12"/>
        <v>935.87103539874249</v>
      </c>
      <c r="AA30" s="4">
        <f t="shared" si="13"/>
        <v>10631.951444514902</v>
      </c>
      <c r="AD30">
        <v>993.78461748633708</v>
      </c>
      <c r="AE30" s="22">
        <f t="shared" si="14"/>
        <v>1040.895550083098</v>
      </c>
      <c r="AF30" s="4">
        <f t="shared" si="15"/>
        <v>105.02451468435549</v>
      </c>
    </row>
    <row r="31" spans="1:32" ht="17.100000000000001" customHeight="1">
      <c r="A31" s="90" t="s">
        <v>95</v>
      </c>
      <c r="B31" s="106">
        <v>1346.524493150685</v>
      </c>
      <c r="C31" s="107">
        <v>1216.2156712328767</v>
      </c>
      <c r="D31" s="8">
        <v>1346.524493150685</v>
      </c>
      <c r="E31" s="8">
        <v>1303.0882191780822</v>
      </c>
      <c r="F31" s="8">
        <v>1346.524493150685</v>
      </c>
      <c r="G31" s="8">
        <v>1303.0882191780822</v>
      </c>
      <c r="H31" s="62">
        <v>1346.524493150685</v>
      </c>
      <c r="I31" s="8">
        <v>1346.524493150685</v>
      </c>
      <c r="J31" s="8">
        <v>1303.0882191780822</v>
      </c>
      <c r="K31" s="8">
        <v>1346.524493150685</v>
      </c>
      <c r="L31" s="8">
        <v>1303.0882191780822</v>
      </c>
      <c r="M31" s="8">
        <v>1346.5244931506859</v>
      </c>
      <c r="N31" s="22">
        <f t="shared" si="0"/>
        <v>15854.24</v>
      </c>
      <c r="O31" s="6">
        <f t="shared" si="1"/>
        <v>1393.1533352825934</v>
      </c>
      <c r="P31" s="6">
        <f t="shared" si="2"/>
        <v>1266.1922805460285</v>
      </c>
      <c r="Q31" s="6">
        <f t="shared" si="3"/>
        <v>1452.0758895630211</v>
      </c>
      <c r="R31" s="6">
        <f t="shared" si="4"/>
        <v>1463.8644519339925</v>
      </c>
      <c r="S31" s="6">
        <f t="shared" si="5"/>
        <v>1518.6309372716851</v>
      </c>
      <c r="T31" s="6">
        <f t="shared" si="6"/>
        <v>1501.1326496458605</v>
      </c>
      <c r="U31" s="6">
        <f t="shared" si="7"/>
        <v>1573.594125453646</v>
      </c>
      <c r="V31" s="6">
        <f t="shared" si="8"/>
        <v>1568.333965955816</v>
      </c>
      <c r="W31" s="6">
        <f t="shared" si="9"/>
        <v>1528.5850919412565</v>
      </c>
      <c r="X31" s="6">
        <f t="shared" si="10"/>
        <v>1567.877428507353</v>
      </c>
      <c r="Y31" s="6">
        <f t="shared" si="11"/>
        <v>1506.4255383437171</v>
      </c>
      <c r="Z31" s="6">
        <f t="shared" si="12"/>
        <v>1577.1328599295907</v>
      </c>
      <c r="AA31" s="4">
        <f t="shared" si="13"/>
        <v>17916.998554374564</v>
      </c>
      <c r="AD31">
        <v>914.64314207650386</v>
      </c>
      <c r="AE31" s="22">
        <f t="shared" si="14"/>
        <v>958.00232741532125</v>
      </c>
      <c r="AF31" s="4">
        <f t="shared" si="15"/>
        <v>-619.13053251426948</v>
      </c>
    </row>
    <row r="32" spans="1:32" ht="17.100000000000001" customHeight="1">
      <c r="A32" s="90" t="s">
        <v>53</v>
      </c>
      <c r="B32" s="106">
        <v>988.60019178082189</v>
      </c>
      <c r="C32" s="107">
        <v>892.92920547945198</v>
      </c>
      <c r="D32" s="8">
        <v>988.60019178082189</v>
      </c>
      <c r="E32" s="8">
        <v>956.70986301369862</v>
      </c>
      <c r="F32" s="8">
        <v>988.60019178082189</v>
      </c>
      <c r="G32" s="8">
        <v>956.70986301369862</v>
      </c>
      <c r="H32" s="62">
        <v>988.60019178082189</v>
      </c>
      <c r="I32" s="8">
        <v>988.60019178082189</v>
      </c>
      <c r="J32" s="8">
        <v>956.70986301369862</v>
      </c>
      <c r="K32" s="8">
        <v>988.60019178082189</v>
      </c>
      <c r="L32" s="8">
        <v>956.70986301369862</v>
      </c>
      <c r="M32" s="8">
        <v>988.60019178082075</v>
      </c>
      <c r="N32" s="22">
        <f t="shared" si="0"/>
        <v>11639.97</v>
      </c>
      <c r="O32" s="6">
        <f t="shared" si="1"/>
        <v>1022.8344611970884</v>
      </c>
      <c r="P32" s="6">
        <f t="shared" si="2"/>
        <v>929.62136058160809</v>
      </c>
      <c r="Q32" s="6">
        <f t="shared" si="3"/>
        <v>1066.0946089019012</v>
      </c>
      <c r="R32" s="6">
        <f t="shared" si="4"/>
        <v>1074.7496130106592</v>
      </c>
      <c r="S32" s="6">
        <f t="shared" si="5"/>
        <v>1114.9584307361497</v>
      </c>
      <c r="T32" s="6">
        <f t="shared" si="6"/>
        <v>1102.1114230577011</v>
      </c>
      <c r="U32" s="6">
        <f t="shared" si="7"/>
        <v>1155.3116650471216</v>
      </c>
      <c r="V32" s="6">
        <f t="shared" si="8"/>
        <v>1151.4497266161429</v>
      </c>
      <c r="W32" s="6">
        <f t="shared" si="9"/>
        <v>1122.2666373565346</v>
      </c>
      <c r="X32" s="6">
        <f t="shared" si="10"/>
        <v>1151.114542955243</v>
      </c>
      <c r="Y32" s="6">
        <f t="shared" si="11"/>
        <v>1105.9973908276093</v>
      </c>
      <c r="Z32" s="6">
        <f t="shared" si="12"/>
        <v>1157.9097563550572</v>
      </c>
      <c r="AA32" s="4">
        <f t="shared" si="13"/>
        <v>13154.419616642817</v>
      </c>
      <c r="AD32">
        <v>737.28418032786885</v>
      </c>
      <c r="AE32" s="22">
        <f t="shared" si="14"/>
        <v>772.23556185754114</v>
      </c>
      <c r="AF32" s="4">
        <f t="shared" si="15"/>
        <v>-385.67419449751605</v>
      </c>
    </row>
    <row r="33" spans="1:32" ht="17.100000000000001" customHeight="1">
      <c r="A33" s="90" t="s">
        <v>96</v>
      </c>
      <c r="B33" s="106">
        <v>524.81386301369866</v>
      </c>
      <c r="C33" s="107">
        <v>474.0254246575343</v>
      </c>
      <c r="D33" s="8">
        <v>524.81386301369866</v>
      </c>
      <c r="E33" s="8">
        <v>507.88438356164386</v>
      </c>
      <c r="F33" s="8">
        <v>524.81386301369866</v>
      </c>
      <c r="G33" s="8">
        <v>507.88438356164386</v>
      </c>
      <c r="H33" s="62">
        <v>524.81386301369866</v>
      </c>
      <c r="I33" s="8">
        <v>524.81386301369866</v>
      </c>
      <c r="J33" s="8">
        <v>507.88438356164386</v>
      </c>
      <c r="K33" s="8">
        <v>524.81386301369866</v>
      </c>
      <c r="L33" s="8">
        <v>507.88438356164386</v>
      </c>
      <c r="M33" s="8">
        <v>524.81386301369912</v>
      </c>
      <c r="N33" s="22">
        <f t="shared" si="0"/>
        <v>6179.26</v>
      </c>
      <c r="O33" s="6">
        <f t="shared" si="1"/>
        <v>542.98765999368743</v>
      </c>
      <c r="P33" s="6">
        <f t="shared" si="2"/>
        <v>493.50402866910383</v>
      </c>
      <c r="Q33" s="6">
        <f t="shared" si="3"/>
        <v>565.95298553202133</v>
      </c>
      <c r="R33" s="6">
        <f t="shared" si="4"/>
        <v>570.54762973549305</v>
      </c>
      <c r="S33" s="6">
        <f t="shared" si="5"/>
        <v>591.89310906391177</v>
      </c>
      <c r="T33" s="6">
        <f t="shared" si="6"/>
        <v>585.07307424705823</v>
      </c>
      <c r="U33" s="6">
        <f t="shared" si="7"/>
        <v>613.31525419387481</v>
      </c>
      <c r="V33" s="6">
        <f t="shared" si="8"/>
        <v>611.26508381809128</v>
      </c>
      <c r="W33" s="6">
        <f t="shared" si="9"/>
        <v>595.77278477107245</v>
      </c>
      <c r="X33" s="6">
        <f t="shared" si="10"/>
        <v>611.08714633299019</v>
      </c>
      <c r="Y33" s="6">
        <f t="shared" si="11"/>
        <v>587.13600097297615</v>
      </c>
      <c r="Z33" s="6">
        <f t="shared" si="12"/>
        <v>614.69449157124689</v>
      </c>
      <c r="AA33" s="4">
        <f t="shared" si="13"/>
        <v>6983.2292489015272</v>
      </c>
      <c r="AD33">
        <v>1791.5848633879796</v>
      </c>
      <c r="AE33" s="22">
        <f t="shared" si="14"/>
        <v>1876.5159764836285</v>
      </c>
      <c r="AF33" s="4">
        <f t="shared" si="15"/>
        <v>1261.8214849123815</v>
      </c>
    </row>
    <row r="34" spans="1:32" ht="17.100000000000001" customHeight="1">
      <c r="A34" s="90" t="s">
        <v>50</v>
      </c>
      <c r="B34" s="106">
        <v>780.11712328767123</v>
      </c>
      <c r="C34" s="107">
        <v>704.62191780821922</v>
      </c>
      <c r="D34" s="8">
        <v>780.11712328767123</v>
      </c>
      <c r="E34" s="8">
        <v>754.95205479452056</v>
      </c>
      <c r="F34" s="8">
        <v>780.11712328767123</v>
      </c>
      <c r="G34" s="8">
        <v>754.95205479452056</v>
      </c>
      <c r="H34" s="62">
        <v>780.11712328767123</v>
      </c>
      <c r="I34" s="8">
        <f>780.117123287671-0.96</f>
        <v>779.15712328767097</v>
      </c>
      <c r="J34" s="8">
        <v>754.95205479452056</v>
      </c>
      <c r="K34" s="8">
        <v>780.11712328767123</v>
      </c>
      <c r="L34" s="8">
        <v>754.95205479452056</v>
      </c>
      <c r="M34" s="8">
        <v>780.11712328767135</v>
      </c>
      <c r="N34" s="22">
        <f t="shared" si="0"/>
        <v>9184.2900000000009</v>
      </c>
      <c r="O34" s="6">
        <f t="shared" si="1"/>
        <v>807.13182548671148</v>
      </c>
      <c r="P34" s="6">
        <f t="shared" si="2"/>
        <v>733.5761692068121</v>
      </c>
      <c r="Q34" s="6">
        <f t="shared" si="3"/>
        <v>841.26896430284512</v>
      </c>
      <c r="R34" s="6">
        <f t="shared" si="4"/>
        <v>848.09873933576796</v>
      </c>
      <c r="S34" s="6">
        <f t="shared" si="5"/>
        <v>879.82803442957504</v>
      </c>
      <c r="T34" s="6">
        <f t="shared" si="6"/>
        <v>869.69029547677098</v>
      </c>
      <c r="U34" s="6">
        <f t="shared" si="7"/>
        <v>911.67129050797155</v>
      </c>
      <c r="V34" s="6">
        <f t="shared" si="8"/>
        <v>907.50564693347189</v>
      </c>
      <c r="W34" s="6">
        <f t="shared" si="9"/>
        <v>885.59503424657532</v>
      </c>
      <c r="X34" s="6">
        <f t="shared" si="10"/>
        <v>908.35928749641505</v>
      </c>
      <c r="Y34" s="6">
        <f t="shared" si="11"/>
        <v>872.75676261187084</v>
      </c>
      <c r="Z34" s="6">
        <f t="shared" si="12"/>
        <v>913.72147776672136</v>
      </c>
      <c r="AA34" s="4">
        <f t="shared" si="13"/>
        <v>10379.203527801508</v>
      </c>
      <c r="AD34">
        <v>773.63549180327936</v>
      </c>
      <c r="AE34" s="22">
        <f t="shared" si="14"/>
        <v>810.31012820587739</v>
      </c>
      <c r="AF34" s="4">
        <f t="shared" si="15"/>
        <v>-103.41134956084397</v>
      </c>
    </row>
    <row r="35" spans="1:32" ht="17.100000000000001" customHeight="1">
      <c r="A35" s="90" t="s">
        <v>97</v>
      </c>
      <c r="B35" s="106">
        <v>1514.2506301369865</v>
      </c>
      <c r="C35" s="107">
        <v>1367.7102465753426</v>
      </c>
      <c r="D35" s="8">
        <v>1514.2506301369865</v>
      </c>
      <c r="E35" s="8">
        <v>1465.4038356164385</v>
      </c>
      <c r="F35" s="8">
        <v>1514.2506301369865</v>
      </c>
      <c r="G35" s="8">
        <v>1465.4038356164385</v>
      </c>
      <c r="H35" s="62">
        <v>1514.2506301369865</v>
      </c>
      <c r="I35" s="8">
        <v>1514.2506301369865</v>
      </c>
      <c r="J35" s="8">
        <v>1465.4038356164385</v>
      </c>
      <c r="K35" s="8">
        <v>1514.2506301369865</v>
      </c>
      <c r="L35" s="8">
        <v>1465.4038356164385</v>
      </c>
      <c r="M35" s="8">
        <v>1514.2506301369849</v>
      </c>
      <c r="N35" s="22">
        <f t="shared" si="0"/>
        <v>17829.080000000002</v>
      </c>
      <c r="O35" s="6">
        <f t="shared" si="1"/>
        <v>1566.6876663290188</v>
      </c>
      <c r="P35" s="6">
        <f t="shared" si="2"/>
        <v>1423.9120554020619</v>
      </c>
      <c r="Q35" s="6">
        <f t="shared" si="3"/>
        <v>1632.9497472657326</v>
      </c>
      <c r="R35" s="6">
        <f t="shared" si="4"/>
        <v>1646.206719633821</v>
      </c>
      <c r="S35" s="6">
        <f t="shared" si="5"/>
        <v>1707.7950422783974</v>
      </c>
      <c r="T35" s="6">
        <f t="shared" si="6"/>
        <v>1688.1171283611213</v>
      </c>
      <c r="U35" s="6">
        <f t="shared" si="7"/>
        <v>1769.6045695185071</v>
      </c>
      <c r="V35" s="6">
        <f t="shared" si="8"/>
        <v>1763.6891926540484</v>
      </c>
      <c r="W35" s="6">
        <f t="shared" si="9"/>
        <v>1718.9891089719858</v>
      </c>
      <c r="X35" s="6">
        <f t="shared" si="10"/>
        <v>1763.175787868222</v>
      </c>
      <c r="Y35" s="6">
        <f t="shared" si="11"/>
        <v>1694.0693112488018</v>
      </c>
      <c r="Z35" s="6">
        <f t="shared" si="12"/>
        <v>1773.5840967661281</v>
      </c>
      <c r="AA35" s="4">
        <f t="shared" si="13"/>
        <v>20148.780426297846</v>
      </c>
      <c r="AD35">
        <v>1303.7337978142059</v>
      </c>
      <c r="AE35" s="22">
        <f t="shared" si="14"/>
        <v>1365.5380499551773</v>
      </c>
      <c r="AF35" s="4">
        <f t="shared" si="15"/>
        <v>-408.04604681095088</v>
      </c>
    </row>
    <row r="36" spans="1:32" ht="17.100000000000001" customHeight="1">
      <c r="A36" s="90" t="s">
        <v>98</v>
      </c>
      <c r="B36" s="8"/>
      <c r="C36" s="61"/>
      <c r="D36" s="96">
        <v>-11.66</v>
      </c>
      <c r="E36" s="8"/>
      <c r="F36" s="8"/>
      <c r="G36" s="8"/>
      <c r="H36" s="62"/>
      <c r="I36" s="8"/>
      <c r="J36" s="8"/>
      <c r="K36" s="8">
        <v>151.63043478260869</v>
      </c>
      <c r="L36" s="8">
        <v>146.7391304347826</v>
      </c>
      <c r="M36" s="8">
        <v>151.63043478260875</v>
      </c>
      <c r="N36" s="22">
        <f t="shared" si="0"/>
        <v>438.34000000000003</v>
      </c>
      <c r="O36" s="6">
        <f t="shared" si="1"/>
        <v>0</v>
      </c>
      <c r="P36" s="6">
        <f t="shared" si="2"/>
        <v>0</v>
      </c>
      <c r="Q36" s="6">
        <f t="shared" si="3"/>
        <v>-12.574004378255385</v>
      </c>
      <c r="R36" s="6">
        <f t="shared" si="4"/>
        <v>0</v>
      </c>
      <c r="S36" s="6">
        <f t="shared" si="5"/>
        <v>0</v>
      </c>
      <c r="T36" s="6">
        <f t="shared" si="6"/>
        <v>0</v>
      </c>
      <c r="U36" s="6">
        <f t="shared" si="7"/>
        <v>0</v>
      </c>
      <c r="V36" s="6">
        <f t="shared" si="8"/>
        <v>0</v>
      </c>
      <c r="W36" s="6">
        <f t="shared" si="9"/>
        <v>0</v>
      </c>
      <c r="X36" s="6">
        <f t="shared" si="10"/>
        <v>176.55671128130305</v>
      </c>
      <c r="Y36" s="6">
        <f t="shared" si="11"/>
        <v>169.63669098377216</v>
      </c>
      <c r="Z36" s="6">
        <f t="shared" si="12"/>
        <v>177.5989538084855</v>
      </c>
      <c r="AA36" s="4">
        <f t="shared" si="13"/>
        <v>511.21835169530527</v>
      </c>
      <c r="AD36">
        <v>957.1834426229525</v>
      </c>
      <c r="AE36" s="22">
        <f t="shared" si="14"/>
        <v>1002.5592754288627</v>
      </c>
      <c r="AF36" s="4">
        <f t="shared" si="15"/>
        <v>824.96032162037727</v>
      </c>
    </row>
    <row r="37" spans="1:32" ht="17.100000000000001" customHeight="1">
      <c r="A37" s="90"/>
      <c r="D37" s="96"/>
      <c r="F37" s="22"/>
      <c r="G37" s="22"/>
      <c r="H37" s="22"/>
      <c r="I37" s="22"/>
      <c r="J37" s="22"/>
      <c r="K37" s="22"/>
      <c r="L37" s="22"/>
      <c r="N37" s="97">
        <f t="shared" si="0"/>
        <v>0</v>
      </c>
      <c r="O37" s="6">
        <f t="shared" si="1"/>
        <v>0</v>
      </c>
      <c r="P37" s="6">
        <f t="shared" si="2"/>
        <v>0</v>
      </c>
      <c r="Q37" s="98">
        <f t="shared" si="3"/>
        <v>0</v>
      </c>
      <c r="R37" s="6">
        <f t="shared" si="4"/>
        <v>0</v>
      </c>
      <c r="S37" s="6">
        <f t="shared" si="5"/>
        <v>0</v>
      </c>
      <c r="T37" s="6">
        <f t="shared" si="6"/>
        <v>0</v>
      </c>
      <c r="U37" s="6">
        <f t="shared" si="7"/>
        <v>0</v>
      </c>
      <c r="V37" s="6">
        <f t="shared" si="8"/>
        <v>0</v>
      </c>
      <c r="W37" s="6">
        <f t="shared" si="9"/>
        <v>0</v>
      </c>
      <c r="X37" s="6">
        <f t="shared" si="10"/>
        <v>0</v>
      </c>
      <c r="Y37" s="6">
        <f t="shared" si="11"/>
        <v>0</v>
      </c>
      <c r="Z37" s="6">
        <f t="shared" si="12"/>
        <v>0</v>
      </c>
    </row>
    <row r="38" spans="1:32" ht="17.100000000000001" customHeight="1">
      <c r="B38" s="10">
        <f>SUM(B2:B37)</f>
        <v>44824.694602739728</v>
      </c>
      <c r="C38" s="10">
        <f t="shared" ref="C38:M38" si="16">SUM(C2:C37)</f>
        <v>40486.820931506853</v>
      </c>
      <c r="D38" s="10">
        <f t="shared" si="16"/>
        <v>44813.034602739725</v>
      </c>
      <c r="E38" s="10">
        <f t="shared" si="16"/>
        <v>43378.736712328762</v>
      </c>
      <c r="F38" s="10">
        <f t="shared" si="16"/>
        <v>44824.694602739728</v>
      </c>
      <c r="G38" s="10">
        <f t="shared" si="16"/>
        <v>43378.736712328762</v>
      </c>
      <c r="H38" s="10">
        <f t="shared" si="16"/>
        <v>42075.780630136986</v>
      </c>
      <c r="I38" s="10">
        <f t="shared" si="16"/>
        <v>44955.836356164386</v>
      </c>
      <c r="J38" s="10">
        <f t="shared" si="16"/>
        <v>42858.412602739721</v>
      </c>
      <c r="K38" s="10">
        <f t="shared" si="16"/>
        <v>44438.656790946996</v>
      </c>
      <c r="L38" s="10">
        <f t="shared" si="16"/>
        <v>43005.151733174505</v>
      </c>
      <c r="M38" s="10">
        <f t="shared" si="16"/>
        <v>44438.653722453811</v>
      </c>
      <c r="N38" s="26">
        <f>SUM(N2:N37)</f>
        <v>523479.21</v>
      </c>
      <c r="O38" s="4">
        <f>SUM(O2:O37)</f>
        <v>46376.930465417245</v>
      </c>
      <c r="P38" s="4">
        <f>SUM(P2:P37)</f>
        <v>42150.501214440832</v>
      </c>
      <c r="Q38" s="4">
        <f>SUM(Q2:Q37)</f>
        <v>48325.839905468223</v>
      </c>
      <c r="R38" s="4">
        <f>SUM(R2:R37)</f>
        <v>48730.845470335742</v>
      </c>
      <c r="S38" s="4">
        <f t="shared" ref="S38:Y38" si="17">SUM(S2:S36)</f>
        <v>50553.97679265085</v>
      </c>
      <c r="T38" s="4">
        <f t="shared" si="17"/>
        <v>49971.473167289223</v>
      </c>
      <c r="U38" s="4">
        <f t="shared" si="17"/>
        <v>49171.182225238976</v>
      </c>
      <c r="V38" s="4">
        <f t="shared" si="17"/>
        <v>52361.294194025402</v>
      </c>
      <c r="W38" s="4">
        <f t="shared" si="17"/>
        <v>50274.977246081689</v>
      </c>
      <c r="X38" s="100">
        <f t="shared" si="17"/>
        <v>51743.854114886693</v>
      </c>
      <c r="Y38" s="100">
        <f t="shared" si="17"/>
        <v>49715.788921845167</v>
      </c>
      <c r="Z38" s="100">
        <f>SUM(Z2:Z37)</f>
        <v>52049.302774079777</v>
      </c>
      <c r="AA38" s="4">
        <f>SUM(AA2:AA36)</f>
        <v>591425.96649175987</v>
      </c>
    </row>
    <row r="39" spans="1:32" ht="17.100000000000001" customHeight="1">
      <c r="M39" s="26"/>
      <c r="N39" s="26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4"/>
    </row>
    <row r="40" spans="1:32" ht="17.100000000000001" customHeight="1">
      <c r="A40" s="21" t="s">
        <v>163</v>
      </c>
      <c r="B40" s="70">
        <v>44824.694602739728</v>
      </c>
      <c r="C40" s="70">
        <v>40486.820931506845</v>
      </c>
      <c r="D40" s="70">
        <v>44813.034602739725</v>
      </c>
      <c r="E40" s="70">
        <v>43378.736712328762</v>
      </c>
      <c r="F40" s="70">
        <v>44824.694602739728</v>
      </c>
      <c r="G40" s="70">
        <v>43378.736712328762</v>
      </c>
      <c r="H40" s="70">
        <v>42075.780630136986</v>
      </c>
      <c r="I40" s="70">
        <v>44955.836356164386</v>
      </c>
      <c r="J40" s="70">
        <v>42858.412602739721</v>
      </c>
      <c r="K40" s="70">
        <v>44438.656790946996</v>
      </c>
      <c r="L40" s="70">
        <v>43005.151733174505</v>
      </c>
      <c r="M40" s="70">
        <v>44438.653722453811</v>
      </c>
      <c r="N40" s="26">
        <f>SUM(B40:M40)</f>
        <v>523479.20999999996</v>
      </c>
      <c r="O40" s="10">
        <f>B40/B44</f>
        <v>46376.930465417245</v>
      </c>
      <c r="P40" s="10">
        <f>C40/C44</f>
        <v>42150.501214440825</v>
      </c>
      <c r="Q40" s="10">
        <f>D40/D44</f>
        <v>48325.839905468209</v>
      </c>
      <c r="R40" s="10">
        <f>E40/E44</f>
        <v>48730.845470335735</v>
      </c>
      <c r="S40" s="10">
        <f t="shared" ref="S40:Z40" si="18">F40/F44</f>
        <v>50553.97679265085</v>
      </c>
      <c r="T40" s="10">
        <f t="shared" si="18"/>
        <v>49971.47316728923</v>
      </c>
      <c r="U40" s="10">
        <f t="shared" si="18"/>
        <v>49171.182225238968</v>
      </c>
      <c r="V40" s="10">
        <f t="shared" si="18"/>
        <v>52361.294194025395</v>
      </c>
      <c r="W40" s="10">
        <f t="shared" si="18"/>
        <v>50274.977246081689</v>
      </c>
      <c r="X40" s="10">
        <f t="shared" si="18"/>
        <v>51743.854114886701</v>
      </c>
      <c r="Y40" s="10">
        <f t="shared" si="18"/>
        <v>49715.788921845167</v>
      </c>
      <c r="Z40" s="10">
        <f t="shared" si="18"/>
        <v>52049.302774079755</v>
      </c>
      <c r="AA40" s="4"/>
    </row>
    <row r="41" spans="1:32" ht="17.100000000000001" customHeight="1">
      <c r="M41" s="26"/>
      <c r="N41" s="26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4"/>
    </row>
    <row r="42" spans="1:32" ht="17.100000000000001" customHeight="1">
      <c r="A42" s="21" t="s">
        <v>3</v>
      </c>
      <c r="B42" s="14">
        <f>B38-B40</f>
        <v>0</v>
      </c>
      <c r="C42" s="14">
        <f>C38-C40</f>
        <v>0</v>
      </c>
      <c r="D42" s="14">
        <f>D38-D40</f>
        <v>0</v>
      </c>
      <c r="E42" s="14">
        <f>E38-E40</f>
        <v>0</v>
      </c>
      <c r="F42" s="14">
        <f t="shared" ref="F42:M42" si="19">F38-F40</f>
        <v>0</v>
      </c>
      <c r="G42" s="14">
        <f t="shared" si="19"/>
        <v>0</v>
      </c>
      <c r="H42" s="14">
        <f t="shared" si="19"/>
        <v>0</v>
      </c>
      <c r="I42" s="14">
        <f t="shared" si="19"/>
        <v>0</v>
      </c>
      <c r="J42" s="14">
        <f t="shared" si="19"/>
        <v>0</v>
      </c>
      <c r="K42" s="14">
        <f t="shared" si="19"/>
        <v>0</v>
      </c>
      <c r="L42" s="14">
        <f t="shared" si="19"/>
        <v>0</v>
      </c>
      <c r="M42" s="14">
        <f t="shared" si="19"/>
        <v>0</v>
      </c>
      <c r="N42" s="14"/>
      <c r="O42" s="10">
        <f>O38-O40</f>
        <v>0</v>
      </c>
      <c r="P42" s="10">
        <f t="shared" ref="P42:Z42" si="20">P38-P40</f>
        <v>0</v>
      </c>
      <c r="Q42" s="10">
        <f t="shared" si="20"/>
        <v>0</v>
      </c>
      <c r="R42" s="10">
        <f t="shared" si="20"/>
        <v>0</v>
      </c>
      <c r="S42" s="10">
        <f t="shared" si="20"/>
        <v>0</v>
      </c>
      <c r="T42" s="10">
        <f t="shared" si="20"/>
        <v>0</v>
      </c>
      <c r="U42" s="10">
        <f t="shared" si="20"/>
        <v>0</v>
      </c>
      <c r="V42" s="10">
        <f t="shared" si="20"/>
        <v>0</v>
      </c>
      <c r="W42" s="10">
        <f t="shared" si="20"/>
        <v>0</v>
      </c>
      <c r="X42" s="10">
        <f t="shared" si="20"/>
        <v>0</v>
      </c>
      <c r="Y42" s="10">
        <f t="shared" si="20"/>
        <v>0</v>
      </c>
      <c r="Z42" s="10">
        <f t="shared" si="20"/>
        <v>0</v>
      </c>
      <c r="AA42" s="4"/>
    </row>
    <row r="43" spans="1:32" ht="17.100000000000001" customHeight="1"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4"/>
    </row>
    <row r="44" spans="1:32" ht="17.100000000000001" customHeight="1">
      <c r="A44" t="s">
        <v>164</v>
      </c>
      <c r="B44">
        <v>0.96653</v>
      </c>
      <c r="C44">
        <v>0.96052999999999999</v>
      </c>
      <c r="D44">
        <v>0.92730999999999997</v>
      </c>
      <c r="E44">
        <v>0.89017000000000002</v>
      </c>
      <c r="F44">
        <v>0.88666999999999996</v>
      </c>
      <c r="G44">
        <v>0.86807000000000001</v>
      </c>
      <c r="H44" s="56">
        <v>0.85570000000000002</v>
      </c>
      <c r="I44">
        <v>0.85857000000000006</v>
      </c>
      <c r="J44">
        <v>0.85248000000000002</v>
      </c>
      <c r="K44">
        <v>0.85882000000000003</v>
      </c>
      <c r="L44" s="15">
        <v>0.86502000000000001</v>
      </c>
      <c r="M44" s="39">
        <v>0.85377999999999998</v>
      </c>
      <c r="N44" s="39"/>
    </row>
    <row r="46" spans="1:32" ht="17.100000000000001" customHeight="1">
      <c r="L46" t="s">
        <v>13</v>
      </c>
      <c r="M46" s="5">
        <f>SUM(B38:M38)</f>
        <v>523479.20999999996</v>
      </c>
      <c r="O46" s="4">
        <f>SUM(O38:Z38)</f>
        <v>591425.96649175975</v>
      </c>
    </row>
    <row r="47" spans="1:32" ht="17.100000000000001" customHeight="1">
      <c r="L47" t="s">
        <v>2</v>
      </c>
      <c r="M47" s="58"/>
      <c r="N47" s="58"/>
      <c r="O47" s="58"/>
    </row>
    <row r="48" spans="1:32" ht="16.5" customHeight="1">
      <c r="L48" t="s">
        <v>3</v>
      </c>
      <c r="M48" s="5">
        <f>M46-M47</f>
        <v>523479.20999999996</v>
      </c>
      <c r="O48" s="5">
        <f>O46-O47</f>
        <v>591425.96649175975</v>
      </c>
    </row>
    <row r="49" spans="2:14" ht="17.100000000000001" customHeight="1"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</row>
    <row r="50" spans="2:14" ht="17.100000000000001" customHeight="1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15"/>
    </row>
    <row r="51" spans="2:14" ht="17.100000000000001" customHeight="1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15"/>
    </row>
    <row r="52" spans="2:14" ht="17.100000000000001" customHeight="1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</row>
    <row r="53" spans="2:14" ht="17.100000000000001" customHeight="1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</row>
    <row r="54" spans="2:14" ht="17.100000000000001" customHeight="1"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 spans="2:14" ht="17.100000000000001" customHeight="1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</row>
    <row r="56" spans="2:14" ht="17.100000000000001" customHeight="1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</row>
    <row r="57" spans="2:14" ht="17.100000000000001" customHeight="1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</row>
    <row r="58" spans="2:14" ht="17.100000000000001" customHeight="1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</row>
    <row r="59" spans="2:14" ht="17.100000000000001" customHeight="1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</row>
    <row r="60" spans="2:14" ht="17.100000000000001" customHeight="1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</row>
    <row r="61" spans="2:14" ht="17.100000000000001" customHeight="1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</row>
    <row r="62" spans="2:14" ht="17.100000000000001" customHeight="1"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</row>
    <row r="63" spans="2:14" ht="17.100000000000001" customHeight="1"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</row>
    <row r="64" spans="2:14" ht="17.100000000000001" customHeight="1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</row>
    <row r="65" spans="2:13" ht="17.100000000000001" customHeight="1"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</row>
    <row r="66" spans="2:13" ht="17.100000000000001" customHeight="1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</row>
    <row r="67" spans="2:13" ht="17.100000000000001" customHeight="1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</row>
    <row r="68" spans="2:13" ht="17.100000000000001" customHeight="1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</row>
    <row r="69" spans="2:13" ht="17.100000000000001" customHeight="1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</row>
    <row r="70" spans="2:13" ht="17.100000000000001" customHeight="1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</row>
    <row r="71" spans="2:13" ht="17.100000000000001" customHeight="1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</row>
    <row r="72" spans="2:13" ht="17.100000000000001" customHeight="1"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</row>
    <row r="73" spans="2:13" ht="17.100000000000001" customHeight="1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</row>
    <row r="74" spans="2:13" ht="17.100000000000001" customHeight="1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</row>
    <row r="75" spans="2:13" ht="17.100000000000001" customHeight="1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</row>
    <row r="76" spans="2:13" ht="17.100000000000001" customHeight="1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</row>
    <row r="77" spans="2:13" ht="17.100000000000001" customHeight="1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</row>
    <row r="78" spans="2:13" ht="17.100000000000001" customHeight="1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</row>
    <row r="79" spans="2:13" ht="17.100000000000001" customHeight="1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</row>
    <row r="80" spans="2:13" ht="17.100000000000001" customHeight="1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</row>
    <row r="81" spans="2:13" ht="17.100000000000001" customHeight="1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</row>
    <row r="82" spans="2:13" ht="17.100000000000001" customHeight="1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</row>
    <row r="83" spans="2:13" ht="17.100000000000001" customHeight="1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</row>
    <row r="84" spans="2:13" ht="17.100000000000001" customHeight="1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</row>
    <row r="85" spans="2:13" ht="17.100000000000001" customHeight="1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</row>
    <row r="86" spans="2:13" ht="17.100000000000001" customHeight="1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</row>
    <row r="87" spans="2:13" ht="17.100000000000001" customHeight="1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</row>
    <row r="88" spans="2:13" ht="17.100000000000001" customHeight="1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</row>
    <row r="89" spans="2:13" ht="17.100000000000001" customHeight="1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</row>
    <row r="90" spans="2:13" ht="17.100000000000001" customHeight="1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</row>
    <row r="91" spans="2:13" ht="17.100000000000001" customHeight="1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</row>
    <row r="92" spans="2:13" ht="17.100000000000001" customHeight="1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</row>
    <row r="93" spans="2:13" ht="17.100000000000001" customHeight="1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</row>
    <row r="94" spans="2:13" ht="17.100000000000001" customHeight="1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</row>
    <row r="95" spans="2:13" ht="17.100000000000001" customHeight="1"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</row>
    <row r="96" spans="2:13" ht="17.100000000000001" customHeight="1"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</row>
    <row r="97" spans="2:13" ht="17.100000000000001" customHeight="1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</row>
    <row r="98" spans="2:13" ht="17.100000000000001" customHeight="1"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</row>
    <row r="99" spans="2:13" ht="17.100000000000001" customHeight="1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</row>
    <row r="100" spans="2:13" ht="17.100000000000001" customHeight="1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</row>
    <row r="101" spans="2:13" ht="17.100000000000001" customHeight="1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</row>
    <row r="102" spans="2:13" ht="17.100000000000001" customHeight="1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</row>
    <row r="103" spans="2:13" ht="17.100000000000001" customHeight="1"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</row>
    <row r="104" spans="2:13" ht="17.100000000000001" customHeight="1"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</row>
    <row r="105" spans="2:13" ht="17.100000000000001" customHeight="1"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</row>
    <row r="106" spans="2:13" ht="17.100000000000001" customHeight="1"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</row>
    <row r="107" spans="2:13" ht="17.100000000000001" customHeight="1"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</row>
    <row r="108" spans="2:13" ht="17.100000000000001" customHeight="1"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</row>
    <row r="109" spans="2:13" ht="17.100000000000001" customHeight="1"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</row>
    <row r="110" spans="2:13" ht="17.100000000000001" customHeight="1"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</row>
    <row r="111" spans="2:13" ht="17.100000000000001" customHeight="1"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</row>
    <row r="112" spans="2:13" ht="17.100000000000001" customHeight="1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</row>
    <row r="113" spans="2:13" ht="17.100000000000001" customHeight="1"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</row>
    <row r="114" spans="2:13" ht="17.100000000000001" customHeight="1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</row>
    <row r="115" spans="2:13" ht="17.100000000000001" customHeight="1"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</row>
    <row r="116" spans="2:13" ht="17.100000000000001" customHeight="1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</row>
    <row r="117" spans="2:13" ht="17.100000000000001" customHeight="1"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</row>
    <row r="118" spans="2:13" ht="17.100000000000001" customHeight="1"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</row>
    <row r="119" spans="2:13" ht="17.100000000000001" customHeight="1"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</row>
    <row r="120" spans="2:13" ht="17.100000000000001" customHeight="1"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</row>
    <row r="121" spans="2:13" ht="17.100000000000001" customHeight="1"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</row>
    <row r="122" spans="2:13" ht="17.100000000000001" customHeight="1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</row>
    <row r="123" spans="2:13" ht="17.100000000000001" customHeight="1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</row>
    <row r="124" spans="2:13" ht="17.100000000000001" customHeight="1"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</row>
    <row r="125" spans="2:13" ht="17.100000000000001" customHeight="1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</row>
    <row r="126" spans="2:13" ht="17.100000000000001" customHeight="1"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</row>
    <row r="127" spans="2:13" ht="17.100000000000001" customHeight="1"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</row>
    <row r="128" spans="2:13" ht="17.100000000000001" customHeight="1"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</row>
    <row r="129" spans="2:13" ht="17.100000000000001" customHeight="1"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</row>
    <row r="130" spans="2:13" ht="17.100000000000001" customHeight="1"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</row>
    <row r="131" spans="2:13" ht="17.100000000000001" customHeight="1"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</row>
    <row r="132" spans="2:13" ht="17.100000000000001" customHeight="1"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</row>
    <row r="133" spans="2:13" ht="17.100000000000001" customHeight="1"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</row>
    <row r="134" spans="2:13" ht="17.100000000000001" customHeight="1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</row>
    <row r="135" spans="2:13" ht="17.100000000000001" customHeight="1"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</row>
    <row r="136" spans="2:13" ht="17.100000000000001" customHeight="1"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</row>
    <row r="137" spans="2:13" ht="17.100000000000001" customHeight="1"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</row>
    <row r="138" spans="2:13" ht="17.100000000000001" customHeight="1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</row>
    <row r="139" spans="2:13" ht="17.100000000000001" customHeight="1"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</row>
    <row r="140" spans="2:13" ht="17.100000000000001" customHeight="1"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</row>
    <row r="141" spans="2:13" ht="17.100000000000001" customHeight="1"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</row>
    <row r="142" spans="2:13" ht="17.100000000000001" customHeight="1"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</row>
    <row r="143" spans="2:13" ht="17.100000000000001" customHeight="1"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</row>
    <row r="144" spans="2:13" ht="17.100000000000001" customHeight="1"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4169E-3AD9-42B8-8808-F564DA1DA4DA}">
  <dimension ref="A1:AA62"/>
  <sheetViews>
    <sheetView topLeftCell="I1" zoomScale="80" zoomScaleNormal="80" workbookViewId="0">
      <pane ySplit="1" topLeftCell="A32" activePane="bottomLeft" state="frozen"/>
      <selection pane="bottomLeft" activeCell="N45" sqref="N45"/>
      <selection activeCell="Q90" sqref="Q90"/>
    </sheetView>
  </sheetViews>
  <sheetFormatPr defaultRowHeight="14.45"/>
  <cols>
    <col min="1" max="1" width="22.42578125" bestFit="1" customWidth="1"/>
    <col min="2" max="2" width="11.42578125" bestFit="1" customWidth="1"/>
    <col min="3" max="9" width="11.7109375" bestFit="1" customWidth="1"/>
    <col min="10" max="10" width="12.28515625" bestFit="1" customWidth="1"/>
    <col min="11" max="11" width="11.7109375" bestFit="1" customWidth="1"/>
    <col min="12" max="13" width="13.28515625" bestFit="1" customWidth="1"/>
    <col min="14" max="14" width="18.28515625" bestFit="1" customWidth="1"/>
    <col min="15" max="15" width="12.28515625" style="5" bestFit="1" customWidth="1"/>
    <col min="16" max="21" width="12.28515625" bestFit="1" customWidth="1"/>
    <col min="22" max="22" width="12.7109375" bestFit="1" customWidth="1"/>
    <col min="23" max="23" width="16.7109375" bestFit="1" customWidth="1"/>
    <col min="24" max="24" width="13.42578125" bestFit="1" customWidth="1"/>
    <col min="25" max="25" width="15.7109375" bestFit="1" customWidth="1"/>
    <col min="26" max="26" width="15.7109375" customWidth="1"/>
    <col min="27" max="27" width="13.28515625" bestFit="1" customWidth="1"/>
  </cols>
  <sheetData>
    <row r="1" spans="1:27">
      <c r="A1" s="1" t="s">
        <v>14</v>
      </c>
      <c r="B1" s="2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178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179</v>
      </c>
      <c r="O1" s="7" t="s">
        <v>180</v>
      </c>
      <c r="P1" s="1" t="s">
        <v>167</v>
      </c>
      <c r="Q1" s="1" t="s">
        <v>168</v>
      </c>
      <c r="R1" s="1" t="s">
        <v>181</v>
      </c>
      <c r="S1" s="1" t="s">
        <v>170</v>
      </c>
      <c r="T1" s="1" t="s">
        <v>171</v>
      </c>
      <c r="U1" s="1" t="s">
        <v>172</v>
      </c>
      <c r="V1" s="1" t="s">
        <v>173</v>
      </c>
      <c r="W1" s="1" t="s">
        <v>182</v>
      </c>
      <c r="X1" s="1" t="s">
        <v>183</v>
      </c>
      <c r="Y1" s="1" t="s">
        <v>184</v>
      </c>
      <c r="Z1" s="1" t="s">
        <v>185</v>
      </c>
      <c r="AA1" s="1" t="s">
        <v>162</v>
      </c>
    </row>
    <row r="2" spans="1:27">
      <c r="A2" s="41" t="s">
        <v>71</v>
      </c>
      <c r="B2" s="44">
        <v>755.50397260273974</v>
      </c>
      <c r="C2" s="44">
        <v>682.39068493150683</v>
      </c>
      <c r="D2" s="44">
        <v>755.50397260273974</v>
      </c>
      <c r="E2" s="44">
        <v>731.13287671232877</v>
      </c>
      <c r="F2" s="44">
        <v>837.49580933743357</v>
      </c>
      <c r="G2" s="44">
        <v>810.47981548783901</v>
      </c>
      <c r="H2" s="44">
        <v>855.69146151134657</v>
      </c>
      <c r="I2" s="44">
        <v>855.69146151134657</v>
      </c>
      <c r="J2" s="44">
        <v>828.08851114001288</v>
      </c>
      <c r="K2" s="44">
        <v>855.69146151134657</v>
      </c>
      <c r="L2" s="44">
        <v>828.08851114001288</v>
      </c>
      <c r="M2" s="44">
        <v>855.69146151134669</v>
      </c>
      <c r="N2" s="8">
        <f>SUM(B2:M2)</f>
        <v>9651.4499999999989</v>
      </c>
      <c r="O2" s="6">
        <f>B2/$B$51</f>
        <v>781.6663451757729</v>
      </c>
      <c r="P2" s="4">
        <f>C2/$C$51</f>
        <v>710.43141279450595</v>
      </c>
      <c r="Q2" s="4">
        <f>D2/$D$51</f>
        <v>814.72643733243444</v>
      </c>
      <c r="R2" s="4">
        <f>E2/$E$51</f>
        <v>821.34072897573355</v>
      </c>
      <c r="S2" s="4">
        <f t="shared" ref="S2:S43" si="0">F2/$F$51</f>
        <v>944.54059496479363</v>
      </c>
      <c r="T2" s="4">
        <f t="shared" ref="T2:T43" si="1">G2/$G$51</f>
        <v>933.65721138599304</v>
      </c>
      <c r="U2" s="4">
        <f t="shared" ref="U2:U43" si="2">H2/$H$51</f>
        <v>999.99002163298655</v>
      </c>
      <c r="V2" s="4">
        <f>I2/$I$51</f>
        <v>996.64728736311133</v>
      </c>
      <c r="W2" s="4">
        <f>J2/$J$51</f>
        <v>971.38761160380636</v>
      </c>
      <c r="X2" s="4">
        <f>K2/$K$51</f>
        <v>996.35716624129213</v>
      </c>
      <c r="Y2" s="4">
        <f>L2/$L$51</f>
        <v>957.30562430927944</v>
      </c>
      <c r="Z2" s="4">
        <f>M2/$M$51</f>
        <v>1002.2388220751794</v>
      </c>
      <c r="AA2" s="4">
        <f>SUM(O2:Z2)</f>
        <v>10930.289263854889</v>
      </c>
    </row>
    <row r="3" spans="1:27">
      <c r="A3" s="42" t="s">
        <v>73</v>
      </c>
      <c r="B3" s="44">
        <v>1591.9069041095888</v>
      </c>
      <c r="C3" s="44">
        <v>1470.1285230087769</v>
      </c>
      <c r="D3" s="44">
        <v>1627.6422933311458</v>
      </c>
      <c r="E3" s="44">
        <v>1575.1377032236894</v>
      </c>
      <c r="F3" s="44">
        <v>1627.6422933311458</v>
      </c>
      <c r="G3" s="44">
        <v>1575.1377032236894</v>
      </c>
      <c r="H3" s="44">
        <v>1627.6422933311458</v>
      </c>
      <c r="I3" s="44">
        <v>1627.6422933311458</v>
      </c>
      <c r="J3" s="44">
        <v>1575.1377032236894</v>
      </c>
      <c r="K3" s="44">
        <v>1627.6422933311458</v>
      </c>
      <c r="L3" s="44">
        <v>1575.1377032236894</v>
      </c>
      <c r="M3" s="44">
        <v>1627.6422933311467</v>
      </c>
      <c r="N3" s="8">
        <f t="shared" ref="N3:N43" si="3">SUM(B3:M3)</f>
        <v>19128.440000000002</v>
      </c>
      <c r="O3" s="6">
        <f t="shared" ref="O3:O43" si="4">B3/$B$51</f>
        <v>1647.0331020346898</v>
      </c>
      <c r="P3" s="4">
        <f t="shared" ref="P3:P43" si="5">C3/$C$51</f>
        <v>1530.5388931202326</v>
      </c>
      <c r="Q3" s="4">
        <f t="shared" ref="Q3:Q43" si="6">D3/$D$51</f>
        <v>1755.2299590548423</v>
      </c>
      <c r="R3" s="4">
        <f t="shared" ref="R3:R43" si="7">E3/$E$51</f>
        <v>1769.4796535759342</v>
      </c>
      <c r="S3" s="4">
        <f t="shared" si="0"/>
        <v>1835.6798959377738</v>
      </c>
      <c r="T3" s="4">
        <f t="shared" si="1"/>
        <v>1814.5284403604426</v>
      </c>
      <c r="U3" s="4">
        <f t="shared" si="2"/>
        <v>1902.1179073637322</v>
      </c>
      <c r="V3" s="4">
        <f t="shared" ref="V3:V43" si="8">I3/$I$51</f>
        <v>1895.7595692036125</v>
      </c>
      <c r="W3" s="4">
        <f t="shared" ref="W3:W43" si="9">J3/$J$51</f>
        <v>1847.7122081734344</v>
      </c>
      <c r="X3" s="4">
        <f t="shared" ref="X3:X43" si="10">K3/$K$51</f>
        <v>1895.2077191159331</v>
      </c>
      <c r="Y3" s="4">
        <f t="shared" ref="Y3:Y43" si="11">L3/$L$51</f>
        <v>1820.9263406900295</v>
      </c>
      <c r="Z3" s="4">
        <f t="shared" ref="Z3:Z43" si="12">M3/$M$51</f>
        <v>1906.3954336376428</v>
      </c>
      <c r="AA3" s="4">
        <f t="shared" ref="AA3:AA43" si="13">SUM(O3:Z3)</f>
        <v>21620.609122268295</v>
      </c>
    </row>
    <row r="4" spans="1:27">
      <c r="A4" s="41" t="s">
        <v>77</v>
      </c>
      <c r="B4" s="44">
        <v>32.930493150684931</v>
      </c>
      <c r="C4" s="44">
        <v>29.743671232876711</v>
      </c>
      <c r="D4" s="44">
        <v>32.930493150684931</v>
      </c>
      <c r="E4" s="44">
        <v>31.868219178082192</v>
      </c>
      <c r="F4" s="44">
        <v>32.930493150684931</v>
      </c>
      <c r="G4" s="44">
        <v>31.868219178082192</v>
      </c>
      <c r="H4" s="44">
        <v>32.930493150684931</v>
      </c>
      <c r="I4" s="44">
        <v>32.930493150684931</v>
      </c>
      <c r="J4" s="44">
        <v>31.868219178082192</v>
      </c>
      <c r="K4" s="44">
        <v>32.930493150684931</v>
      </c>
      <c r="L4" s="44">
        <v>31.868219178082192</v>
      </c>
      <c r="M4" s="44">
        <v>32.930493150684924</v>
      </c>
      <c r="N4" s="8">
        <f t="shared" si="3"/>
        <v>387.73</v>
      </c>
      <c r="O4" s="6">
        <f t="shared" si="4"/>
        <v>34.070844309731648</v>
      </c>
      <c r="P4" s="4">
        <f t="shared" si="5"/>
        <v>30.965895112986278</v>
      </c>
      <c r="Q4" s="4">
        <f t="shared" si="6"/>
        <v>35.51184949012189</v>
      </c>
      <c r="R4" s="4">
        <f t="shared" si="7"/>
        <v>35.800149609717458</v>
      </c>
      <c r="S4" s="4">
        <f t="shared" si="0"/>
        <v>37.139514307109671</v>
      </c>
      <c r="T4" s="4">
        <f t="shared" si="1"/>
        <v>36.711577612499212</v>
      </c>
      <c r="U4" s="4">
        <f t="shared" si="2"/>
        <v>38.483689553213665</v>
      </c>
      <c r="V4" s="4">
        <f t="shared" si="8"/>
        <v>38.355047521675495</v>
      </c>
      <c r="W4" s="4">
        <f t="shared" si="9"/>
        <v>37.382952301616683</v>
      </c>
      <c r="X4" s="4">
        <f t="shared" si="10"/>
        <v>38.343882479081685</v>
      </c>
      <c r="Y4" s="4">
        <f t="shared" si="11"/>
        <v>36.841020066683072</v>
      </c>
      <c r="Z4" s="4">
        <f t="shared" si="12"/>
        <v>38.570232554855963</v>
      </c>
      <c r="AA4" s="4">
        <f t="shared" si="13"/>
        <v>438.17665491929273</v>
      </c>
    </row>
    <row r="5" spans="1:27">
      <c r="A5" s="41" t="s">
        <v>75</v>
      </c>
      <c r="B5" s="44">
        <v>43.905342465753428</v>
      </c>
      <c r="C5" s="44">
        <v>39.656438356164387</v>
      </c>
      <c r="D5" s="44">
        <v>43.905342465753428</v>
      </c>
      <c r="E5" s="44">
        <v>42.489041095890414</v>
      </c>
      <c r="F5" s="44">
        <v>43.905342465753428</v>
      </c>
      <c r="G5" s="44">
        <v>42.489041095890414</v>
      </c>
      <c r="H5" s="44">
        <v>43.905342465753428</v>
      </c>
      <c r="I5" s="44">
        <v>43.905342465753428</v>
      </c>
      <c r="J5" s="44">
        <v>42.489041095890414</v>
      </c>
      <c r="K5" s="44">
        <v>43.905342465753428</v>
      </c>
      <c r="L5" s="44">
        <v>42.489041095890414</v>
      </c>
      <c r="M5" s="44">
        <v>43.905342465753392</v>
      </c>
      <c r="N5" s="8">
        <f t="shared" si="3"/>
        <v>516.95000000000005</v>
      </c>
      <c r="O5" s="6">
        <f t="shared" si="4"/>
        <v>45.425742052241965</v>
      </c>
      <c r="P5" s="4">
        <f t="shared" si="5"/>
        <v>41.285996643690865</v>
      </c>
      <c r="Q5" s="4">
        <f t="shared" si="6"/>
        <v>47.346995574029641</v>
      </c>
      <c r="R5" s="4">
        <f t="shared" si="7"/>
        <v>47.731378383781092</v>
      </c>
      <c r="S5" s="4">
        <f t="shared" si="0"/>
        <v>49.517117378228008</v>
      </c>
      <c r="T5" s="4">
        <f t="shared" si="1"/>
        <v>48.946560871692853</v>
      </c>
      <c r="U5" s="4">
        <f t="shared" si="2"/>
        <v>51.309270148128348</v>
      </c>
      <c r="V5" s="4">
        <f t="shared" si="8"/>
        <v>51.137755181002625</v>
      </c>
      <c r="W5" s="4">
        <f t="shared" si="9"/>
        <v>49.841686720967544</v>
      </c>
      <c r="X5" s="4">
        <f t="shared" si="10"/>
        <v>51.122869129449043</v>
      </c>
      <c r="Y5" s="4">
        <f t="shared" si="11"/>
        <v>49.119143020843929</v>
      </c>
      <c r="Z5" s="4">
        <f t="shared" si="12"/>
        <v>51.424655608884486</v>
      </c>
      <c r="AA5" s="4">
        <f t="shared" si="13"/>
        <v>584.20917071294036</v>
      </c>
    </row>
    <row r="6" spans="1:27">
      <c r="A6" s="41" t="s">
        <v>23</v>
      </c>
      <c r="B6" s="44">
        <v>494.11706849315067</v>
      </c>
      <c r="C6" s="44">
        <v>446.29928767123283</v>
      </c>
      <c r="D6" s="44">
        <v>494.11706849315067</v>
      </c>
      <c r="E6" s="44">
        <v>478.17780821917808</v>
      </c>
      <c r="F6" s="44">
        <v>494.11706849315067</v>
      </c>
      <c r="G6" s="44">
        <v>478.17780821917808</v>
      </c>
      <c r="H6" s="44">
        <v>494.11706849315067</v>
      </c>
      <c r="I6" s="44">
        <v>494.11706849315067</v>
      </c>
      <c r="J6" s="44">
        <v>478.17780821917808</v>
      </c>
      <c r="K6" s="44">
        <v>494.11706849315067</v>
      </c>
      <c r="L6" s="44">
        <v>478.17780821917808</v>
      </c>
      <c r="M6" s="44">
        <v>494.11706849315124</v>
      </c>
      <c r="N6" s="8">
        <f t="shared" si="3"/>
        <v>5817.83</v>
      </c>
      <c r="O6" s="6">
        <f t="shared" si="4"/>
        <v>511.22786513936524</v>
      </c>
      <c r="P6" s="4">
        <f t="shared" si="5"/>
        <v>464.63857211251377</v>
      </c>
      <c r="Q6" s="4">
        <f t="shared" si="6"/>
        <v>532.84992989739214</v>
      </c>
      <c r="R6" s="4">
        <f t="shared" si="7"/>
        <v>537.17582958218998</v>
      </c>
      <c r="S6" s="4">
        <f t="shared" si="0"/>
        <v>557.27279426748476</v>
      </c>
      <c r="T6" s="4">
        <f t="shared" si="1"/>
        <v>550.85166889672269</v>
      </c>
      <c r="U6" s="4">
        <f t="shared" si="2"/>
        <v>577.44194050853184</v>
      </c>
      <c r="V6" s="4">
        <f t="shared" si="8"/>
        <v>575.51168628434561</v>
      </c>
      <c r="W6" s="4">
        <f t="shared" si="9"/>
        <v>560.92554455140066</v>
      </c>
      <c r="X6" s="4">
        <f t="shared" si="10"/>
        <v>575.34415650910626</v>
      </c>
      <c r="Y6" s="4">
        <f t="shared" si="11"/>
        <v>552.79393334163149</v>
      </c>
      <c r="Z6" s="4">
        <f t="shared" si="12"/>
        <v>578.74050515724332</v>
      </c>
      <c r="AA6" s="4">
        <f t="shared" si="13"/>
        <v>6574.7744262479273</v>
      </c>
    </row>
    <row r="7" spans="1:27">
      <c r="A7" s="41" t="s">
        <v>56</v>
      </c>
      <c r="B7" s="44">
        <v>22.091534246575343</v>
      </c>
      <c r="C7" s="44">
        <v>19.95364383561644</v>
      </c>
      <c r="D7" s="44">
        <v>22.091534246575343</v>
      </c>
      <c r="E7" s="44">
        <v>21.37890410958904</v>
      </c>
      <c r="F7" s="44">
        <v>22.091534246575343</v>
      </c>
      <c r="G7" s="44">
        <v>21.37890410958904</v>
      </c>
      <c r="H7" s="44">
        <v>22.091534246575343</v>
      </c>
      <c r="I7" s="44">
        <v>22.091534246575343</v>
      </c>
      <c r="J7" s="44">
        <v>21.37890410958904</v>
      </c>
      <c r="K7" s="44">
        <v>22.091534246575343</v>
      </c>
      <c r="L7" s="44">
        <v>21.37890410958904</v>
      </c>
      <c r="M7" s="44">
        <v>22.091534246575378</v>
      </c>
      <c r="N7" s="8">
        <f t="shared" si="3"/>
        <v>260.11</v>
      </c>
      <c r="O7" s="6">
        <f t="shared" si="4"/>
        <v>22.85654273180899</v>
      </c>
      <c r="P7" s="4">
        <f t="shared" si="5"/>
        <v>20.773576916511136</v>
      </c>
      <c r="Q7" s="4">
        <f t="shared" si="6"/>
        <v>23.823245998183285</v>
      </c>
      <c r="R7" s="4">
        <f t="shared" si="7"/>
        <v>24.016653121975622</v>
      </c>
      <c r="S7" s="4">
        <f t="shared" si="0"/>
        <v>24.915170521812335</v>
      </c>
      <c r="T7" s="4">
        <f t="shared" si="1"/>
        <v>24.628087722866866</v>
      </c>
      <c r="U7" s="4">
        <f t="shared" si="2"/>
        <v>25.81691509474739</v>
      </c>
      <c r="V7" s="4">
        <f t="shared" si="8"/>
        <v>25.730615146785169</v>
      </c>
      <c r="W7" s="4">
        <f t="shared" si="9"/>
        <v>25.078481735159816</v>
      </c>
      <c r="X7" s="4">
        <f t="shared" si="10"/>
        <v>25.72312503967693</v>
      </c>
      <c r="Y7" s="4">
        <f t="shared" si="11"/>
        <v>24.714924637105547</v>
      </c>
      <c r="Z7" s="4">
        <f t="shared" si="12"/>
        <v>25.874972764149287</v>
      </c>
      <c r="AA7" s="4">
        <f t="shared" si="13"/>
        <v>293.95231143078234</v>
      </c>
    </row>
    <row r="8" spans="1:27">
      <c r="A8" s="42" t="s">
        <v>78</v>
      </c>
      <c r="B8" s="44">
        <v>374.10884931506848</v>
      </c>
      <c r="C8" s="44">
        <v>337.90476712328768</v>
      </c>
      <c r="D8" s="44">
        <v>374.10884931506848</v>
      </c>
      <c r="E8" s="44">
        <v>362.04082191780822</v>
      </c>
      <c r="F8" s="44">
        <v>374.10884931506848</v>
      </c>
      <c r="G8" s="44">
        <v>362.04082191780822</v>
      </c>
      <c r="H8" s="44">
        <v>374.10884931506848</v>
      </c>
      <c r="I8" s="44">
        <v>374.10884931506848</v>
      </c>
      <c r="J8" s="44">
        <v>362.04082191780822</v>
      </c>
      <c r="K8" s="44">
        <v>374.10884931506848</v>
      </c>
      <c r="L8" s="44">
        <v>362.04082191780822</v>
      </c>
      <c r="M8" s="44">
        <v>374.10884931506916</v>
      </c>
      <c r="N8" s="8">
        <f t="shared" si="3"/>
        <v>4404.83</v>
      </c>
      <c r="O8" s="6">
        <f t="shared" si="4"/>
        <v>387.06387728789429</v>
      </c>
      <c r="P8" s="4">
        <f t="shared" si="5"/>
        <v>351.7899150711458</v>
      </c>
      <c r="Q8" s="4">
        <f t="shared" si="6"/>
        <v>403.43450336464451</v>
      </c>
      <c r="R8" s="4">
        <f t="shared" si="7"/>
        <v>406.70975422425852</v>
      </c>
      <c r="S8" s="4">
        <f t="shared" si="0"/>
        <v>421.92568747681605</v>
      </c>
      <c r="T8" s="4">
        <f t="shared" si="1"/>
        <v>417.06408690290897</v>
      </c>
      <c r="U8" s="4">
        <f t="shared" si="2"/>
        <v>437.19627125753004</v>
      </c>
      <c r="V8" s="4">
        <f t="shared" si="8"/>
        <v>435.73482571609588</v>
      </c>
      <c r="W8" s="4">
        <f t="shared" si="9"/>
        <v>424.6912794643959</v>
      </c>
      <c r="X8" s="4">
        <f t="shared" si="10"/>
        <v>435.6079845777561</v>
      </c>
      <c r="Y8" s="4">
        <f t="shared" si="11"/>
        <v>418.53462569398187</v>
      </c>
      <c r="Z8" s="4">
        <f t="shared" si="12"/>
        <v>438.17944823616057</v>
      </c>
      <c r="AA8" s="4">
        <f t="shared" si="13"/>
        <v>4977.932259273588</v>
      </c>
    </row>
    <row r="9" spans="1:27">
      <c r="A9" s="41" t="s">
        <v>87</v>
      </c>
      <c r="B9" s="44">
        <v>238.31016438356161</v>
      </c>
      <c r="C9" s="44">
        <v>215.24789041095889</v>
      </c>
      <c r="D9" s="44">
        <v>238.31016438356161</v>
      </c>
      <c r="E9" s="44">
        <v>230.62273972602736</v>
      </c>
      <c r="F9" s="44">
        <v>238.31016438356161</v>
      </c>
      <c r="G9" s="44">
        <v>230.62273972602736</v>
      </c>
      <c r="H9" s="44">
        <v>238.31016438356161</v>
      </c>
      <c r="I9" s="44">
        <v>238.31016438356161</v>
      </c>
      <c r="J9" s="44">
        <v>230.62273972602736</v>
      </c>
      <c r="K9" s="44">
        <v>238.31016438356161</v>
      </c>
      <c r="L9" s="44">
        <v>230.62273972602736</v>
      </c>
      <c r="M9" s="44">
        <v>238.3101643835621</v>
      </c>
      <c r="N9" s="8">
        <f t="shared" si="3"/>
        <v>2805.91</v>
      </c>
      <c r="O9" s="6">
        <f t="shared" si="4"/>
        <v>246.56261511133809</v>
      </c>
      <c r="P9" s="4">
        <f t="shared" si="5"/>
        <v>224.09283459231767</v>
      </c>
      <c r="Q9" s="4">
        <f t="shared" si="6"/>
        <v>256.99082764508267</v>
      </c>
      <c r="R9" s="4">
        <f t="shared" si="7"/>
        <v>259.07718719573495</v>
      </c>
      <c r="S9" s="4">
        <f t="shared" si="0"/>
        <v>268.76985167374744</v>
      </c>
      <c r="T9" s="4">
        <f t="shared" si="1"/>
        <v>265.67297536607344</v>
      </c>
      <c r="U9" s="4">
        <f t="shared" si="2"/>
        <v>278.4973289512231</v>
      </c>
      <c r="V9" s="4">
        <f t="shared" si="8"/>
        <v>277.5663770962899</v>
      </c>
      <c r="W9" s="4">
        <f t="shared" si="9"/>
        <v>270.5315546711094</v>
      </c>
      <c r="X9" s="4">
        <f t="shared" si="10"/>
        <v>277.4855783325512</v>
      </c>
      <c r="Y9" s="4">
        <f t="shared" si="11"/>
        <v>266.6097196897498</v>
      </c>
      <c r="Z9" s="4">
        <f t="shared" si="12"/>
        <v>279.12362011708183</v>
      </c>
      <c r="AA9" s="4">
        <f t="shared" si="13"/>
        <v>3170.9804704422995</v>
      </c>
    </row>
    <row r="10" spans="1:27">
      <c r="A10" s="41" t="s">
        <v>49</v>
      </c>
      <c r="B10" s="44">
        <v>54.279726027397267</v>
      </c>
      <c r="C10" s="44">
        <v>49.026849315068496</v>
      </c>
      <c r="D10" s="44">
        <v>54.279726027397267</v>
      </c>
      <c r="E10" s="44">
        <v>52.528767123287679</v>
      </c>
      <c r="F10" s="44">
        <v>54.279726027397267</v>
      </c>
      <c r="G10" s="44">
        <v>52.528767123287679</v>
      </c>
      <c r="H10" s="44">
        <v>54.279726027397267</v>
      </c>
      <c r="I10" s="44">
        <v>54.279726027397267</v>
      </c>
      <c r="J10" s="44">
        <v>52.528767123287679</v>
      </c>
      <c r="K10" s="44">
        <v>54.279726027397267</v>
      </c>
      <c r="L10" s="44">
        <v>52.528767123287679</v>
      </c>
      <c r="M10" s="44">
        <v>54.279726027397146</v>
      </c>
      <c r="N10" s="8">
        <f t="shared" si="3"/>
        <v>639.1</v>
      </c>
      <c r="O10" s="6">
        <f t="shared" si="4"/>
        <v>56.159380492480594</v>
      </c>
      <c r="P10" s="4">
        <f t="shared" si="5"/>
        <v>51.041455566269143</v>
      </c>
      <c r="Q10" s="4">
        <f t="shared" si="6"/>
        <v>58.534606579673756</v>
      </c>
      <c r="R10" s="4">
        <f t="shared" si="7"/>
        <v>59.00981511766031</v>
      </c>
      <c r="S10" s="4">
        <f t="shared" si="0"/>
        <v>61.217505980124812</v>
      </c>
      <c r="T10" s="4">
        <f t="shared" si="1"/>
        <v>60.512132804137543</v>
      </c>
      <c r="U10" s="4">
        <f t="shared" si="2"/>
        <v>63.433126127611622</v>
      </c>
      <c r="V10" s="4">
        <f t="shared" si="8"/>
        <v>63.221083927224647</v>
      </c>
      <c r="W10" s="4">
        <f t="shared" si="9"/>
        <v>61.618767740343088</v>
      </c>
      <c r="X10" s="4">
        <f t="shared" si="10"/>
        <v>63.202680453875395</v>
      </c>
      <c r="Y10" s="4">
        <f t="shared" si="11"/>
        <v>60.725494350752214</v>
      </c>
      <c r="Z10" s="4">
        <f t="shared" si="12"/>
        <v>63.575775993109637</v>
      </c>
      <c r="AA10" s="4">
        <f t="shared" si="13"/>
        <v>722.25182513326274</v>
      </c>
    </row>
    <row r="11" spans="1:27">
      <c r="A11" s="41" t="s">
        <v>42</v>
      </c>
      <c r="B11" s="44">
        <v>66.084356164383564</v>
      </c>
      <c r="C11" s="44">
        <v>59.689095890410961</v>
      </c>
      <c r="D11" s="44">
        <v>66.084356164383564</v>
      </c>
      <c r="E11" s="44">
        <v>63.952602739726025</v>
      </c>
      <c r="F11" s="44">
        <v>66.084356164383564</v>
      </c>
      <c r="G11" s="44">
        <v>63.952602739726025</v>
      </c>
      <c r="H11" s="44">
        <v>66.084356164383564</v>
      </c>
      <c r="I11" s="44">
        <v>66.084356164383564</v>
      </c>
      <c r="J11" s="44">
        <v>63.952602739726025</v>
      </c>
      <c r="K11" s="44">
        <v>66.084356164383564</v>
      </c>
      <c r="L11" s="44">
        <v>63.952602739726025</v>
      </c>
      <c r="M11" s="44">
        <v>66.084356164383621</v>
      </c>
      <c r="N11" s="8">
        <f t="shared" si="3"/>
        <v>778.09</v>
      </c>
      <c r="O11" s="6">
        <f t="shared" si="4"/>
        <v>68.372793565004258</v>
      </c>
      <c r="P11" s="4">
        <f t="shared" si="5"/>
        <v>62.141834081612195</v>
      </c>
      <c r="Q11" s="4">
        <f t="shared" si="6"/>
        <v>71.264578365793071</v>
      </c>
      <c r="R11" s="4">
        <f t="shared" si="7"/>
        <v>71.843134165076364</v>
      </c>
      <c r="S11" s="4">
        <f t="shared" si="0"/>
        <v>74.530948565287616</v>
      </c>
      <c r="T11" s="4">
        <f t="shared" si="1"/>
        <v>73.672172451214792</v>
      </c>
      <c r="U11" s="4">
        <f t="shared" si="2"/>
        <v>77.228416693214399</v>
      </c>
      <c r="V11" s="4">
        <f t="shared" si="8"/>
        <v>76.970260042143977</v>
      </c>
      <c r="W11" s="4">
        <f t="shared" si="9"/>
        <v>75.019475811427867</v>
      </c>
      <c r="X11" s="4">
        <f t="shared" si="10"/>
        <v>76.947854223683152</v>
      </c>
      <c r="Y11" s="4">
        <f t="shared" si="11"/>
        <v>73.931935376899986</v>
      </c>
      <c r="Z11" s="4">
        <f t="shared" si="12"/>
        <v>77.40208972379726</v>
      </c>
      <c r="AA11" s="4">
        <f t="shared" si="13"/>
        <v>879.32549306515511</v>
      </c>
    </row>
    <row r="12" spans="1:27">
      <c r="A12" s="42" t="s">
        <v>37</v>
      </c>
      <c r="B12" s="44">
        <v>143.69476712328768</v>
      </c>
      <c r="C12" s="44">
        <v>129.78882191780824</v>
      </c>
      <c r="D12" s="44">
        <v>143.69476712328768</v>
      </c>
      <c r="E12" s="44">
        <v>139.05945205479452</v>
      </c>
      <c r="F12" s="44">
        <v>143.69476712328768</v>
      </c>
      <c r="G12" s="44">
        <v>139.05945205479452</v>
      </c>
      <c r="H12" s="44">
        <v>143.69476712328768</v>
      </c>
      <c r="I12" s="44">
        <v>143.69476712328768</v>
      </c>
      <c r="J12" s="44">
        <v>139.05945205479452</v>
      </c>
      <c r="K12" s="44">
        <v>143.69476712328768</v>
      </c>
      <c r="L12" s="44">
        <v>139.05945205479452</v>
      </c>
      <c r="M12" s="44">
        <v>143.69476712328787</v>
      </c>
      <c r="N12" s="8">
        <f t="shared" si="3"/>
        <v>1691.89</v>
      </c>
      <c r="O12" s="6">
        <f t="shared" si="4"/>
        <v>148.67077806512748</v>
      </c>
      <c r="P12" s="4">
        <f t="shared" si="5"/>
        <v>135.12209084339713</v>
      </c>
      <c r="Q12" s="4">
        <f t="shared" si="6"/>
        <v>154.9587162041687</v>
      </c>
      <c r="R12" s="4">
        <f t="shared" si="7"/>
        <v>156.21673619060911</v>
      </c>
      <c r="S12" s="4">
        <f t="shared" si="0"/>
        <v>162.06115817980498</v>
      </c>
      <c r="T12" s="4">
        <f t="shared" si="1"/>
        <v>160.19382314190619</v>
      </c>
      <c r="U12" s="4">
        <f t="shared" si="2"/>
        <v>167.92657137231234</v>
      </c>
      <c r="V12" s="4">
        <f t="shared" si="8"/>
        <v>167.36523186611186</v>
      </c>
      <c r="W12" s="4">
        <f t="shared" si="9"/>
        <v>163.12341879550783</v>
      </c>
      <c r="X12" s="4">
        <f t="shared" si="10"/>
        <v>167.31651233470072</v>
      </c>
      <c r="Y12" s="4">
        <f t="shared" si="11"/>
        <v>160.75865535455193</v>
      </c>
      <c r="Z12" s="4">
        <f t="shared" si="12"/>
        <v>168.30420848847228</v>
      </c>
      <c r="AA12" s="4">
        <f t="shared" si="13"/>
        <v>1912.0179008366708</v>
      </c>
    </row>
    <row r="13" spans="1:27">
      <c r="A13" s="42" t="s">
        <v>36</v>
      </c>
      <c r="B13" s="44">
        <v>418.8337808219178</v>
      </c>
      <c r="C13" s="44">
        <v>378.30147945205476</v>
      </c>
      <c r="D13" s="44">
        <v>418.8337808219178</v>
      </c>
      <c r="E13" s="44">
        <v>405.32301369863012</v>
      </c>
      <c r="F13" s="44">
        <v>418.8337808219178</v>
      </c>
      <c r="G13" s="44">
        <v>405.32301369863012</v>
      </c>
      <c r="H13" s="44">
        <v>418.8337808219178</v>
      </c>
      <c r="I13" s="44">
        <v>418.8337808219178</v>
      </c>
      <c r="J13" s="44">
        <v>405.32301369863012</v>
      </c>
      <c r="K13" s="44">
        <v>418.8337808219178</v>
      </c>
      <c r="L13" s="44">
        <v>405.32301369863012</v>
      </c>
      <c r="M13" s="44">
        <v>418.83378082191848</v>
      </c>
      <c r="N13" s="8">
        <f t="shared" si="3"/>
        <v>4931.43</v>
      </c>
      <c r="O13" s="6">
        <f t="shared" si="4"/>
        <v>433.33758995780556</v>
      </c>
      <c r="P13" s="4">
        <f t="shared" si="5"/>
        <v>393.84660494940789</v>
      </c>
      <c r="Q13" s="4">
        <f t="shared" si="6"/>
        <v>451.66533394648803</v>
      </c>
      <c r="R13" s="4">
        <f t="shared" si="7"/>
        <v>455.33214295991792</v>
      </c>
      <c r="S13" s="4">
        <f t="shared" si="0"/>
        <v>472.36714992265195</v>
      </c>
      <c r="T13" s="4">
        <f t="shared" si="1"/>
        <v>466.92434215976834</v>
      </c>
      <c r="U13" s="4">
        <f t="shared" si="2"/>
        <v>489.46334091611288</v>
      </c>
      <c r="V13" s="4">
        <f t="shared" si="8"/>
        <v>487.82717870635798</v>
      </c>
      <c r="W13" s="4">
        <f t="shared" si="9"/>
        <v>475.46337004813029</v>
      </c>
      <c r="X13" s="4">
        <f t="shared" si="10"/>
        <v>487.68517363582333</v>
      </c>
      <c r="Y13" s="4">
        <f t="shared" si="11"/>
        <v>468.57068472246897</v>
      </c>
      <c r="Z13" s="4">
        <f t="shared" si="12"/>
        <v>490.56405727695483</v>
      </c>
      <c r="AA13" s="4">
        <f t="shared" si="13"/>
        <v>5573.0469692018887</v>
      </c>
    </row>
    <row r="14" spans="1:27">
      <c r="A14" s="42" t="s">
        <v>79</v>
      </c>
      <c r="B14" s="44">
        <v>7.5325753424657531</v>
      </c>
      <c r="C14" s="44">
        <v>6.8036164383561646</v>
      </c>
      <c r="D14" s="44">
        <v>7.5325753424657531</v>
      </c>
      <c r="E14" s="44">
        <v>7.2895890410958906</v>
      </c>
      <c r="F14" s="44">
        <v>7.5325753424657531</v>
      </c>
      <c r="G14" s="44">
        <v>7.2895890410958906</v>
      </c>
      <c r="H14" s="44">
        <v>7.5325753424657531</v>
      </c>
      <c r="I14" s="44">
        <v>7.5325753424657531</v>
      </c>
      <c r="J14" s="44">
        <v>7.2895890410958906</v>
      </c>
      <c r="K14" s="44">
        <v>7.5325753424657531</v>
      </c>
      <c r="L14" s="44">
        <v>7.2895890410958906</v>
      </c>
      <c r="M14" s="44">
        <v>7.5325753424657478</v>
      </c>
      <c r="N14" s="8">
        <f t="shared" si="3"/>
        <v>88.69</v>
      </c>
      <c r="O14" s="6">
        <f t="shared" si="4"/>
        <v>7.7934211482993314</v>
      </c>
      <c r="P14" s="4">
        <f t="shared" si="5"/>
        <v>7.0831899455052572</v>
      </c>
      <c r="Q14" s="4">
        <f t="shared" si="6"/>
        <v>8.1230390510894459</v>
      </c>
      <c r="R14" s="4">
        <f t="shared" si="7"/>
        <v>8.1889852961747653</v>
      </c>
      <c r="S14" s="4">
        <f t="shared" si="0"/>
        <v>8.4953537871651843</v>
      </c>
      <c r="T14" s="4">
        <f t="shared" si="1"/>
        <v>8.3974668414942233</v>
      </c>
      <c r="U14" s="4">
        <f t="shared" si="2"/>
        <v>8.8028226510059042</v>
      </c>
      <c r="V14" s="4">
        <f t="shared" si="8"/>
        <v>8.7733968604374173</v>
      </c>
      <c r="W14" s="4">
        <f t="shared" si="9"/>
        <v>8.5510381957299764</v>
      </c>
      <c r="X14" s="4">
        <f t="shared" si="10"/>
        <v>8.7708429501708771</v>
      </c>
      <c r="Y14" s="4">
        <f t="shared" si="11"/>
        <v>8.4270757220594792</v>
      </c>
      <c r="Z14" s="4">
        <f t="shared" si="12"/>
        <v>8.8226186400076685</v>
      </c>
      <c r="AA14" s="4">
        <f t="shared" si="13"/>
        <v>100.22925108913952</v>
      </c>
    </row>
    <row r="15" spans="1:27">
      <c r="A15" s="42" t="s">
        <v>32</v>
      </c>
      <c r="B15" s="44">
        <v>158.78454794520547</v>
      </c>
      <c r="C15" s="44">
        <v>143.41830136986303</v>
      </c>
      <c r="D15" s="44">
        <v>158.78454794520547</v>
      </c>
      <c r="E15" s="44">
        <v>153.66246575342467</v>
      </c>
      <c r="F15" s="44">
        <v>158.78454794520547</v>
      </c>
      <c r="G15" s="44">
        <v>153.66246575342467</v>
      </c>
      <c r="H15" s="44">
        <v>158.78454794520547</v>
      </c>
      <c r="I15" s="44">
        <v>158.78454794520547</v>
      </c>
      <c r="J15" s="44">
        <v>153.66246575342467</v>
      </c>
      <c r="K15" s="44">
        <v>158.78454794520547</v>
      </c>
      <c r="L15" s="44">
        <v>153.66246575342467</v>
      </c>
      <c r="M15" s="44">
        <v>158.7845479452053</v>
      </c>
      <c r="N15" s="8">
        <f t="shared" si="3"/>
        <v>1869.56</v>
      </c>
      <c r="O15" s="6">
        <f t="shared" si="4"/>
        <v>164.28310341655765</v>
      </c>
      <c r="P15" s="4">
        <f t="shared" si="5"/>
        <v>149.31163146373672</v>
      </c>
      <c r="Q15" s="4">
        <f t="shared" si="6"/>
        <v>171.231355151142</v>
      </c>
      <c r="R15" s="4">
        <f t="shared" si="7"/>
        <v>172.62148325985447</v>
      </c>
      <c r="S15" s="4">
        <f t="shared" si="0"/>
        <v>179.0796439996904</v>
      </c>
      <c r="T15" s="4">
        <f t="shared" si="1"/>
        <v>177.01621499812765</v>
      </c>
      <c r="U15" s="4">
        <f t="shared" si="2"/>
        <v>185.56100028655541</v>
      </c>
      <c r="V15" s="4">
        <f t="shared" si="8"/>
        <v>184.94071298229085</v>
      </c>
      <c r="W15" s="4">
        <f t="shared" si="9"/>
        <v>180.25345551030483</v>
      </c>
      <c r="X15" s="4">
        <f t="shared" si="10"/>
        <v>184.88687727952944</v>
      </c>
      <c r="Y15" s="4">
        <f t="shared" si="11"/>
        <v>177.64036178750163</v>
      </c>
      <c r="Z15" s="4">
        <f t="shared" si="12"/>
        <v>185.97829410996428</v>
      </c>
      <c r="AA15" s="4">
        <f t="shared" si="13"/>
        <v>2112.8041342452552</v>
      </c>
    </row>
    <row r="16" spans="1:27">
      <c r="A16" s="41" t="s">
        <v>22</v>
      </c>
      <c r="B16" s="44">
        <v>498.56153424657526</v>
      </c>
      <c r="C16" s="44">
        <v>450.3136438356164</v>
      </c>
      <c r="D16" s="44">
        <v>498.56153424657526</v>
      </c>
      <c r="E16" s="44">
        <v>482.478904109589</v>
      </c>
      <c r="F16" s="44">
        <v>498.56153424657526</v>
      </c>
      <c r="G16" s="44">
        <v>482.478904109589</v>
      </c>
      <c r="H16" s="44">
        <v>498.56153424657526</v>
      </c>
      <c r="I16" s="44">
        <v>498.56153424657526</v>
      </c>
      <c r="J16" s="44">
        <v>482.478904109589</v>
      </c>
      <c r="K16" s="44">
        <v>498.56153424657526</v>
      </c>
      <c r="L16" s="44">
        <v>488.38054345385132</v>
      </c>
      <c r="M16" s="44">
        <v>504.659894902313</v>
      </c>
      <c r="N16" s="8">
        <f t="shared" si="3"/>
        <v>5882.16</v>
      </c>
      <c r="O16" s="6">
        <f t="shared" si="4"/>
        <v>515.82623844741011</v>
      </c>
      <c r="P16" s="4">
        <f t="shared" si="5"/>
        <v>468.81788578765514</v>
      </c>
      <c r="Q16" s="4">
        <f t="shared" si="6"/>
        <v>537.64278854598274</v>
      </c>
      <c r="R16" s="4">
        <f t="shared" si="7"/>
        <v>542.007598671702</v>
      </c>
      <c r="S16" s="4">
        <f t="shared" si="0"/>
        <v>562.28533078436772</v>
      </c>
      <c r="T16" s="4">
        <f t="shared" si="1"/>
        <v>555.8064489149366</v>
      </c>
      <c r="U16" s="4">
        <f t="shared" si="2"/>
        <v>582.63589370874752</v>
      </c>
      <c r="V16" s="4">
        <f t="shared" si="8"/>
        <v>580.68827730595672</v>
      </c>
      <c r="W16" s="4">
        <f t="shared" si="9"/>
        <v>565.97093669011474</v>
      </c>
      <c r="X16" s="4">
        <f t="shared" si="10"/>
        <v>580.51924064015191</v>
      </c>
      <c r="Y16" s="4">
        <f t="shared" si="11"/>
        <v>564.58873026502431</v>
      </c>
      <c r="Z16" s="4">
        <f t="shared" si="12"/>
        <v>591.0889162340568</v>
      </c>
      <c r="AA16" s="4">
        <f t="shared" si="13"/>
        <v>6647.8782859961066</v>
      </c>
    </row>
    <row r="17" spans="1:27">
      <c r="A17" s="41" t="s">
        <v>19</v>
      </c>
      <c r="B17" s="44">
        <v>269.52419178082192</v>
      </c>
      <c r="C17" s="44">
        <v>243.44120547945207</v>
      </c>
      <c r="D17" s="44">
        <v>269.52419178082192</v>
      </c>
      <c r="E17" s="44">
        <v>260.82986301369863</v>
      </c>
      <c r="F17" s="44">
        <v>269.52419178082192</v>
      </c>
      <c r="G17" s="44">
        <v>260.82986301369863</v>
      </c>
      <c r="H17" s="44">
        <v>269.52419178082192</v>
      </c>
      <c r="I17" s="44">
        <v>275.60262315337093</v>
      </c>
      <c r="J17" s="44">
        <v>266.71221595487509</v>
      </c>
      <c r="K17" s="44">
        <v>275.60262315337093</v>
      </c>
      <c r="L17" s="44">
        <v>266.71221595487509</v>
      </c>
      <c r="M17" s="44">
        <v>275.60262315337064</v>
      </c>
      <c r="N17" s="8">
        <f t="shared" si="3"/>
        <v>3203.4299999999994</v>
      </c>
      <c r="O17" s="6">
        <f t="shared" si="4"/>
        <v>278.85755411712199</v>
      </c>
      <c r="P17" s="4">
        <f t="shared" si="5"/>
        <v>253.44466646481845</v>
      </c>
      <c r="Q17" s="4">
        <f t="shared" si="6"/>
        <v>290.65166102039439</v>
      </c>
      <c r="R17" s="4">
        <f t="shared" si="7"/>
        <v>293.01129336385031</v>
      </c>
      <c r="S17" s="4">
        <f t="shared" si="0"/>
        <v>303.97350962683066</v>
      </c>
      <c r="T17" s="4">
        <f t="shared" si="1"/>
        <v>300.47100235430162</v>
      </c>
      <c r="U17" s="4">
        <f t="shared" si="2"/>
        <v>314.97509849342282</v>
      </c>
      <c r="V17" s="4">
        <f t="shared" si="8"/>
        <v>321.00192547302015</v>
      </c>
      <c r="W17" s="4">
        <f t="shared" si="9"/>
        <v>312.86624431643565</v>
      </c>
      <c r="X17" s="4">
        <f t="shared" si="10"/>
        <v>320.90848274768973</v>
      </c>
      <c r="Y17" s="4">
        <f t="shared" si="11"/>
        <v>308.33069287978901</v>
      </c>
      <c r="Z17" s="4">
        <f t="shared" si="12"/>
        <v>322.8028568874542</v>
      </c>
      <c r="AA17" s="4">
        <f t="shared" si="13"/>
        <v>3621.2949877451292</v>
      </c>
    </row>
    <row r="18" spans="1:27">
      <c r="A18" s="43" t="s">
        <v>16</v>
      </c>
      <c r="B18" s="44">
        <v>1171.112904109589</v>
      </c>
      <c r="C18" s="44">
        <v>1057.779397260274</v>
      </c>
      <c r="D18" s="44">
        <v>1171.112904109589</v>
      </c>
      <c r="E18" s="44">
        <v>1133.3350684931506</v>
      </c>
      <c r="F18" s="44">
        <v>1171.112904109589</v>
      </c>
      <c r="G18" s="44">
        <v>1133.3350684931506</v>
      </c>
      <c r="H18" s="44">
        <v>1171.112904109589</v>
      </c>
      <c r="I18" s="44">
        <v>1171.112904109589</v>
      </c>
      <c r="J18" s="44">
        <v>1133.3350684931506</v>
      </c>
      <c r="K18" s="44">
        <v>1171.112904109589</v>
      </c>
      <c r="L18" s="44">
        <v>1133.3350684931506</v>
      </c>
      <c r="M18" s="44">
        <v>1171.1129041095901</v>
      </c>
      <c r="N18" s="8">
        <f t="shared" si="3"/>
        <v>13788.91</v>
      </c>
      <c r="O18" s="6">
        <f t="shared" si="4"/>
        <v>1211.6674124027077</v>
      </c>
      <c r="P18" s="4">
        <f t="shared" si="5"/>
        <v>1101.2455594934818</v>
      </c>
      <c r="Q18" s="4">
        <f t="shared" si="6"/>
        <v>1262.9141323932547</v>
      </c>
      <c r="R18" s="4">
        <f t="shared" si="7"/>
        <v>1273.1670001158775</v>
      </c>
      <c r="S18" s="4">
        <f t="shared" si="0"/>
        <v>1320.7990617812591</v>
      </c>
      <c r="T18" s="4">
        <f t="shared" si="1"/>
        <v>1305.5802740483493</v>
      </c>
      <c r="U18" s="4">
        <f t="shared" si="2"/>
        <v>1368.6022018342749</v>
      </c>
      <c r="V18" s="4">
        <f t="shared" si="8"/>
        <v>1364.0272827021547</v>
      </c>
      <c r="W18" s="4">
        <f t="shared" si="9"/>
        <v>1329.4564898802912</v>
      </c>
      <c r="X18" s="4">
        <f t="shared" si="10"/>
        <v>1363.6302183339803</v>
      </c>
      <c r="Y18" s="4">
        <f t="shared" si="11"/>
        <v>1310.1836587514169</v>
      </c>
      <c r="Z18" s="4">
        <f t="shared" si="12"/>
        <v>1371.6799457818058</v>
      </c>
      <c r="AA18" s="4">
        <f t="shared" si="13"/>
        <v>15582.953237518852</v>
      </c>
    </row>
    <row r="19" spans="1:27">
      <c r="A19" s="42" t="s">
        <v>81</v>
      </c>
      <c r="B19" s="44">
        <f>30.5592054794521-0.33</f>
        <v>30.229205479452101</v>
      </c>
      <c r="C19" s="44">
        <v>27.60186301369863</v>
      </c>
      <c r="D19" s="44">
        <v>30.559205479452057</v>
      </c>
      <c r="E19" s="44">
        <v>29.573424657534247</v>
      </c>
      <c r="F19" s="44">
        <v>30.559205479452057</v>
      </c>
      <c r="G19" s="44">
        <v>29.573424657534247</v>
      </c>
      <c r="H19" s="44">
        <v>30.559205479452057</v>
      </c>
      <c r="I19" s="44">
        <v>30.559205479452057</v>
      </c>
      <c r="J19" s="44">
        <v>29.573424657534247</v>
      </c>
      <c r="K19" s="44">
        <v>30.559205479452057</v>
      </c>
      <c r="L19" s="44">
        <v>29.573424657534247</v>
      </c>
      <c r="M19" s="44">
        <v>30.559205479452089</v>
      </c>
      <c r="N19" s="8">
        <f t="shared" si="3"/>
        <v>359.48000000000008</v>
      </c>
      <c r="O19" s="6">
        <f t="shared" si="4"/>
        <v>31.276013656536374</v>
      </c>
      <c r="P19" s="4">
        <f t="shared" si="5"/>
        <v>28.736075930682674</v>
      </c>
      <c r="Q19" s="4">
        <f t="shared" si="6"/>
        <v>32.954681260260386</v>
      </c>
      <c r="R19" s="4">
        <f t="shared" si="7"/>
        <v>33.222221213402214</v>
      </c>
      <c r="S19" s="4">
        <f t="shared" si="0"/>
        <v>34.465139769533266</v>
      </c>
      <c r="T19" s="4">
        <f t="shared" si="1"/>
        <v>34.068018313654711</v>
      </c>
      <c r="U19" s="4">
        <f t="shared" si="2"/>
        <v>35.712522472188915</v>
      </c>
      <c r="V19" s="4">
        <f t="shared" si="8"/>
        <v>35.593143808253323</v>
      </c>
      <c r="W19" s="4">
        <f t="shared" si="9"/>
        <v>34.69104806861656</v>
      </c>
      <c r="X19" s="4">
        <f t="shared" si="10"/>
        <v>35.582782747784236</v>
      </c>
      <c r="Y19" s="4">
        <f t="shared" si="11"/>
        <v>34.18813976270404</v>
      </c>
      <c r="Z19" s="4">
        <f t="shared" si="12"/>
        <v>35.792833609890238</v>
      </c>
      <c r="AA19" s="4">
        <f t="shared" si="13"/>
        <v>406.28262061350694</v>
      </c>
    </row>
    <row r="20" spans="1:27">
      <c r="A20" s="42" t="s">
        <v>29</v>
      </c>
      <c r="B20" s="44">
        <v>96.22739726027396</v>
      </c>
      <c r="C20" s="44">
        <v>86.915068493150685</v>
      </c>
      <c r="D20" s="44">
        <v>96.22739726027396</v>
      </c>
      <c r="E20" s="44">
        <v>93.123287671232873</v>
      </c>
      <c r="F20" s="44">
        <v>96.22739726027396</v>
      </c>
      <c r="G20" s="44">
        <v>93.123287671232873</v>
      </c>
      <c r="H20" s="44">
        <v>96.22739726027396</v>
      </c>
      <c r="I20" s="44">
        <v>96.22739726027396</v>
      </c>
      <c r="J20" s="44">
        <v>93.123287671232873</v>
      </c>
      <c r="K20" s="44">
        <v>96.22739726027396</v>
      </c>
      <c r="L20" s="44">
        <v>93.123287671232873</v>
      </c>
      <c r="M20" s="44">
        <v>96.227397260274074</v>
      </c>
      <c r="N20" s="8">
        <f t="shared" si="3"/>
        <v>1133</v>
      </c>
      <c r="O20" s="6">
        <f t="shared" si="4"/>
        <v>99.559659048631659</v>
      </c>
      <c r="P20" s="4">
        <f t="shared" si="5"/>
        <v>90.486573551217234</v>
      </c>
      <c r="Q20" s="4">
        <f t="shared" si="6"/>
        <v>103.77047293814793</v>
      </c>
      <c r="R20" s="4">
        <f t="shared" si="7"/>
        <v>104.61292525161808</v>
      </c>
      <c r="S20" s="4">
        <f t="shared" si="0"/>
        <v>108.52673177199405</v>
      </c>
      <c r="T20" s="4">
        <f t="shared" si="1"/>
        <v>107.27624232058805</v>
      </c>
      <c r="U20" s="4">
        <f t="shared" si="2"/>
        <v>112.45459537253005</v>
      </c>
      <c r="V20" s="4">
        <f t="shared" si="8"/>
        <v>112.07868579180959</v>
      </c>
      <c r="W20" s="4">
        <f t="shared" si="9"/>
        <v>109.23809083055657</v>
      </c>
      <c r="X20" s="4">
        <f t="shared" si="10"/>
        <v>112.04606001289439</v>
      </c>
      <c r="Y20" s="4">
        <f t="shared" si="11"/>
        <v>107.65449084556758</v>
      </c>
      <c r="Z20" s="4">
        <f t="shared" si="12"/>
        <v>112.70748583976443</v>
      </c>
      <c r="AA20" s="4">
        <f t="shared" si="13"/>
        <v>1280.4120135753196</v>
      </c>
    </row>
    <row r="21" spans="1:27">
      <c r="A21" s="42" t="s">
        <v>30</v>
      </c>
      <c r="B21" s="44">
        <v>118.54145205479452</v>
      </c>
      <c r="C21" s="44">
        <v>107.06969863013698</v>
      </c>
      <c r="D21" s="44">
        <v>118.54145205479452</v>
      </c>
      <c r="E21" s="44">
        <v>114.71753424657534</v>
      </c>
      <c r="F21" s="44">
        <v>118.54145205479452</v>
      </c>
      <c r="G21" s="44">
        <v>114.71753424657534</v>
      </c>
      <c r="H21" s="44">
        <v>118.54145205479452</v>
      </c>
      <c r="I21" s="44">
        <v>118.54145205479452</v>
      </c>
      <c r="J21" s="44">
        <v>114.71753424657534</v>
      </c>
      <c r="K21" s="44">
        <v>118.54145205479452</v>
      </c>
      <c r="L21" s="44">
        <v>114.71753424657534</v>
      </c>
      <c r="M21" s="44">
        <v>118.54145205479472</v>
      </c>
      <c r="N21" s="8">
        <f t="shared" si="3"/>
        <v>1395.73</v>
      </c>
      <c r="O21" s="6">
        <f t="shared" si="4"/>
        <v>122.64642799995295</v>
      </c>
      <c r="P21" s="4">
        <f t="shared" si="5"/>
        <v>111.46939567752905</v>
      </c>
      <c r="Q21" s="4">
        <f t="shared" si="6"/>
        <v>127.83368243068071</v>
      </c>
      <c r="R21" s="4">
        <f t="shared" si="7"/>
        <v>128.87148999244565</v>
      </c>
      <c r="S21" s="4">
        <f t="shared" si="0"/>
        <v>133.69286437433828</v>
      </c>
      <c r="T21" s="4">
        <f t="shared" si="1"/>
        <v>132.15240043611152</v>
      </c>
      <c r="U21" s="4">
        <f t="shared" si="2"/>
        <v>138.53155551571172</v>
      </c>
      <c r="V21" s="4">
        <f t="shared" si="8"/>
        <v>138.06847671686003</v>
      </c>
      <c r="W21" s="4">
        <f t="shared" si="9"/>
        <v>134.5691796248303</v>
      </c>
      <c r="X21" s="4">
        <f t="shared" si="10"/>
        <v>138.02828538552259</v>
      </c>
      <c r="Y21" s="4">
        <f t="shared" si="11"/>
        <v>132.61836055417834</v>
      </c>
      <c r="Z21" s="4">
        <f t="shared" si="12"/>
        <v>138.84308844760326</v>
      </c>
      <c r="AA21" s="4">
        <f t="shared" si="13"/>
        <v>1577.3252071557642</v>
      </c>
    </row>
    <row r="22" spans="1:27">
      <c r="A22" s="42" t="s">
        <v>51</v>
      </c>
      <c r="B22" s="44">
        <v>129.1808219178082</v>
      </c>
      <c r="C22" s="44">
        <v>116.67945205479452</v>
      </c>
      <c r="D22" s="44">
        <v>129.1808219178082</v>
      </c>
      <c r="E22" s="44">
        <v>125.01369863013699</v>
      </c>
      <c r="F22" s="44">
        <v>129.1808219178082</v>
      </c>
      <c r="G22" s="44">
        <v>125.01369863013699</v>
      </c>
      <c r="H22" s="44">
        <v>129.1808219178082</v>
      </c>
      <c r="I22" s="44">
        <v>129.1808219178082</v>
      </c>
      <c r="J22" s="44">
        <v>125.01369863013699</v>
      </c>
      <c r="K22" s="44">
        <v>129.1808219178082</v>
      </c>
      <c r="L22" s="44">
        <v>125.01369863013699</v>
      </c>
      <c r="M22" s="44">
        <v>129.18082191780809</v>
      </c>
      <c r="N22" s="8">
        <f t="shared" si="3"/>
        <v>1521</v>
      </c>
      <c r="O22" s="6">
        <f t="shared" si="4"/>
        <v>133.65422896113748</v>
      </c>
      <c r="P22" s="4">
        <f t="shared" si="5"/>
        <v>121.47403210185473</v>
      </c>
      <c r="Q22" s="4">
        <f t="shared" si="6"/>
        <v>139.30705149066461</v>
      </c>
      <c r="R22" s="4">
        <f t="shared" si="7"/>
        <v>140.43800468465236</v>
      </c>
      <c r="S22" s="4">
        <f t="shared" si="0"/>
        <v>145.69210858358602</v>
      </c>
      <c r="T22" s="4">
        <f t="shared" si="1"/>
        <v>144.01338443920073</v>
      </c>
      <c r="U22" s="4">
        <f t="shared" si="2"/>
        <v>150.96508346126936</v>
      </c>
      <c r="V22" s="4">
        <f t="shared" si="8"/>
        <v>150.46044226773378</v>
      </c>
      <c r="W22" s="4">
        <f t="shared" si="9"/>
        <v>146.64707515734912</v>
      </c>
      <c r="X22" s="4">
        <f t="shared" si="10"/>
        <v>150.416643671326</v>
      </c>
      <c r="Y22" s="4">
        <f t="shared" si="11"/>
        <v>144.52116555702409</v>
      </c>
      <c r="Z22" s="4">
        <f t="shared" si="12"/>
        <v>151.30457719530568</v>
      </c>
      <c r="AA22" s="4">
        <f t="shared" si="13"/>
        <v>1718.8937975711037</v>
      </c>
    </row>
    <row r="23" spans="1:27">
      <c r="A23" s="41" t="s">
        <v>100</v>
      </c>
      <c r="B23" s="44"/>
      <c r="C23" s="44"/>
      <c r="D23" s="44"/>
      <c r="E23" s="44"/>
      <c r="F23" s="44"/>
      <c r="G23" s="44"/>
      <c r="H23" s="44"/>
      <c r="I23" s="44"/>
      <c r="J23" s="44">
        <v>2376</v>
      </c>
      <c r="K23" s="44">
        <v>269.80219780219778</v>
      </c>
      <c r="L23" s="44">
        <v>261.09890109890108</v>
      </c>
      <c r="M23" s="44">
        <v>285.10000000000002</v>
      </c>
      <c r="N23" s="8">
        <f t="shared" si="3"/>
        <v>3192.0010989010989</v>
      </c>
      <c r="O23" s="6">
        <f t="shared" si="4"/>
        <v>0</v>
      </c>
      <c r="P23" s="4">
        <f t="shared" si="5"/>
        <v>0</v>
      </c>
      <c r="Q23" s="4">
        <f t="shared" si="6"/>
        <v>0</v>
      </c>
      <c r="R23" s="4">
        <f t="shared" si="7"/>
        <v>0</v>
      </c>
      <c r="S23" s="4">
        <f t="shared" si="0"/>
        <v>0</v>
      </c>
      <c r="T23" s="4">
        <f t="shared" si="1"/>
        <v>0</v>
      </c>
      <c r="U23" s="4">
        <f t="shared" si="2"/>
        <v>0</v>
      </c>
      <c r="V23" s="4">
        <f t="shared" si="8"/>
        <v>0</v>
      </c>
      <c r="W23" s="4">
        <f t="shared" si="9"/>
        <v>2787.1621621621621</v>
      </c>
      <c r="X23" s="4">
        <f t="shared" si="10"/>
        <v>314.15453506229221</v>
      </c>
      <c r="Y23" s="4">
        <f t="shared" si="11"/>
        <v>301.84146158343282</v>
      </c>
      <c r="Z23" s="4">
        <f t="shared" si="12"/>
        <v>333.92677270491231</v>
      </c>
      <c r="AA23" s="4">
        <f t="shared" si="13"/>
        <v>3737.0849315127994</v>
      </c>
    </row>
    <row r="24" spans="1:27">
      <c r="A24" s="41" t="s">
        <v>82</v>
      </c>
      <c r="B24" s="44">
        <v>40.694082191780822</v>
      </c>
      <c r="C24" s="44">
        <v>36.755945205479449</v>
      </c>
      <c r="D24" s="44">
        <v>40.694082191780822</v>
      </c>
      <c r="E24" s="44">
        <v>39.381369863013695</v>
      </c>
      <c r="F24" s="44">
        <v>40.694082191780822</v>
      </c>
      <c r="G24" s="44">
        <v>39.381369863013695</v>
      </c>
      <c r="H24" s="44">
        <v>40.694082191780822</v>
      </c>
      <c r="I24" s="44">
        <v>40.694082191780822</v>
      </c>
      <c r="J24" s="44">
        <v>39.381369863013695</v>
      </c>
      <c r="K24" s="44">
        <v>40.694082191780822</v>
      </c>
      <c r="L24" s="44">
        <v>39.381369863013695</v>
      </c>
      <c r="M24" s="44">
        <v>40.694082191780865</v>
      </c>
      <c r="N24" s="8">
        <f t="shared" si="3"/>
        <v>479.14</v>
      </c>
      <c r="O24" s="6">
        <f t="shared" si="4"/>
        <v>42.103278937829991</v>
      </c>
      <c r="P24" s="4">
        <f t="shared" si="5"/>
        <v>38.266316726681573</v>
      </c>
      <c r="Q24" s="4">
        <f t="shared" si="6"/>
        <v>43.884010947558878</v>
      </c>
      <c r="R24" s="4">
        <f t="shared" si="7"/>
        <v>44.240279792639264</v>
      </c>
      <c r="S24" s="4">
        <f t="shared" si="0"/>
        <v>45.89540888017055</v>
      </c>
      <c r="T24" s="4">
        <f t="shared" si="1"/>
        <v>45.366583182247624</v>
      </c>
      <c r="U24" s="4">
        <f t="shared" si="2"/>
        <v>47.556482636181862</v>
      </c>
      <c r="V24" s="4">
        <f t="shared" si="8"/>
        <v>47.397512365655473</v>
      </c>
      <c r="W24" s="4">
        <f t="shared" si="9"/>
        <v>46.196239047266438</v>
      </c>
      <c r="X24" s="4">
        <f t="shared" si="10"/>
        <v>47.383715087888987</v>
      </c>
      <c r="Y24" s="4">
        <f t="shared" si="11"/>
        <v>45.526542580534205</v>
      </c>
      <c r="Z24" s="4">
        <f t="shared" si="12"/>
        <v>47.663428742510796</v>
      </c>
      <c r="AA24" s="4">
        <f t="shared" si="13"/>
        <v>541.47979892716569</v>
      </c>
    </row>
    <row r="25" spans="1:27">
      <c r="A25" s="41" t="s">
        <v>40</v>
      </c>
      <c r="B25" s="44">
        <v>229.24202739726024</v>
      </c>
      <c r="C25" s="44">
        <v>207.05731506849312</v>
      </c>
      <c r="D25" s="44">
        <v>229.24202739726024</v>
      </c>
      <c r="E25" s="44">
        <v>221.84712328767122</v>
      </c>
      <c r="F25" s="44">
        <v>229.24202739726024</v>
      </c>
      <c r="G25" s="44">
        <v>221.84712328767122</v>
      </c>
      <c r="H25" s="44">
        <v>229.24202739726024</v>
      </c>
      <c r="I25" s="44">
        <v>229.24202739726024</v>
      </c>
      <c r="J25" s="44">
        <v>221.84712328767122</v>
      </c>
      <c r="K25" s="44">
        <v>229.24202739726024</v>
      </c>
      <c r="L25" s="44">
        <v>221.84712328767122</v>
      </c>
      <c r="M25" s="44">
        <v>229.24202739726024</v>
      </c>
      <c r="N25" s="8">
        <f t="shared" si="3"/>
        <v>2699.14</v>
      </c>
      <c r="O25" s="6">
        <f t="shared" si="4"/>
        <v>237.1804573031983</v>
      </c>
      <c r="P25" s="4">
        <f t="shared" si="5"/>
        <v>215.5656929700198</v>
      </c>
      <c r="Q25" s="4">
        <f t="shared" si="6"/>
        <v>247.21185730474195</v>
      </c>
      <c r="R25" s="4">
        <f t="shared" si="7"/>
        <v>249.21882706412396</v>
      </c>
      <c r="S25" s="4">
        <f t="shared" si="0"/>
        <v>258.54266795680496</v>
      </c>
      <c r="T25" s="4">
        <f t="shared" si="1"/>
        <v>255.56363344853668</v>
      </c>
      <c r="U25" s="4">
        <f t="shared" si="2"/>
        <v>267.89999695835019</v>
      </c>
      <c r="V25" s="4">
        <f t="shared" si="8"/>
        <v>267.0044695217166</v>
      </c>
      <c r="W25" s="4">
        <f t="shared" si="9"/>
        <v>260.23733493767736</v>
      </c>
      <c r="X25" s="4">
        <f t="shared" si="10"/>
        <v>266.92674529850285</v>
      </c>
      <c r="Y25" s="4">
        <f t="shared" si="11"/>
        <v>256.46473293989874</v>
      </c>
      <c r="Z25" s="4">
        <f t="shared" si="12"/>
        <v>268.50245660153701</v>
      </c>
      <c r="AA25" s="4">
        <f t="shared" si="13"/>
        <v>3050.318872305108</v>
      </c>
    </row>
    <row r="26" spans="1:27">
      <c r="A26" s="41" t="s">
        <v>21</v>
      </c>
      <c r="B26" s="44">
        <v>125.81498630136986</v>
      </c>
      <c r="C26" s="44">
        <v>113.63934246575342</v>
      </c>
      <c r="D26" s="44">
        <v>125.81498630136986</v>
      </c>
      <c r="E26" s="44">
        <v>121.75643835616438</v>
      </c>
      <c r="F26" s="44">
        <v>125.81498630136986</v>
      </c>
      <c r="G26" s="44">
        <v>121.75643835616438</v>
      </c>
      <c r="H26" s="44">
        <v>125.81498630136986</v>
      </c>
      <c r="I26" s="44">
        <v>125.81498630136986</v>
      </c>
      <c r="J26" s="44">
        <v>121.75643835616438</v>
      </c>
      <c r="K26" s="44">
        <v>125.81498630136986</v>
      </c>
      <c r="L26" s="44">
        <v>121.75643835616438</v>
      </c>
      <c r="M26" s="44">
        <v>125.81498630137003</v>
      </c>
      <c r="N26" s="8">
        <f t="shared" si="3"/>
        <v>1481.37</v>
      </c>
      <c r="O26" s="6">
        <f t="shared" si="4"/>
        <v>130.17183770950706</v>
      </c>
      <c r="P26" s="4">
        <f t="shared" si="5"/>
        <v>118.30899864215945</v>
      </c>
      <c r="Q26" s="4">
        <f t="shared" si="6"/>
        <v>135.67737466582898</v>
      </c>
      <c r="R26" s="4">
        <f t="shared" si="7"/>
        <v>136.7788606178195</v>
      </c>
      <c r="S26" s="4">
        <f t="shared" si="0"/>
        <v>141.89606764790719</v>
      </c>
      <c r="T26" s="4">
        <f t="shared" si="1"/>
        <v>140.26108304187954</v>
      </c>
      <c r="U26" s="4">
        <f t="shared" si="2"/>
        <v>147.03165396911282</v>
      </c>
      <c r="V26" s="4">
        <f t="shared" si="8"/>
        <v>146.54016131633978</v>
      </c>
      <c r="W26" s="4">
        <f t="shared" si="9"/>
        <v>142.82615235098112</v>
      </c>
      <c r="X26" s="4">
        <f t="shared" si="10"/>
        <v>146.49750390229599</v>
      </c>
      <c r="Y26" s="4">
        <f t="shared" si="11"/>
        <v>140.75563380750086</v>
      </c>
      <c r="Z26" s="4">
        <f t="shared" si="12"/>
        <v>147.36230211690369</v>
      </c>
      <c r="AA26" s="4">
        <f t="shared" si="13"/>
        <v>1674.1076297882357</v>
      </c>
    </row>
    <row r="27" spans="1:27">
      <c r="A27" s="41" t="s">
        <v>85</v>
      </c>
      <c r="B27" s="44">
        <v>92.751150684931503</v>
      </c>
      <c r="C27" s="44">
        <v>83.775232876712323</v>
      </c>
      <c r="D27" s="44">
        <v>92.751150684931503</v>
      </c>
      <c r="E27" s="44">
        <v>89.759178082191767</v>
      </c>
      <c r="F27" s="44">
        <v>92.751150684931503</v>
      </c>
      <c r="G27" s="44">
        <v>89.759178082191767</v>
      </c>
      <c r="H27" s="44">
        <v>92.751150684931503</v>
      </c>
      <c r="I27" s="44">
        <v>92.751150684931503</v>
      </c>
      <c r="J27" s="44">
        <v>89.759178082191767</v>
      </c>
      <c r="K27" s="44">
        <v>92.751150684931503</v>
      </c>
      <c r="L27" s="44">
        <v>89.759178082191767</v>
      </c>
      <c r="M27" s="44">
        <v>92.751150684931531</v>
      </c>
      <c r="N27" s="8">
        <f t="shared" si="3"/>
        <v>1092.07</v>
      </c>
      <c r="O27" s="6">
        <f t="shared" si="4"/>
        <v>95.963033413273777</v>
      </c>
      <c r="P27" s="4">
        <f t="shared" si="5"/>
        <v>87.217716132460538</v>
      </c>
      <c r="Q27" s="4">
        <f t="shared" si="6"/>
        <v>100.02173025733735</v>
      </c>
      <c r="R27" s="4">
        <f t="shared" si="7"/>
        <v>100.83374870214877</v>
      </c>
      <c r="S27" s="4">
        <f t="shared" si="0"/>
        <v>104.60616766658566</v>
      </c>
      <c r="T27" s="4">
        <f t="shared" si="1"/>
        <v>103.40085256049831</v>
      </c>
      <c r="U27" s="4">
        <f t="shared" si="2"/>
        <v>108.39213589450918</v>
      </c>
      <c r="V27" s="4">
        <f t="shared" si="8"/>
        <v>108.02980617181068</v>
      </c>
      <c r="W27" s="4">
        <f t="shared" si="9"/>
        <v>105.29182864371219</v>
      </c>
      <c r="X27" s="4">
        <f t="shared" si="10"/>
        <v>107.99835900995727</v>
      </c>
      <c r="Y27" s="4">
        <f t="shared" si="11"/>
        <v>103.76543673232037</v>
      </c>
      <c r="Z27" s="4">
        <f t="shared" si="12"/>
        <v>108.63589060991302</v>
      </c>
      <c r="AA27" s="4">
        <f t="shared" si="13"/>
        <v>1234.1567057945272</v>
      </c>
    </row>
    <row r="28" spans="1:27">
      <c r="A28" s="41" t="s">
        <v>86</v>
      </c>
      <c r="B28" s="44">
        <v>67.31841095890411</v>
      </c>
      <c r="C28" s="44">
        <v>60.803726027397261</v>
      </c>
      <c r="D28" s="44">
        <v>67.31841095890411</v>
      </c>
      <c r="E28" s="44">
        <v>65.146849315068494</v>
      </c>
      <c r="F28" s="44">
        <v>67.31841095890411</v>
      </c>
      <c r="G28" s="44">
        <v>65.146849315068494</v>
      </c>
      <c r="H28" s="44">
        <v>67.31841095890411</v>
      </c>
      <c r="I28" s="44">
        <v>67.31841095890411</v>
      </c>
      <c r="J28" s="44">
        <v>65.146849315068494</v>
      </c>
      <c r="K28" s="44">
        <v>67.31841095890411</v>
      </c>
      <c r="L28" s="44">
        <v>65.146849315068494</v>
      </c>
      <c r="M28" s="44">
        <v>67.31841095890411</v>
      </c>
      <c r="N28" s="8">
        <f t="shared" si="3"/>
        <v>792.62</v>
      </c>
      <c r="O28" s="6">
        <f t="shared" si="4"/>
        <v>69.649582484665871</v>
      </c>
      <c r="P28" s="4">
        <f t="shared" si="5"/>
        <v>63.302266485583232</v>
      </c>
      <c r="Q28" s="4">
        <f t="shared" si="6"/>
        <v>72.595368279112819</v>
      </c>
      <c r="R28" s="4">
        <f t="shared" si="7"/>
        <v>73.184727990236127</v>
      </c>
      <c r="S28" s="4">
        <f t="shared" si="0"/>
        <v>75.922734454649543</v>
      </c>
      <c r="T28" s="4">
        <f t="shared" si="1"/>
        <v>75.047921613543252</v>
      </c>
      <c r="U28" s="4">
        <f t="shared" si="2"/>
        <v>78.670574919836525</v>
      </c>
      <c r="V28" s="4">
        <f t="shared" si="8"/>
        <v>78.407597468935677</v>
      </c>
      <c r="W28" s="4">
        <f t="shared" si="9"/>
        <v>76.420384425521405</v>
      </c>
      <c r="X28" s="4">
        <f t="shared" si="10"/>
        <v>78.384773245737293</v>
      </c>
      <c r="Y28" s="4">
        <f t="shared" si="11"/>
        <v>75.312535334522309</v>
      </c>
      <c r="Z28" s="4">
        <f t="shared" si="12"/>
        <v>78.847491108838469</v>
      </c>
      <c r="AA28" s="4">
        <f t="shared" si="13"/>
        <v>895.74595781118262</v>
      </c>
    </row>
    <row r="29" spans="1:27">
      <c r="A29" s="41" t="s">
        <v>88</v>
      </c>
      <c r="B29" s="44">
        <v>237.03279452054792</v>
      </c>
      <c r="C29" s="44">
        <v>214.09413698630135</v>
      </c>
      <c r="D29" s="44">
        <v>237.03279452054792</v>
      </c>
      <c r="E29" s="44">
        <v>235.11384806973845</v>
      </c>
      <c r="F29" s="44">
        <v>242.95097633872973</v>
      </c>
      <c r="G29" s="44">
        <v>240.8376798454394</v>
      </c>
      <c r="H29" s="44">
        <v>248.86560250695402</v>
      </c>
      <c r="I29" s="44">
        <v>248.86560250695402</v>
      </c>
      <c r="J29" s="44">
        <v>240.8376798454394</v>
      </c>
      <c r="K29" s="44">
        <v>248.86560250695402</v>
      </c>
      <c r="L29" s="44">
        <v>240.8376798454394</v>
      </c>
      <c r="M29" s="44">
        <v>248.86560250695425</v>
      </c>
      <c r="N29" s="8">
        <f t="shared" si="3"/>
        <v>2884.2</v>
      </c>
      <c r="O29" s="6">
        <f t="shared" si="4"/>
        <v>245.24101116421417</v>
      </c>
      <c r="P29" s="4">
        <f t="shared" si="5"/>
        <v>222.89167125056099</v>
      </c>
      <c r="Q29" s="4">
        <f t="shared" si="6"/>
        <v>255.61332728057278</v>
      </c>
      <c r="R29" s="4">
        <f t="shared" si="7"/>
        <v>264.12241265122219</v>
      </c>
      <c r="S29" s="4">
        <f t="shared" si="0"/>
        <v>274.00383044281381</v>
      </c>
      <c r="T29" s="4">
        <f t="shared" si="1"/>
        <v>277.44039057384703</v>
      </c>
      <c r="U29" s="4">
        <f t="shared" si="2"/>
        <v>290.83277142334231</v>
      </c>
      <c r="V29" s="4">
        <f t="shared" si="8"/>
        <v>289.8605850506703</v>
      </c>
      <c r="W29" s="4">
        <f t="shared" si="9"/>
        <v>282.51417023911341</v>
      </c>
      <c r="X29" s="4">
        <f t="shared" si="10"/>
        <v>289.77620747881281</v>
      </c>
      <c r="Y29" s="4">
        <f t="shared" si="11"/>
        <v>278.41862598025409</v>
      </c>
      <c r="Z29" s="4">
        <f t="shared" si="12"/>
        <v>291.48680281448878</v>
      </c>
      <c r="AA29" s="4">
        <f t="shared" si="13"/>
        <v>3262.2018063499127</v>
      </c>
    </row>
    <row r="30" spans="1:27">
      <c r="A30" s="41" t="s">
        <v>26</v>
      </c>
      <c r="B30" s="44">
        <v>774.0402739726029</v>
      </c>
      <c r="C30" s="44">
        <v>699.13315068493159</v>
      </c>
      <c r="D30" s="44">
        <v>790.92514325364868</v>
      </c>
      <c r="E30" s="44">
        <v>765.41142895514383</v>
      </c>
      <c r="F30" s="44">
        <f>790.925143253649-0.68</f>
        <v>790.24514325364908</v>
      </c>
      <c r="G30" s="44">
        <v>765.41142895514383</v>
      </c>
      <c r="H30" s="44">
        <v>824.62079542756169</v>
      </c>
      <c r="I30" s="44">
        <v>824.62079542756169</v>
      </c>
      <c r="J30" s="44">
        <v>798.02012460731771</v>
      </c>
      <c r="K30" s="44">
        <v>824.62079542756169</v>
      </c>
      <c r="L30" s="44">
        <v>798.02012460731771</v>
      </c>
      <c r="M30" s="44">
        <v>824.62079542756021</v>
      </c>
      <c r="N30" s="8">
        <f t="shared" si="3"/>
        <v>9479.6899999999987</v>
      </c>
      <c r="O30" s="6">
        <f t="shared" si="4"/>
        <v>800.84454075155759</v>
      </c>
      <c r="P30" s="4">
        <f t="shared" si="5"/>
        <v>727.86185822923972</v>
      </c>
      <c r="Q30" s="4">
        <f t="shared" si="6"/>
        <v>852.9242036143778</v>
      </c>
      <c r="R30" s="4">
        <f t="shared" si="7"/>
        <v>859.84860077866449</v>
      </c>
      <c r="S30" s="4">
        <f t="shared" si="0"/>
        <v>891.25057039670799</v>
      </c>
      <c r="T30" s="4">
        <f t="shared" si="1"/>
        <v>881.73929401447333</v>
      </c>
      <c r="U30" s="4">
        <f t="shared" si="2"/>
        <v>963.67978897693308</v>
      </c>
      <c r="V30" s="4">
        <f t="shared" si="8"/>
        <v>960.45843137724546</v>
      </c>
      <c r="W30" s="4">
        <f t="shared" si="9"/>
        <v>936.11594947367405</v>
      </c>
      <c r="X30" s="4">
        <f t="shared" si="10"/>
        <v>960.17884472597473</v>
      </c>
      <c r="Y30" s="4">
        <f t="shared" si="11"/>
        <v>922.54528751626287</v>
      </c>
      <c r="Z30" s="4">
        <f t="shared" si="12"/>
        <v>965.84693413708476</v>
      </c>
      <c r="AA30" s="4">
        <f t="shared" si="13"/>
        <v>10723.294303992197</v>
      </c>
    </row>
    <row r="31" spans="1:27">
      <c r="A31" s="41" t="s">
        <v>39</v>
      </c>
      <c r="B31" s="44">
        <v>201.26134246575342</v>
      </c>
      <c r="C31" s="44">
        <v>181.78443835616437</v>
      </c>
      <c r="D31" s="44">
        <v>201.26134246575342</v>
      </c>
      <c r="E31" s="44">
        <v>194.7690410958904</v>
      </c>
      <c r="F31" s="44">
        <v>201.26134246575342</v>
      </c>
      <c r="G31" s="44">
        <v>194.7690410958904</v>
      </c>
      <c r="H31" s="44">
        <v>201.26134246575342</v>
      </c>
      <c r="I31" s="44">
        <v>201.26134246575342</v>
      </c>
      <c r="J31" s="44">
        <v>200.50592634179205</v>
      </c>
      <c r="K31" s="44">
        <v>207.18945721985179</v>
      </c>
      <c r="L31" s="44">
        <v>200.50592634179205</v>
      </c>
      <c r="M31" s="44">
        <v>207.18945721985222</v>
      </c>
      <c r="N31" s="8">
        <f t="shared" si="3"/>
        <v>2393.0200000000004</v>
      </c>
      <c r="O31" s="6">
        <f t="shared" si="4"/>
        <v>208.23082828857193</v>
      </c>
      <c r="P31" s="4">
        <f t="shared" si="5"/>
        <v>189.25430580634062</v>
      </c>
      <c r="Q31" s="4">
        <f t="shared" si="6"/>
        <v>217.03782172709603</v>
      </c>
      <c r="R31" s="4">
        <f t="shared" si="7"/>
        <v>218.79982598367772</v>
      </c>
      <c r="S31" s="4">
        <f t="shared" si="0"/>
        <v>226.98562313572515</v>
      </c>
      <c r="T31" s="4">
        <f t="shared" si="1"/>
        <v>224.37020182230742</v>
      </c>
      <c r="U31" s="4">
        <f t="shared" si="2"/>
        <v>235.20082092526985</v>
      </c>
      <c r="V31" s="4">
        <f t="shared" si="8"/>
        <v>234.41459923565162</v>
      </c>
      <c r="W31" s="4">
        <f t="shared" si="9"/>
        <v>235.20308551730486</v>
      </c>
      <c r="X31" s="4">
        <f t="shared" si="10"/>
        <v>241.24898956690782</v>
      </c>
      <c r="Y31" s="4">
        <f t="shared" si="11"/>
        <v>231.79339939168116</v>
      </c>
      <c r="Z31" s="4">
        <f t="shared" si="12"/>
        <v>242.67312096775777</v>
      </c>
      <c r="AA31" s="4">
        <f t="shared" si="13"/>
        <v>2705.2126223682922</v>
      </c>
    </row>
    <row r="32" spans="1:27">
      <c r="A32" s="41" t="s">
        <v>90</v>
      </c>
      <c r="B32" s="44">
        <v>123.18890410958905</v>
      </c>
      <c r="C32" s="44">
        <v>111.26739726027397</v>
      </c>
      <c r="D32" s="44">
        <v>123.18890410958905</v>
      </c>
      <c r="E32" s="44">
        <v>119.21506849315068</v>
      </c>
      <c r="F32" s="44">
        <v>123.18890410958905</v>
      </c>
      <c r="G32" s="44">
        <v>119.21506849315068</v>
      </c>
      <c r="H32" s="44">
        <v>123.18890410958905</v>
      </c>
      <c r="I32" s="44">
        <v>123.18890410958905</v>
      </c>
      <c r="J32" s="44">
        <v>119.21506849315068</v>
      </c>
      <c r="K32" s="44">
        <v>123.18890410958905</v>
      </c>
      <c r="L32" s="44">
        <v>119.21506849315068</v>
      </c>
      <c r="M32" s="44">
        <v>123.18890410958898</v>
      </c>
      <c r="N32" s="8">
        <f t="shared" si="3"/>
        <v>1450.45</v>
      </c>
      <c r="O32" s="6">
        <f t="shared" si="4"/>
        <v>127.45481682885068</v>
      </c>
      <c r="P32" s="4">
        <f t="shared" si="5"/>
        <v>115.83958570817566</v>
      </c>
      <c r="Q32" s="4">
        <f t="shared" si="6"/>
        <v>132.84543907602534</v>
      </c>
      <c r="R32" s="4">
        <f t="shared" si="7"/>
        <v>133.92393418465088</v>
      </c>
      <c r="S32" s="4">
        <f t="shared" si="0"/>
        <v>138.93433194941642</v>
      </c>
      <c r="T32" s="4">
        <f t="shared" si="1"/>
        <v>137.33347367510763</v>
      </c>
      <c r="U32" s="4">
        <f t="shared" si="2"/>
        <v>143.96272538224733</v>
      </c>
      <c r="V32" s="4">
        <f t="shared" si="8"/>
        <v>143.48149144459862</v>
      </c>
      <c r="W32" s="4">
        <f t="shared" si="9"/>
        <v>139.84500339380475</v>
      </c>
      <c r="X32" s="4">
        <f t="shared" si="10"/>
        <v>143.43972440044368</v>
      </c>
      <c r="Y32" s="4">
        <f t="shared" si="11"/>
        <v>137.81770189492806</v>
      </c>
      <c r="Z32" s="4">
        <f t="shared" si="12"/>
        <v>144.28647205320922</v>
      </c>
      <c r="AA32" s="4">
        <f t="shared" si="13"/>
        <v>1639.1646999914583</v>
      </c>
    </row>
    <row r="33" spans="1:27">
      <c r="A33" s="41" t="s">
        <v>94</v>
      </c>
      <c r="B33" s="44">
        <v>201.60701369863017</v>
      </c>
      <c r="C33" s="44">
        <v>182.09665753424659</v>
      </c>
      <c r="D33" s="44">
        <v>201.60701369863017</v>
      </c>
      <c r="E33" s="44">
        <v>195.10356164383563</v>
      </c>
      <c r="F33" s="44">
        <v>201.60701369863017</v>
      </c>
      <c r="G33" s="44">
        <v>195.10356164383563</v>
      </c>
      <c r="H33" s="44">
        <v>201.60701369863017</v>
      </c>
      <c r="I33" s="44">
        <v>201.60701369863017</v>
      </c>
      <c r="J33" s="44">
        <v>195.10356164383563</v>
      </c>
      <c r="K33" s="44">
        <v>201.60701369863017</v>
      </c>
      <c r="L33" s="44">
        <v>195.10356164383563</v>
      </c>
      <c r="M33" s="44">
        <v>201.60701369863</v>
      </c>
      <c r="N33" s="8">
        <f t="shared" si="3"/>
        <v>2373.7600000000002</v>
      </c>
      <c r="O33" s="6">
        <f t="shared" si="4"/>
        <v>208.58846978224182</v>
      </c>
      <c r="P33" s="4">
        <f t="shared" si="5"/>
        <v>189.57935466278678</v>
      </c>
      <c r="Q33" s="4">
        <f t="shared" si="6"/>
        <v>217.41058944541757</v>
      </c>
      <c r="R33" s="4">
        <f t="shared" si="7"/>
        <v>219.17561998700882</v>
      </c>
      <c r="S33" s="4">
        <f t="shared" si="0"/>
        <v>227.37547644403236</v>
      </c>
      <c r="T33" s="4">
        <f t="shared" si="1"/>
        <v>224.75556308112897</v>
      </c>
      <c r="U33" s="4">
        <f t="shared" si="2"/>
        <v>235.60478403486053</v>
      </c>
      <c r="V33" s="4">
        <f t="shared" si="8"/>
        <v>234.81721199043778</v>
      </c>
      <c r="W33" s="4">
        <f t="shared" si="9"/>
        <v>228.86585215352341</v>
      </c>
      <c r="X33" s="4">
        <f t="shared" si="10"/>
        <v>234.74885738412027</v>
      </c>
      <c r="Y33" s="4">
        <f t="shared" si="11"/>
        <v>225.5480354718222</v>
      </c>
      <c r="Z33" s="4">
        <f t="shared" si="12"/>
        <v>236.1346174642531</v>
      </c>
      <c r="AA33" s="4">
        <f t="shared" si="13"/>
        <v>2682.6044319016332</v>
      </c>
    </row>
    <row r="34" spans="1:27">
      <c r="A34" s="41" t="s">
        <v>91</v>
      </c>
      <c r="B34" s="44">
        <v>346.87810958904112</v>
      </c>
      <c r="C34" s="44">
        <v>313.3092602739726</v>
      </c>
      <c r="D34" s="44">
        <v>346.87810958904112</v>
      </c>
      <c r="E34" s="44">
        <v>335.68849315068496</v>
      </c>
      <c r="F34" s="44">
        <v>346.87810958904112</v>
      </c>
      <c r="G34" s="44">
        <v>335.68849315068496</v>
      </c>
      <c r="H34" s="44">
        <v>346.87810958904112</v>
      </c>
      <c r="I34" s="44">
        <v>346.87810958904112</v>
      </c>
      <c r="J34" s="44">
        <v>335.68849315068496</v>
      </c>
      <c r="K34" s="44">
        <v>346.87810958904112</v>
      </c>
      <c r="L34" s="44">
        <v>335.68849315068496</v>
      </c>
      <c r="M34" s="44">
        <v>346.87810958903992</v>
      </c>
      <c r="N34" s="8">
        <f t="shared" si="3"/>
        <v>4084.21</v>
      </c>
      <c r="O34" s="6">
        <f t="shared" si="4"/>
        <v>358.89016335658607</v>
      </c>
      <c r="P34" s="4">
        <f t="shared" si="5"/>
        <v>326.1837321832453</v>
      </c>
      <c r="Q34" s="4">
        <f t="shared" si="6"/>
        <v>374.06919971642833</v>
      </c>
      <c r="R34" s="4">
        <f t="shared" si="7"/>
        <v>377.1060506989507</v>
      </c>
      <c r="S34" s="4">
        <f t="shared" si="0"/>
        <v>391.21444233936091</v>
      </c>
      <c r="T34" s="4">
        <f t="shared" si="1"/>
        <v>386.70670930994618</v>
      </c>
      <c r="U34" s="4">
        <f t="shared" si="2"/>
        <v>405.3735065899744</v>
      </c>
      <c r="V34" s="4">
        <f t="shared" si="8"/>
        <v>404.01843715601649</v>
      </c>
      <c r="W34" s="4">
        <f t="shared" si="9"/>
        <v>393.77873164260154</v>
      </c>
      <c r="X34" s="4">
        <f t="shared" si="10"/>
        <v>403.90082856598718</v>
      </c>
      <c r="Y34" s="4">
        <f t="shared" si="11"/>
        <v>388.07021011154075</v>
      </c>
      <c r="Z34" s="4">
        <f t="shared" si="12"/>
        <v>406.28511980725705</v>
      </c>
      <c r="AA34" s="4">
        <f t="shared" si="13"/>
        <v>4615.5971314778944</v>
      </c>
    </row>
    <row r="35" spans="1:27">
      <c r="A35" s="41" t="s">
        <v>92</v>
      </c>
      <c r="B35" s="44">
        <v>128.16928767123287</v>
      </c>
      <c r="C35" s="44">
        <v>115.76580821917807</v>
      </c>
      <c r="D35" s="44">
        <v>128.16928767123287</v>
      </c>
      <c r="E35" s="44">
        <v>124.03479452054793</v>
      </c>
      <c r="F35" s="44">
        <v>128.16928767123287</v>
      </c>
      <c r="G35" s="44">
        <v>124.03479452054793</v>
      </c>
      <c r="H35" s="44">
        <v>128.16928767123287</v>
      </c>
      <c r="I35" s="44">
        <v>128.16928767123287</v>
      </c>
      <c r="J35" s="44">
        <v>124.03479452054793</v>
      </c>
      <c r="K35" s="44">
        <v>128.16928767123287</v>
      </c>
      <c r="L35" s="44">
        <v>124.03479452054793</v>
      </c>
      <c r="M35" s="44">
        <v>128.16928767123295</v>
      </c>
      <c r="N35" s="8">
        <f t="shared" si="3"/>
        <v>1509.09</v>
      </c>
      <c r="O35" s="6">
        <f t="shared" si="4"/>
        <v>132.60766626098814</v>
      </c>
      <c r="P35" s="4">
        <f t="shared" si="5"/>
        <v>120.52284490768437</v>
      </c>
      <c r="Q35" s="4">
        <f t="shared" si="6"/>
        <v>138.21622507169434</v>
      </c>
      <c r="R35" s="4">
        <f t="shared" si="7"/>
        <v>139.33832247834451</v>
      </c>
      <c r="S35" s="4">
        <f t="shared" si="0"/>
        <v>144.55128477475597</v>
      </c>
      <c r="T35" s="4">
        <f t="shared" si="1"/>
        <v>142.88570566952887</v>
      </c>
      <c r="U35" s="4">
        <f t="shared" si="2"/>
        <v>149.78297028308154</v>
      </c>
      <c r="V35" s="4">
        <f t="shared" si="8"/>
        <v>149.28228061920734</v>
      </c>
      <c r="W35" s="4">
        <f t="shared" si="9"/>
        <v>145.49877360236948</v>
      </c>
      <c r="X35" s="4">
        <f t="shared" si="10"/>
        <v>149.23882498222312</v>
      </c>
      <c r="Y35" s="4">
        <f t="shared" si="11"/>
        <v>143.38951067090696</v>
      </c>
      <c r="Z35" s="4">
        <f t="shared" si="12"/>
        <v>150.11980565395413</v>
      </c>
      <c r="AA35" s="4">
        <f t="shared" si="13"/>
        <v>1705.434214974739</v>
      </c>
    </row>
    <row r="36" spans="1:27">
      <c r="A36" s="41" t="s">
        <v>33</v>
      </c>
      <c r="B36" s="44">
        <v>150.39841095890409</v>
      </c>
      <c r="C36" s="44">
        <v>135.84372602739725</v>
      </c>
      <c r="D36" s="44">
        <v>150.39841095890409</v>
      </c>
      <c r="E36" s="44">
        <v>145.54684931506847</v>
      </c>
      <c r="F36" s="44">
        <v>150.39841095890409</v>
      </c>
      <c r="G36" s="44">
        <v>145.54684931506847</v>
      </c>
      <c r="H36" s="44">
        <v>150.39841095890409</v>
      </c>
      <c r="I36" s="44">
        <v>150.39841095890409</v>
      </c>
      <c r="J36" s="44">
        <v>145.54684931506847</v>
      </c>
      <c r="K36" s="44">
        <v>150.39841095890409</v>
      </c>
      <c r="L36" s="44">
        <v>145.54684931506847</v>
      </c>
      <c r="M36" s="44">
        <v>150.39841095890438</v>
      </c>
      <c r="N36" s="8">
        <f t="shared" si="3"/>
        <v>1770.82</v>
      </c>
      <c r="O36" s="6">
        <f t="shared" si="4"/>
        <v>155.60656260944211</v>
      </c>
      <c r="P36" s="4">
        <f t="shared" si="5"/>
        <v>141.42580245010282</v>
      </c>
      <c r="Q36" s="4">
        <f t="shared" si="6"/>
        <v>162.18784544424636</v>
      </c>
      <c r="R36" s="4">
        <f t="shared" si="7"/>
        <v>163.50455454022094</v>
      </c>
      <c r="S36" s="4">
        <f t="shared" si="0"/>
        <v>169.62163032346206</v>
      </c>
      <c r="T36" s="4">
        <f t="shared" si="1"/>
        <v>167.66718042907652</v>
      </c>
      <c r="U36" s="4">
        <f t="shared" si="2"/>
        <v>175.76067659098294</v>
      </c>
      <c r="V36" s="4">
        <f t="shared" si="8"/>
        <v>175.17314949148476</v>
      </c>
      <c r="W36" s="4">
        <f t="shared" si="9"/>
        <v>170.73344748858443</v>
      </c>
      <c r="X36" s="4">
        <f t="shared" si="10"/>
        <v>175.12215709799969</v>
      </c>
      <c r="Y36" s="4">
        <f t="shared" si="11"/>
        <v>168.25836317665309</v>
      </c>
      <c r="Z36" s="4">
        <f t="shared" si="12"/>
        <v>176.15593122221694</v>
      </c>
      <c r="AA36" s="4">
        <f t="shared" si="13"/>
        <v>2001.2173008644727</v>
      </c>
    </row>
    <row r="37" spans="1:27">
      <c r="A37" s="41" t="s">
        <v>95</v>
      </c>
      <c r="B37" s="44">
        <v>324.15978082191782</v>
      </c>
      <c r="C37" s="44">
        <v>292.78947945205476</v>
      </c>
      <c r="D37" s="44">
        <v>324.15978082191782</v>
      </c>
      <c r="E37" s="44">
        <v>313.70301369863012</v>
      </c>
      <c r="F37" s="44">
        <v>324.15978082191782</v>
      </c>
      <c r="G37" s="44">
        <v>313.70301369863012</v>
      </c>
      <c r="H37" s="44">
        <v>324.15978082191782</v>
      </c>
      <c r="I37" s="44">
        <v>324.15978082191782</v>
      </c>
      <c r="J37" s="44">
        <v>313.70301369863012</v>
      </c>
      <c r="K37" s="44">
        <v>324.15978082191782</v>
      </c>
      <c r="L37" s="44">
        <v>313.70301369863012</v>
      </c>
      <c r="M37" s="44">
        <v>324.15978082191759</v>
      </c>
      <c r="N37" s="8">
        <f t="shared" si="3"/>
        <v>3816.72</v>
      </c>
      <c r="O37" s="6">
        <f t="shared" si="4"/>
        <v>335.38512081561652</v>
      </c>
      <c r="P37" s="4">
        <f t="shared" si="5"/>
        <v>304.82075463760088</v>
      </c>
      <c r="Q37" s="4">
        <f t="shared" si="6"/>
        <v>349.57002601278737</v>
      </c>
      <c r="R37" s="4">
        <f t="shared" si="7"/>
        <v>352.4079824063158</v>
      </c>
      <c r="S37" s="4">
        <f t="shared" si="0"/>
        <v>365.5923633616992</v>
      </c>
      <c r="T37" s="4">
        <f t="shared" si="1"/>
        <v>361.37985841997778</v>
      </c>
      <c r="U37" s="4">
        <f t="shared" si="2"/>
        <v>378.82409819085871</v>
      </c>
      <c r="V37" s="4">
        <f t="shared" si="8"/>
        <v>377.55777725976657</v>
      </c>
      <c r="W37" s="4">
        <f t="shared" si="9"/>
        <v>367.98870788596815</v>
      </c>
      <c r="X37" s="4">
        <f t="shared" si="10"/>
        <v>377.44787129074524</v>
      </c>
      <c r="Y37" s="4">
        <f t="shared" si="11"/>
        <v>362.65405851729452</v>
      </c>
      <c r="Z37" s="4">
        <f t="shared" si="12"/>
        <v>379.67600649103701</v>
      </c>
      <c r="AA37" s="4">
        <f t="shared" si="13"/>
        <v>4313.3046252896684</v>
      </c>
    </row>
    <row r="38" spans="1:27">
      <c r="A38" s="41" t="s">
        <v>53</v>
      </c>
      <c r="B38" s="44">
        <v>107.60312328767124</v>
      </c>
      <c r="C38" s="44">
        <v>97.189917808219178</v>
      </c>
      <c r="D38" s="44">
        <v>107.60312328767124</v>
      </c>
      <c r="E38" s="44">
        <v>104.13205479452056</v>
      </c>
      <c r="F38" s="44">
        <v>107.60312328767124</v>
      </c>
      <c r="G38" s="44">
        <v>104.13205479452056</v>
      </c>
      <c r="H38" s="44">
        <v>107.60312328767124</v>
      </c>
      <c r="I38" s="44">
        <v>107.60312328767124</v>
      </c>
      <c r="J38" s="44">
        <v>104.13205479452056</v>
      </c>
      <c r="K38" s="44">
        <v>107.60312328767124</v>
      </c>
      <c r="L38" s="44">
        <v>104.13205479452056</v>
      </c>
      <c r="M38" s="44">
        <v>107.60312328767122</v>
      </c>
      <c r="N38" s="8">
        <f t="shared" si="3"/>
        <v>1266.94</v>
      </c>
      <c r="O38" s="6">
        <f t="shared" si="4"/>
        <v>111.32931547667557</v>
      </c>
      <c r="P38" s="4">
        <f t="shared" si="5"/>
        <v>101.18363591789864</v>
      </c>
      <c r="Q38" s="4">
        <f t="shared" si="6"/>
        <v>116.03791966836467</v>
      </c>
      <c r="R38" s="4">
        <f t="shared" si="7"/>
        <v>116.97996427033101</v>
      </c>
      <c r="S38" s="4">
        <f t="shared" si="0"/>
        <v>121.35644973628435</v>
      </c>
      <c r="T38" s="4">
        <f t="shared" si="1"/>
        <v>119.9581310199875</v>
      </c>
      <c r="U38" s="4">
        <f t="shared" si="2"/>
        <v>125.74865406996756</v>
      </c>
      <c r="V38" s="4">
        <f t="shared" si="8"/>
        <v>125.3283055402253</v>
      </c>
      <c r="W38" s="4">
        <f t="shared" si="9"/>
        <v>122.15190361594472</v>
      </c>
      <c r="X38" s="4">
        <f t="shared" si="10"/>
        <v>125.29182283560145</v>
      </c>
      <c r="Y38" s="4">
        <f t="shared" si="11"/>
        <v>120.38109499724926</v>
      </c>
      <c r="Z38" s="4">
        <f t="shared" si="12"/>
        <v>126.03144052059223</v>
      </c>
      <c r="AA38" s="4">
        <f t="shared" si="13"/>
        <v>1431.7786376691222</v>
      </c>
    </row>
    <row r="39" spans="1:27">
      <c r="A39" s="41" t="s">
        <v>59</v>
      </c>
      <c r="B39" s="44">
        <v>63.593315068493155</v>
      </c>
      <c r="C39" s="44">
        <v>57.439123287671237</v>
      </c>
      <c r="D39" s="44">
        <v>63.593315068493155</v>
      </c>
      <c r="E39" s="44">
        <v>61.541917808219182</v>
      </c>
      <c r="F39" s="44">
        <v>63.593315068493155</v>
      </c>
      <c r="G39" s="44">
        <v>61.541917808219182</v>
      </c>
      <c r="H39" s="44">
        <v>63.593315068493155</v>
      </c>
      <c r="I39" s="44">
        <v>63.593315068493155</v>
      </c>
      <c r="J39" s="44">
        <v>61.541917808219182</v>
      </c>
      <c r="K39" s="44">
        <v>63.593315068493155</v>
      </c>
      <c r="L39" s="44">
        <v>61.541917808219182</v>
      </c>
      <c r="M39" s="44">
        <v>63.593315068493098</v>
      </c>
      <c r="N39" s="8">
        <f t="shared" si="3"/>
        <v>748.76</v>
      </c>
      <c r="O39" s="6">
        <f t="shared" si="4"/>
        <v>65.795490122906841</v>
      </c>
      <c r="P39" s="4">
        <f t="shared" si="5"/>
        <v>59.799405836018906</v>
      </c>
      <c r="Q39" s="4">
        <f t="shared" si="6"/>
        <v>68.578269476758749</v>
      </c>
      <c r="R39" s="4">
        <f t="shared" si="7"/>
        <v>69.135016691440043</v>
      </c>
      <c r="S39" s="4">
        <f t="shared" si="0"/>
        <v>71.721514282081444</v>
      </c>
      <c r="T39" s="4">
        <f t="shared" si="1"/>
        <v>70.895109620444416</v>
      </c>
      <c r="U39" s="4">
        <f t="shared" si="2"/>
        <v>74.317301704444489</v>
      </c>
      <c r="V39" s="4">
        <f t="shared" si="8"/>
        <v>74.068876234311887</v>
      </c>
      <c r="W39" s="4">
        <f t="shared" si="9"/>
        <v>72.191626558064911</v>
      </c>
      <c r="X39" s="4">
        <f t="shared" si="10"/>
        <v>74.047315000224899</v>
      </c>
      <c r="Y39" s="4">
        <f t="shared" si="11"/>
        <v>71.145080816881901</v>
      </c>
      <c r="Z39" s="4">
        <f t="shared" si="12"/>
        <v>74.484428153029</v>
      </c>
      <c r="AA39" s="4">
        <f t="shared" si="13"/>
        <v>846.17943449660743</v>
      </c>
    </row>
    <row r="40" spans="1:27">
      <c r="A40" s="41" t="s">
        <v>96</v>
      </c>
      <c r="B40" s="44">
        <v>54.47591780821918</v>
      </c>
      <c r="C40" s="44">
        <v>49.204054794520545</v>
      </c>
      <c r="D40" s="44">
        <v>54.47591780821918</v>
      </c>
      <c r="E40" s="44">
        <v>52.718630136986299</v>
      </c>
      <c r="F40" s="44">
        <v>54.47591780821918</v>
      </c>
      <c r="G40" s="44">
        <v>52.718630136986299</v>
      </c>
      <c r="H40" s="44">
        <v>54.47591780821918</v>
      </c>
      <c r="I40" s="44">
        <v>54.47591780821918</v>
      </c>
      <c r="J40" s="44">
        <v>52.718630136986299</v>
      </c>
      <c r="K40" s="44">
        <v>54.47591780821918</v>
      </c>
      <c r="L40" s="44">
        <v>52.718630136986299</v>
      </c>
      <c r="M40" s="44">
        <v>54.475917808219151</v>
      </c>
      <c r="N40" s="8">
        <f t="shared" si="3"/>
        <v>641.41</v>
      </c>
      <c r="O40" s="6">
        <f t="shared" si="4"/>
        <v>56.36236620510401</v>
      </c>
      <c r="P40" s="4">
        <f t="shared" si="5"/>
        <v>51.225942755062874</v>
      </c>
      <c r="Q40" s="4">
        <f t="shared" si="6"/>
        <v>58.746177446829194</v>
      </c>
      <c r="R40" s="4">
        <f t="shared" si="7"/>
        <v>59.223103606037384</v>
      </c>
      <c r="S40" s="4">
        <f t="shared" si="0"/>
        <v>61.438774074028878</v>
      </c>
      <c r="T40" s="4">
        <f t="shared" si="1"/>
        <v>60.730851356441647</v>
      </c>
      <c r="U40" s="4">
        <f t="shared" si="2"/>
        <v>63.662402487109006</v>
      </c>
      <c r="V40" s="4">
        <f t="shared" si="8"/>
        <v>63.449593869130268</v>
      </c>
      <c r="W40" s="4">
        <f t="shared" si="9"/>
        <v>61.841486177958778</v>
      </c>
      <c r="X40" s="4">
        <f t="shared" si="10"/>
        <v>63.431123877202644</v>
      </c>
      <c r="Y40" s="4">
        <f t="shared" si="11"/>
        <v>60.944984089369378</v>
      </c>
      <c r="Z40" s="4">
        <f t="shared" si="12"/>
        <v>63.805567954530616</v>
      </c>
      <c r="AA40" s="4">
        <f t="shared" si="13"/>
        <v>724.86237389880466</v>
      </c>
    </row>
    <row r="41" spans="1:27">
      <c r="A41" s="41" t="s">
        <v>50</v>
      </c>
      <c r="B41" s="44">
        <v>74.840794520547945</v>
      </c>
      <c r="C41" s="44">
        <v>67.59813698630137</v>
      </c>
      <c r="D41" s="44">
        <v>74.840794520547945</v>
      </c>
      <c r="E41" s="44">
        <v>72.426575342465753</v>
      </c>
      <c r="F41" s="44">
        <v>74.840794520547945</v>
      </c>
      <c r="G41" s="44">
        <v>72.426575342465753</v>
      </c>
      <c r="H41" s="44">
        <v>74.840794520547945</v>
      </c>
      <c r="I41" s="44">
        <v>74.840794520547945</v>
      </c>
      <c r="J41" s="44">
        <v>72.426575342465753</v>
      </c>
      <c r="K41" s="44">
        <v>74.840794520547945</v>
      </c>
      <c r="L41" s="44">
        <v>72.426575342465753</v>
      </c>
      <c r="M41" s="44">
        <v>74.840794520548002</v>
      </c>
      <c r="N41" s="8">
        <f t="shared" si="3"/>
        <v>881.19</v>
      </c>
      <c r="O41" s="6">
        <f t="shared" si="4"/>
        <v>77.43245892062113</v>
      </c>
      <c r="P41" s="4">
        <f t="shared" si="5"/>
        <v>70.375872681021278</v>
      </c>
      <c r="Q41" s="4">
        <f t="shared" si="6"/>
        <v>80.707416635804577</v>
      </c>
      <c r="R41" s="4">
        <f t="shared" si="7"/>
        <v>81.362633364936755</v>
      </c>
      <c r="S41" s="4">
        <f t="shared" si="0"/>
        <v>84.406593795378157</v>
      </c>
      <c r="T41" s="4">
        <f t="shared" si="1"/>
        <v>83.434026452320381</v>
      </c>
      <c r="U41" s="4">
        <f t="shared" si="2"/>
        <v>87.461487110608786</v>
      </c>
      <c r="V41" s="4">
        <f t="shared" si="8"/>
        <v>87.16912368304034</v>
      </c>
      <c r="W41" s="4">
        <f t="shared" si="9"/>
        <v>84.959852832284341</v>
      </c>
      <c r="X41" s="4">
        <f t="shared" si="10"/>
        <v>87.143749005085979</v>
      </c>
      <c r="Y41" s="4">
        <f t="shared" si="11"/>
        <v>83.728208992238038</v>
      </c>
      <c r="Z41" s="4">
        <f t="shared" si="12"/>
        <v>87.658172504097081</v>
      </c>
      <c r="AA41" s="4">
        <f t="shared" si="13"/>
        <v>995.83959597743683</v>
      </c>
    </row>
    <row r="42" spans="1:27">
      <c r="A42" s="41" t="s">
        <v>97</v>
      </c>
      <c r="B42" s="44">
        <v>2822.7020273972603</v>
      </c>
      <c r="C42" s="44">
        <v>2549.5373150684932</v>
      </c>
      <c r="D42" s="44">
        <v>2822.7020273972603</v>
      </c>
      <c r="E42" s="44">
        <v>2731.6471232876715</v>
      </c>
      <c r="F42" s="44">
        <v>2822.7020273972603</v>
      </c>
      <c r="G42" s="44">
        <v>2731.6471232876715</v>
      </c>
      <c r="H42" s="44">
        <v>2822.7020273972603</v>
      </c>
      <c r="I42" s="44">
        <v>2822.7020273972603</v>
      </c>
      <c r="J42" s="44">
        <v>2731.6471232876715</v>
      </c>
      <c r="K42" s="44">
        <v>2822.7020273972603</v>
      </c>
      <c r="L42" s="44">
        <v>2731.6471232876715</v>
      </c>
      <c r="M42" s="44">
        <v>2822.702027397263</v>
      </c>
      <c r="N42" s="8">
        <f t="shared" si="3"/>
        <v>33235.040000000001</v>
      </c>
      <c r="O42" s="6">
        <f t="shared" si="4"/>
        <v>2920.4494711982661</v>
      </c>
      <c r="P42" s="4">
        <f t="shared" si="5"/>
        <v>2654.3026402803589</v>
      </c>
      <c r="Q42" s="4">
        <f t="shared" si="6"/>
        <v>3043.9680661237994</v>
      </c>
      <c r="R42" s="4">
        <f t="shared" si="7"/>
        <v>3068.6802782476061</v>
      </c>
      <c r="S42" s="4">
        <f t="shared" si="0"/>
        <v>3183.4865591451839</v>
      </c>
      <c r="T42" s="4">
        <f t="shared" si="1"/>
        <v>3146.8051231901477</v>
      </c>
      <c r="U42" s="4">
        <f t="shared" si="2"/>
        <v>3298.7051856927196</v>
      </c>
      <c r="V42" s="4">
        <f t="shared" si="8"/>
        <v>3287.6783807927836</v>
      </c>
      <c r="W42" s="4">
        <f t="shared" si="9"/>
        <v>3204.3533259286687</v>
      </c>
      <c r="X42" s="4">
        <f t="shared" si="10"/>
        <v>3286.7213471941272</v>
      </c>
      <c r="Y42" s="4">
        <f t="shared" si="11"/>
        <v>3157.9005378923857</v>
      </c>
      <c r="Z42" s="4">
        <f t="shared" si="12"/>
        <v>3306.1233893945314</v>
      </c>
      <c r="AA42" s="4">
        <f t="shared" si="13"/>
        <v>37559.174305080574</v>
      </c>
    </row>
    <row r="43" spans="1:27">
      <c r="A43" s="41" t="s">
        <v>99</v>
      </c>
      <c r="B43" s="44">
        <v>139.22906849315066</v>
      </c>
      <c r="C43" s="44">
        <v>125.75528767123286</v>
      </c>
      <c r="D43" s="44">
        <f>127.568520547945+11.66</f>
        <v>139.22852054794501</v>
      </c>
      <c r="E43" s="44">
        <v>130.85095890410958</v>
      </c>
      <c r="F43" s="44">
        <v>135.21265753424655</v>
      </c>
      <c r="G43" s="44">
        <v>130.85095890410958</v>
      </c>
      <c r="H43" s="44">
        <v>135.21265753424655</v>
      </c>
      <c r="I43" s="44">
        <v>135.21265753424655</v>
      </c>
      <c r="J43" s="44">
        <v>130.85095890410958</v>
      </c>
      <c r="K43" s="44">
        <v>135.21265753424655</v>
      </c>
      <c r="L43" s="44">
        <v>130.85095890410958</v>
      </c>
      <c r="M43" s="44">
        <v>135.21265753424677</v>
      </c>
      <c r="N43" s="8">
        <f t="shared" si="3"/>
        <v>1603.6799999999998</v>
      </c>
      <c r="O43" s="6">
        <f t="shared" si="4"/>
        <v>144.05043660636574</v>
      </c>
      <c r="P43" s="4">
        <f t="shared" si="5"/>
        <v>130.92281102228236</v>
      </c>
      <c r="Q43" s="4">
        <f t="shared" si="6"/>
        <v>150.14236937803432</v>
      </c>
      <c r="R43" s="4">
        <f t="shared" si="7"/>
        <v>146.99547154376083</v>
      </c>
      <c r="S43" s="4">
        <f t="shared" si="0"/>
        <v>152.49490513296553</v>
      </c>
      <c r="T43" s="4">
        <f t="shared" si="1"/>
        <v>150.73779638060245</v>
      </c>
      <c r="U43" s="4">
        <f t="shared" si="2"/>
        <v>158.01409084287314</v>
      </c>
      <c r="V43" s="4">
        <f t="shared" si="8"/>
        <v>157.48588645567227</v>
      </c>
      <c r="W43" s="4">
        <f t="shared" si="9"/>
        <v>153.49446192768107</v>
      </c>
      <c r="X43" s="4">
        <f t="shared" si="10"/>
        <v>157.44004277292859</v>
      </c>
      <c r="Y43" s="4">
        <f t="shared" si="11"/>
        <v>151.26928730446645</v>
      </c>
      <c r="Z43" s="4">
        <f t="shared" si="12"/>
        <v>158.36943654600339</v>
      </c>
      <c r="AA43" s="4">
        <f t="shared" si="13"/>
        <v>1811.4169959136361</v>
      </c>
    </row>
    <row r="44" spans="1:27">
      <c r="B44" s="13"/>
      <c r="C44" s="14"/>
      <c r="D44" s="14"/>
      <c r="E44" s="14"/>
      <c r="F44" s="14"/>
      <c r="G44" s="14"/>
      <c r="H44" s="14"/>
      <c r="I44" s="14"/>
      <c r="J44" s="14"/>
      <c r="K44" s="14"/>
      <c r="L44" s="14"/>
      <c r="O44" s="4"/>
      <c r="P44" s="4"/>
      <c r="Q44" s="4"/>
      <c r="R44" s="4"/>
    </row>
    <row r="45" spans="1:27">
      <c r="B45" s="50">
        <f>SUM(B2:B44)</f>
        <v>13020.462410958902</v>
      </c>
      <c r="C45" s="50">
        <f t="shared" ref="C45:M45" si="14">SUM(C2:C44)</f>
        <v>11792.992851775898</v>
      </c>
      <c r="D45" s="50">
        <f t="shared" si="14"/>
        <v>13073.412121516303</v>
      </c>
      <c r="E45" s="50">
        <f t="shared" si="14"/>
        <v>12653.530103536243</v>
      </c>
      <c r="F45" s="50">
        <f t="shared" si="14"/>
        <v>13156.626277055477</v>
      </c>
      <c r="G45" s="50">
        <f t="shared" si="14"/>
        <v>12738.600874087455</v>
      </c>
      <c r="H45" s="50">
        <f t="shared" si="14"/>
        <v>13215.11220757153</v>
      </c>
      <c r="I45" s="50">
        <f t="shared" si="14"/>
        <v>13221.190638944079</v>
      </c>
      <c r="J45" s="50">
        <f t="shared" si="14"/>
        <v>15176.437503578876</v>
      </c>
      <c r="K45" s="50">
        <f t="shared" si="14"/>
        <v>13496.920951500373</v>
      </c>
      <c r="L45" s="50">
        <f t="shared" si="14"/>
        <v>13067.438044022043</v>
      </c>
      <c r="M45" s="50">
        <f t="shared" si="14"/>
        <v>13518.317114353917</v>
      </c>
      <c r="N45" s="88">
        <f>SUM(N2:N44)</f>
        <v>158131.0410989011</v>
      </c>
      <c r="O45" s="4">
        <f>SUM(O2:O44)</f>
        <v>13471.348443358098</v>
      </c>
      <c r="P45" s="4">
        <f t="shared" ref="P45:U45" si="15">SUM(P2:P44)</f>
        <v>12277.589301506356</v>
      </c>
      <c r="Q45" s="4">
        <f t="shared" si="15"/>
        <v>14098.211085307286</v>
      </c>
      <c r="R45" s="4">
        <f t="shared" si="15"/>
        <v>14214.734380552303</v>
      </c>
      <c r="S45" s="4">
        <f t="shared" si="15"/>
        <v>14838.244529594411</v>
      </c>
      <c r="T45" s="4">
        <f t="shared" si="15"/>
        <v>14674.624021205034</v>
      </c>
      <c r="U45" s="4">
        <f t="shared" si="15"/>
        <v>15443.627682098313</v>
      </c>
      <c r="V45" s="4">
        <f t="shared" ref="V45:Z45" si="16">SUM(V2:V44)</f>
        <v>15399.082939007976</v>
      </c>
      <c r="W45" s="4">
        <f t="shared" si="16"/>
        <v>17802.690389896394</v>
      </c>
      <c r="X45" s="100">
        <f t="shared" si="16"/>
        <v>15715.65747362704</v>
      </c>
      <c r="Y45" s="100">
        <f t="shared" si="16"/>
        <v>15106.515507181384</v>
      </c>
      <c r="Z45" s="100">
        <f t="shared" si="16"/>
        <v>15833.49002594804</v>
      </c>
      <c r="AA45" s="4">
        <f>SUM(AA2:AA44)</f>
        <v>178875.81577928268</v>
      </c>
    </row>
    <row r="46" spans="1:27">
      <c r="B46" s="46"/>
      <c r="C46" s="47"/>
      <c r="D46" s="48"/>
      <c r="E46" s="48"/>
      <c r="F46" s="49"/>
      <c r="G46" s="49"/>
      <c r="H46" s="49"/>
      <c r="I46" s="49"/>
      <c r="J46" s="2"/>
      <c r="K46" s="2"/>
      <c r="L46" s="2"/>
      <c r="M46" s="2"/>
      <c r="N46" s="2"/>
      <c r="O46" s="4"/>
      <c r="P46" s="4"/>
      <c r="Q46" s="4"/>
      <c r="R46" s="4"/>
    </row>
    <row r="47" spans="1:27">
      <c r="A47" s="21" t="s">
        <v>163</v>
      </c>
      <c r="B47" s="79">
        <v>13020.462410958902</v>
      </c>
      <c r="C47" s="79">
        <v>11792.992851775898</v>
      </c>
      <c r="D47" s="79">
        <v>13073.412121516303</v>
      </c>
      <c r="E47" s="79">
        <v>12653.530103536244</v>
      </c>
      <c r="F47" s="79">
        <v>13156.626277055477</v>
      </c>
      <c r="G47" s="79">
        <v>12738.600874087455</v>
      </c>
      <c r="H47" s="79">
        <v>13215.11220757153</v>
      </c>
      <c r="I47" s="79">
        <v>13221.190638944099</v>
      </c>
      <c r="J47" s="79">
        <v>15176.437503578878</v>
      </c>
      <c r="K47" s="45">
        <v>13496.920951500373</v>
      </c>
      <c r="L47" s="45">
        <v>13067.438044022047</v>
      </c>
      <c r="M47" s="45">
        <v>13518.316015452821</v>
      </c>
      <c r="N47" s="12"/>
      <c r="O47" s="20">
        <f t="shared" ref="O47" si="17">B45/B51</f>
        <v>13471.348443358098</v>
      </c>
      <c r="P47" s="20">
        <f t="shared" ref="P47" si="18">C45/C51</f>
        <v>12277.589301506354</v>
      </c>
      <c r="Q47" s="20">
        <f t="shared" ref="Q47" si="19">D45/D51</f>
        <v>14098.21108530729</v>
      </c>
      <c r="R47" s="20">
        <f t="shared" ref="R47" si="20">E45/E51</f>
        <v>14214.734380552301</v>
      </c>
      <c r="S47" s="20">
        <f t="shared" ref="S47" si="21">F45/F51</f>
        <v>14838.244529594413</v>
      </c>
      <c r="T47" s="20">
        <f t="shared" ref="T47" si="22">G45/G51</f>
        <v>14674.624021205034</v>
      </c>
      <c r="U47" s="20">
        <f t="shared" ref="U47" si="23">H45/H51</f>
        <v>15443.627682098317</v>
      </c>
      <c r="V47" s="20">
        <f t="shared" ref="V47" si="24">I45/I51</f>
        <v>15399.082939007976</v>
      </c>
      <c r="W47" s="20">
        <f t="shared" ref="W47" si="25">J45/J51</f>
        <v>17802.69038989639</v>
      </c>
      <c r="X47" s="20">
        <f t="shared" ref="X47" si="26">K45/K51</f>
        <v>15715.657473627038</v>
      </c>
      <c r="Y47" s="20">
        <f t="shared" ref="Y47" si="27">L45/L51</f>
        <v>15106.515507181386</v>
      </c>
      <c r="Z47" s="20">
        <f t="shared" ref="Z47" si="28">M45/M51</f>
        <v>15833.49002594804</v>
      </c>
      <c r="AA47" s="99"/>
    </row>
    <row r="48" spans="1:27">
      <c r="O48" s="20"/>
      <c r="P48" s="18"/>
      <c r="Q48" s="18"/>
      <c r="R48" s="18"/>
      <c r="S48" s="18"/>
      <c r="T48" s="18"/>
      <c r="U48" s="18"/>
      <c r="V48" s="18"/>
      <c r="W48" s="18"/>
      <c r="X48" s="18"/>
      <c r="Z48" s="4"/>
    </row>
    <row r="49" spans="1:26">
      <c r="A49" s="21" t="s">
        <v>3</v>
      </c>
      <c r="B49" s="14">
        <f>B45-B47</f>
        <v>0</v>
      </c>
      <c r="C49" s="14">
        <f t="shared" ref="C49:M49" si="29">C45-C47</f>
        <v>0</v>
      </c>
      <c r="D49" s="14">
        <f t="shared" si="29"/>
        <v>0</v>
      </c>
      <c r="E49" s="14">
        <f t="shared" si="29"/>
        <v>0</v>
      </c>
      <c r="F49" s="14">
        <f t="shared" si="29"/>
        <v>0</v>
      </c>
      <c r="G49" s="14">
        <f t="shared" si="29"/>
        <v>0</v>
      </c>
      <c r="H49" s="14">
        <f t="shared" si="29"/>
        <v>0</v>
      </c>
      <c r="I49" s="14">
        <f t="shared" si="29"/>
        <v>-2.0008883439004421E-11</v>
      </c>
      <c r="J49" s="14">
        <f t="shared" si="29"/>
        <v>0</v>
      </c>
      <c r="K49" s="14">
        <f t="shared" si="29"/>
        <v>0</v>
      </c>
      <c r="L49" s="14">
        <f t="shared" si="29"/>
        <v>0</v>
      </c>
      <c r="M49" s="14">
        <f t="shared" si="29"/>
        <v>1.098901095247129E-3</v>
      </c>
      <c r="N49" s="14"/>
      <c r="O49" s="14">
        <f t="shared" ref="O49:Z49" si="30">O45-O47</f>
        <v>0</v>
      </c>
      <c r="P49" s="14">
        <f t="shared" si="30"/>
        <v>0</v>
      </c>
      <c r="Q49" s="14">
        <f t="shared" si="30"/>
        <v>0</v>
      </c>
      <c r="R49" s="14">
        <f t="shared" si="30"/>
        <v>0</v>
      </c>
      <c r="S49" s="14">
        <f t="shared" si="30"/>
        <v>0</v>
      </c>
      <c r="T49" s="14">
        <f t="shared" si="30"/>
        <v>0</v>
      </c>
      <c r="U49" s="14">
        <f t="shared" si="30"/>
        <v>0</v>
      </c>
      <c r="V49" s="14">
        <f t="shared" si="30"/>
        <v>0</v>
      </c>
      <c r="W49" s="14">
        <f t="shared" si="30"/>
        <v>0</v>
      </c>
      <c r="X49" s="14">
        <f t="shared" si="30"/>
        <v>0</v>
      </c>
      <c r="Y49" s="14">
        <f t="shared" si="30"/>
        <v>0</v>
      </c>
      <c r="Z49" s="14">
        <f t="shared" si="30"/>
        <v>0</v>
      </c>
    </row>
    <row r="50" spans="1:26">
      <c r="O50" s="20"/>
      <c r="P50" s="18"/>
      <c r="Q50" s="18"/>
      <c r="R50" s="18"/>
      <c r="S50" s="18"/>
      <c r="T50" s="18"/>
      <c r="U50" s="18"/>
      <c r="V50" s="18"/>
      <c r="W50" s="18"/>
      <c r="X50" s="18"/>
      <c r="Z50" s="4"/>
    </row>
    <row r="51" spans="1:26">
      <c r="A51" t="s">
        <v>164</v>
      </c>
      <c r="B51" s="2">
        <v>0.96653</v>
      </c>
      <c r="C51" s="2">
        <v>0.96052999999999999</v>
      </c>
      <c r="D51" s="2">
        <v>0.92730999999999997</v>
      </c>
      <c r="E51" s="2">
        <v>0.89017000000000002</v>
      </c>
      <c r="F51" s="2">
        <v>0.88666999999999996</v>
      </c>
      <c r="G51" s="2">
        <v>0.86807000000000001</v>
      </c>
      <c r="H51" s="2">
        <v>0.85570000000000002</v>
      </c>
      <c r="I51" s="2">
        <v>0.85857000000000006</v>
      </c>
      <c r="J51" s="2">
        <v>0.85248000000000002</v>
      </c>
      <c r="K51" s="2">
        <v>0.85882000000000003</v>
      </c>
      <c r="L51" s="2">
        <v>0.86502000000000001</v>
      </c>
      <c r="M51" s="2">
        <v>0.85377999999999998</v>
      </c>
      <c r="N51" s="39"/>
    </row>
    <row r="52" spans="1:26">
      <c r="A52" s="2"/>
      <c r="N52" s="39"/>
    </row>
    <row r="53" spans="1:26">
      <c r="M53" s="14"/>
      <c r="N53" s="14"/>
    </row>
    <row r="54" spans="1:26">
      <c r="E54" s="5"/>
      <c r="K54" t="s">
        <v>13</v>
      </c>
      <c r="L54" s="14">
        <f>SUM(B45:M45)</f>
        <v>158131.04109890107</v>
      </c>
      <c r="M54" s="4">
        <f>SUM(O45:Z45)</f>
        <v>178875.81577928262</v>
      </c>
      <c r="N54" s="4"/>
    </row>
    <row r="55" spans="1:26">
      <c r="K55" t="s">
        <v>2</v>
      </c>
      <c r="L55" s="60"/>
      <c r="M55" s="60"/>
      <c r="N55" s="36"/>
    </row>
    <row r="56" spans="1:26">
      <c r="K56" t="s">
        <v>3</v>
      </c>
      <c r="L56" s="4">
        <f>L54-L55</f>
        <v>158131.04109890107</v>
      </c>
      <c r="M56" s="4">
        <f>M54-M55</f>
        <v>178875.81577928262</v>
      </c>
      <c r="N56" s="4"/>
    </row>
    <row r="60" spans="1:26">
      <c r="B60">
        <v>0.86502000000000001</v>
      </c>
      <c r="C60">
        <v>0.85882000000000003</v>
      </c>
      <c r="D60">
        <v>0.85248000000000002</v>
      </c>
      <c r="E60">
        <v>0.85857000000000006</v>
      </c>
      <c r="F60">
        <v>0.85570000000000002</v>
      </c>
      <c r="G60">
        <v>0.86807000000000001</v>
      </c>
      <c r="H60">
        <v>0.88666999999999996</v>
      </c>
      <c r="I60">
        <v>0.89017000000000002</v>
      </c>
      <c r="J60">
        <v>0.92730999999999997</v>
      </c>
      <c r="K60">
        <v>0.96052999999999999</v>
      </c>
      <c r="L60">
        <v>0.96653</v>
      </c>
    </row>
    <row r="62" spans="1:26">
      <c r="B62" s="15"/>
      <c r="C62" s="71"/>
      <c r="D62" s="71"/>
      <c r="E62" s="71"/>
      <c r="F62" s="71"/>
      <c r="G62" s="71"/>
      <c r="H62" s="71"/>
      <c r="I62" s="71"/>
      <c r="J62" s="72"/>
      <c r="K62" s="72"/>
      <c r="L62" s="72"/>
      <c r="M62" s="72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223C2-1DCB-4B5E-B6FF-A7BEBBCB7EBB}">
  <dimension ref="A1:D40"/>
  <sheetViews>
    <sheetView workbookViewId="0">
      <selection activeCell="C14" sqref="C14"/>
    </sheetView>
  </sheetViews>
  <sheetFormatPr defaultRowHeight="14.45"/>
  <cols>
    <col min="1" max="1" width="23.5703125" bestFit="1" customWidth="1"/>
    <col min="2" max="2" width="11.5703125" bestFit="1" customWidth="1"/>
    <col min="3" max="3" width="11" bestFit="1" customWidth="1"/>
    <col min="4" max="4" width="12.7109375" bestFit="1" customWidth="1"/>
  </cols>
  <sheetData>
    <row r="1" spans="1:4">
      <c r="A1" s="74" t="s">
        <v>14</v>
      </c>
      <c r="B1" s="74" t="s">
        <v>1</v>
      </c>
      <c r="C1" s="74" t="s">
        <v>186</v>
      </c>
      <c r="D1" s="74" t="s">
        <v>187</v>
      </c>
    </row>
    <row r="2" spans="1:4">
      <c r="A2" t="s">
        <v>188</v>
      </c>
      <c r="B2" s="5">
        <v>10555.809093140135</v>
      </c>
      <c r="C2" s="75">
        <f>B2/$B$38</f>
        <v>1.999481646678836E-2</v>
      </c>
      <c r="D2" s="5">
        <f>-$A$40*C2</f>
        <v>-2774.7566613987942</v>
      </c>
    </row>
    <row r="3" spans="1:4">
      <c r="A3" t="s">
        <v>75</v>
      </c>
      <c r="B3" s="5">
        <v>8065.4892176747435</v>
      </c>
      <c r="C3" s="75">
        <f t="shared" ref="C3:C36" si="0">B3/$B$38</f>
        <v>1.5277651878629518E-2</v>
      </c>
      <c r="D3" s="5">
        <f t="shared" ref="D3:D36" si="1">-$A$40*C3</f>
        <v>-2120.1378062745566</v>
      </c>
    </row>
    <row r="4" spans="1:4">
      <c r="A4" t="s">
        <v>23</v>
      </c>
      <c r="B4" s="5">
        <v>30501.649693989923</v>
      </c>
      <c r="C4" s="75">
        <f t="shared" si="0"/>
        <v>5.777623317969411E-2</v>
      </c>
      <c r="D4" s="5">
        <f t="shared" si="1"/>
        <v>-8017.8274280322339</v>
      </c>
    </row>
    <row r="5" spans="1:4">
      <c r="A5" t="s">
        <v>27</v>
      </c>
      <c r="B5" s="5">
        <v>28195.344188382438</v>
      </c>
      <c r="C5" s="75">
        <f t="shared" si="0"/>
        <v>5.3407628661170443E-2</v>
      </c>
      <c r="D5" s="5">
        <f t="shared" si="1"/>
        <v>-7411.5795782995347</v>
      </c>
    </row>
    <row r="6" spans="1:4">
      <c r="A6" t="s">
        <v>38</v>
      </c>
      <c r="B6" s="5">
        <v>8371.6643876904072</v>
      </c>
      <c r="C6" s="75">
        <f t="shared" si="0"/>
        <v>1.5857608969282982E-2</v>
      </c>
      <c r="D6" s="5">
        <f t="shared" si="1"/>
        <v>-2200.6206555814824</v>
      </c>
    </row>
    <row r="7" spans="1:4">
      <c r="A7" t="s">
        <v>49</v>
      </c>
      <c r="B7" s="5">
        <v>5822.5619938876116</v>
      </c>
      <c r="C7" s="75">
        <f t="shared" si="0"/>
        <v>1.1029098518837198E-2</v>
      </c>
      <c r="D7" s="5">
        <f t="shared" si="1"/>
        <v>-1530.5499120334096</v>
      </c>
    </row>
    <row r="8" spans="1:4">
      <c r="A8" t="s">
        <v>121</v>
      </c>
      <c r="B8" s="5">
        <v>6891.6555291976538</v>
      </c>
      <c r="C8" s="75">
        <f t="shared" si="0"/>
        <v>1.3054175785367717E-2</v>
      </c>
      <c r="D8" s="5">
        <f t="shared" si="1"/>
        <v>-1811.5775796034623</v>
      </c>
    </row>
    <row r="9" spans="1:4">
      <c r="A9" t="s">
        <v>37</v>
      </c>
      <c r="B9" s="5">
        <v>6844.8652501605075</v>
      </c>
      <c r="C9" s="75">
        <f t="shared" si="0"/>
        <v>1.2965545626038143E-2</v>
      </c>
      <c r="D9" s="5">
        <f t="shared" si="1"/>
        <v>-1799.278035598692</v>
      </c>
    </row>
    <row r="10" spans="1:4">
      <c r="A10" t="s">
        <v>79</v>
      </c>
      <c r="B10" s="5">
        <v>1661.6766855840542</v>
      </c>
      <c r="C10" s="75">
        <f t="shared" si="0"/>
        <v>3.1475484316011463E-3</v>
      </c>
      <c r="D10" s="5">
        <f t="shared" si="1"/>
        <v>-436.79725653733112</v>
      </c>
    </row>
    <row r="11" spans="1:4">
      <c r="A11" t="s">
        <v>32</v>
      </c>
      <c r="B11" s="5">
        <v>23407.434537585468</v>
      </c>
      <c r="C11" s="75">
        <f t="shared" si="0"/>
        <v>4.4338368893156635E-2</v>
      </c>
      <c r="D11" s="5">
        <f t="shared" si="1"/>
        <v>-6153.0039371051398</v>
      </c>
    </row>
    <row r="12" spans="1:4">
      <c r="A12" t="s">
        <v>22</v>
      </c>
      <c r="B12" s="5">
        <v>25949.02150639848</v>
      </c>
      <c r="C12" s="75">
        <f t="shared" si="0"/>
        <v>4.915264362353447E-2</v>
      </c>
      <c r="D12" s="5">
        <f t="shared" si="1"/>
        <v>-6821.0991356836475</v>
      </c>
    </row>
    <row r="13" spans="1:4">
      <c r="A13" t="s">
        <v>46</v>
      </c>
      <c r="B13" s="5">
        <v>1645.229259095609</v>
      </c>
      <c r="C13" s="75">
        <f t="shared" si="0"/>
        <v>3.1163937118552985E-3</v>
      </c>
      <c r="D13" s="5">
        <f t="shared" si="1"/>
        <v>-432.4737976902648</v>
      </c>
    </row>
    <row r="14" spans="1:4">
      <c r="A14" t="s">
        <v>15</v>
      </c>
      <c r="B14" s="5">
        <v>17487.150391708336</v>
      </c>
      <c r="C14" s="75">
        <f t="shared" si="0"/>
        <v>3.3124165047335091E-2</v>
      </c>
      <c r="D14" s="5">
        <f t="shared" si="1"/>
        <v>-4596.7662554458702</v>
      </c>
    </row>
    <row r="15" spans="1:4">
      <c r="A15" t="s">
        <v>16</v>
      </c>
      <c r="B15" s="5">
        <v>121290.45987614135</v>
      </c>
      <c r="C15" s="75">
        <f t="shared" si="0"/>
        <v>0.22974842221917854</v>
      </c>
      <c r="D15" s="5">
        <f t="shared" si="1"/>
        <v>-31883.061595359835</v>
      </c>
    </row>
    <row r="16" spans="1:4">
      <c r="A16" t="s">
        <v>81</v>
      </c>
      <c r="B16" s="5">
        <v>6891.6555291976538</v>
      </c>
      <c r="C16" s="75">
        <f t="shared" si="0"/>
        <v>1.3054175785367717E-2</v>
      </c>
      <c r="D16" s="5">
        <f t="shared" si="1"/>
        <v>-1811.5775796034623</v>
      </c>
    </row>
    <row r="17" spans="1:4">
      <c r="A17" t="s">
        <v>45</v>
      </c>
      <c r="B17" s="5">
        <v>8650.8489091096453</v>
      </c>
      <c r="C17" s="75">
        <f t="shared" si="0"/>
        <v>1.6386440365994535E-2</v>
      </c>
      <c r="D17" s="5">
        <f t="shared" si="1"/>
        <v>-2274.0085980624522</v>
      </c>
    </row>
    <row r="18" spans="1:4">
      <c r="A18" t="s">
        <v>189</v>
      </c>
      <c r="B18" s="5">
        <v>6839.1448763193603</v>
      </c>
      <c r="C18" s="75">
        <f t="shared" si="0"/>
        <v>1.2954710092346134E-2</v>
      </c>
      <c r="D18" s="5">
        <f t="shared" si="1"/>
        <v>-1797.7743474132237</v>
      </c>
    </row>
    <row r="19" spans="1:4">
      <c r="A19" t="s">
        <v>30</v>
      </c>
      <c r="B19" s="5">
        <v>7297.5966142576262</v>
      </c>
      <c r="C19" s="75">
        <f t="shared" si="0"/>
        <v>1.3823109499542014E-2</v>
      </c>
      <c r="D19" s="5">
        <f t="shared" si="1"/>
        <v>-1918.2854330675434</v>
      </c>
    </row>
    <row r="20" spans="1:4">
      <c r="A20" t="s">
        <v>51</v>
      </c>
      <c r="B20" s="5">
        <v>6844.8003687936889</v>
      </c>
      <c r="C20" s="75">
        <f t="shared" si="0"/>
        <v>1.2965422727735399E-2</v>
      </c>
      <c r="D20" s="5">
        <f t="shared" si="1"/>
        <v>-1799.2609805342065</v>
      </c>
    </row>
    <row r="21" spans="1:4">
      <c r="A21" t="s">
        <v>190</v>
      </c>
      <c r="B21" s="5">
        <v>8133.2145510719347</v>
      </c>
      <c r="C21" s="75">
        <f t="shared" si="0"/>
        <v>1.5405937223644797E-2</v>
      </c>
      <c r="D21" s="5">
        <f t="shared" si="1"/>
        <v>-2137.9404510866379</v>
      </c>
    </row>
    <row r="22" spans="1:4">
      <c r="A22" t="s">
        <v>191</v>
      </c>
      <c r="B22" s="5">
        <v>22892.806349543676</v>
      </c>
      <c r="C22" s="75">
        <f t="shared" si="0"/>
        <v>4.3363560038834084E-2</v>
      </c>
      <c r="D22" s="5">
        <f t="shared" si="1"/>
        <v>-6017.7260081171526</v>
      </c>
    </row>
    <row r="23" spans="1:4">
      <c r="A23" t="s">
        <v>192</v>
      </c>
      <c r="B23" s="5">
        <v>9149.9704504818637</v>
      </c>
      <c r="C23" s="75">
        <f t="shared" si="0"/>
        <v>1.7331876525961049E-2</v>
      </c>
      <c r="D23" s="5">
        <f t="shared" si="1"/>
        <v>-2405.2103666384132</v>
      </c>
    </row>
    <row r="24" spans="1:4">
      <c r="A24" t="s">
        <v>193</v>
      </c>
      <c r="B24" s="5">
        <v>9149.9704504818637</v>
      </c>
      <c r="C24" s="75">
        <f t="shared" si="0"/>
        <v>1.7331876525961049E-2</v>
      </c>
      <c r="D24" s="5">
        <f t="shared" si="1"/>
        <v>-2405.2103666384132</v>
      </c>
    </row>
    <row r="25" spans="1:4">
      <c r="A25" t="s">
        <v>86</v>
      </c>
      <c r="B25" s="5">
        <v>11110.588033681339</v>
      </c>
      <c r="C25" s="75">
        <f t="shared" si="0"/>
        <v>2.1045678887459594E-2</v>
      </c>
      <c r="D25" s="5">
        <f t="shared" si="1"/>
        <v>-2920.58883279254</v>
      </c>
    </row>
    <row r="26" spans="1:4">
      <c r="A26" t="s">
        <v>88</v>
      </c>
      <c r="B26" s="5">
        <v>23399.757722739774</v>
      </c>
      <c r="C26" s="75">
        <f t="shared" si="0"/>
        <v>4.4323827468379554E-2</v>
      </c>
      <c r="D26" s="5">
        <f t="shared" si="1"/>
        <v>-6150.9859683314098</v>
      </c>
    </row>
    <row r="27" spans="1:4">
      <c r="A27" t="s">
        <v>26</v>
      </c>
      <c r="B27" s="5">
        <v>6839.134876319361</v>
      </c>
      <c r="C27" s="75">
        <f t="shared" si="0"/>
        <v>1.2954691150343403E-2</v>
      </c>
      <c r="D27" s="5">
        <f t="shared" si="1"/>
        <v>-1797.7717187595254</v>
      </c>
    </row>
    <row r="28" spans="1:4">
      <c r="A28" t="s">
        <v>194</v>
      </c>
      <c r="B28" s="5">
        <v>9997.9058469916563</v>
      </c>
      <c r="C28" s="75">
        <f t="shared" si="0"/>
        <v>1.8938035985582646E-2</v>
      </c>
      <c r="D28" s="5">
        <f t="shared" si="1"/>
        <v>-2628.1032182560489</v>
      </c>
    </row>
    <row r="29" spans="1:4">
      <c r="A29" t="s">
        <v>195</v>
      </c>
      <c r="B29" s="5">
        <v>11110.588033681339</v>
      </c>
      <c r="C29" s="75">
        <f t="shared" si="0"/>
        <v>2.1045678887459594E-2</v>
      </c>
      <c r="D29" s="5">
        <f t="shared" si="1"/>
        <v>-2920.58883279254</v>
      </c>
    </row>
    <row r="30" spans="1:4">
      <c r="A30" t="s">
        <v>91</v>
      </c>
      <c r="B30" s="5">
        <v>8956.1265535509901</v>
      </c>
      <c r="C30" s="75">
        <f t="shared" si="0"/>
        <v>1.6964697363460027E-2</v>
      </c>
      <c r="D30" s="5">
        <f t="shared" si="1"/>
        <v>-2354.2555189773288</v>
      </c>
    </row>
    <row r="31" spans="1:4">
      <c r="A31" t="s">
        <v>43</v>
      </c>
      <c r="B31" s="5">
        <v>21763.200126114414</v>
      </c>
      <c r="C31" s="75">
        <f t="shared" si="0"/>
        <v>4.1223859621943443E-2</v>
      </c>
      <c r="D31" s="5">
        <f t="shared" si="1"/>
        <v>-5720.7916504036548</v>
      </c>
    </row>
    <row r="32" spans="1:4">
      <c r="A32" t="s">
        <v>33</v>
      </c>
      <c r="B32" s="5">
        <v>9397.7091361164912</v>
      </c>
      <c r="C32" s="75">
        <f t="shared" si="0"/>
        <v>1.7801143211942216E-2</v>
      </c>
      <c r="D32" s="5">
        <f t="shared" si="1"/>
        <v>-2470.3322878654262</v>
      </c>
    </row>
    <row r="33" spans="1:4">
      <c r="A33" t="s">
        <v>95</v>
      </c>
      <c r="B33" s="5">
        <v>15837.055030101346</v>
      </c>
      <c r="C33" s="75">
        <f t="shared" si="0"/>
        <v>2.9998553962773906E-2</v>
      </c>
      <c r="D33" s="5">
        <f t="shared" si="1"/>
        <v>-4163.0133279191932</v>
      </c>
    </row>
    <row r="34" spans="1:4">
      <c r="A34" t="s">
        <v>196</v>
      </c>
      <c r="B34" s="5">
        <v>11627.346493267003</v>
      </c>
      <c r="C34" s="75">
        <f t="shared" si="0"/>
        <v>2.2024522902722277E-2</v>
      </c>
      <c r="D34" s="5">
        <f t="shared" si="1"/>
        <v>-3056.4267363978006</v>
      </c>
    </row>
    <row r="35" spans="1:4">
      <c r="A35" t="s">
        <v>197</v>
      </c>
      <c r="B35" s="5">
        <v>6172.5537136279154</v>
      </c>
      <c r="C35" s="75">
        <f t="shared" si="0"/>
        <v>1.1692052929944421E-2</v>
      </c>
      <c r="D35" s="5">
        <f t="shared" si="1"/>
        <v>-1622.5506148895211</v>
      </c>
    </row>
    <row r="36" spans="1:4">
      <c r="A36" t="s">
        <v>50</v>
      </c>
      <c r="B36" s="5">
        <v>9175.2958106632814</v>
      </c>
      <c r="C36" s="75">
        <f t="shared" si="0"/>
        <v>1.7379847830132494E-2</v>
      </c>
      <c r="D36" s="5">
        <f t="shared" si="1"/>
        <v>-2411.8675268092406</v>
      </c>
    </row>
    <row r="38" spans="1:4">
      <c r="B38" s="35">
        <f>SUM(B2:B37)</f>
        <v>527927.28108674893</v>
      </c>
      <c r="D38" s="35">
        <f>SUM(D2:D37)</f>
        <v>-138773.79999999999</v>
      </c>
    </row>
    <row r="40" spans="1:4">
      <c r="A40">
        <v>138773.79999999999</v>
      </c>
    </row>
  </sheetData>
  <autoFilter ref="A1:B36" xr:uid="{7E8223C2-1DCB-4B5E-B6FF-A7BEBBCB7EBB}">
    <sortState xmlns:xlrd2="http://schemas.microsoft.com/office/spreadsheetml/2017/richdata2" ref="A2:B36">
      <sortCondition ref="A2:A36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55AF-7C6D-4BF8-9FAD-0DB822B4D695}">
  <dimension ref="A1:AE68"/>
  <sheetViews>
    <sheetView topLeftCell="L1" zoomScale="80" zoomScaleNormal="80" workbookViewId="0">
      <pane ySplit="1" topLeftCell="A34" activePane="bottomLeft" state="frozen"/>
      <selection pane="bottomLeft" activeCell="N53" sqref="N53"/>
    </sheetView>
  </sheetViews>
  <sheetFormatPr defaultRowHeight="14.45"/>
  <cols>
    <col min="1" max="1" width="34.42578125" bestFit="1" customWidth="1"/>
    <col min="2" max="2" width="13.28515625" bestFit="1" customWidth="1"/>
    <col min="3" max="3" width="14.5703125" customWidth="1"/>
    <col min="4" max="4" width="13.42578125" bestFit="1" customWidth="1"/>
    <col min="5" max="5" width="14.85546875" customWidth="1"/>
    <col min="6" max="6" width="15.140625" customWidth="1"/>
    <col min="7" max="7" width="17.7109375" customWidth="1"/>
    <col min="8" max="8" width="16" customWidth="1"/>
    <col min="9" max="9" width="15.140625" customWidth="1"/>
    <col min="10" max="10" width="13.5703125" customWidth="1"/>
    <col min="11" max="11" width="17.28515625" customWidth="1"/>
    <col min="12" max="12" width="15.42578125" customWidth="1"/>
    <col min="13" max="13" width="16.42578125" style="5" customWidth="1"/>
    <col min="14" max="14" width="22.7109375" customWidth="1"/>
    <col min="15" max="17" width="13.28515625" bestFit="1" customWidth="1"/>
    <col min="18" max="21" width="12.28515625" bestFit="1" customWidth="1"/>
    <col min="22" max="22" width="12.28515625" customWidth="1"/>
    <col min="23" max="24" width="12.28515625" bestFit="1" customWidth="1"/>
    <col min="25" max="25" width="14" customWidth="1"/>
    <col min="26" max="26" width="12.5703125" bestFit="1" customWidth="1"/>
    <col min="27" max="27" width="15.28515625" customWidth="1"/>
  </cols>
  <sheetData>
    <row r="1" spans="1:27">
      <c r="A1" s="1" t="s">
        <v>14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7" t="s">
        <v>148</v>
      </c>
      <c r="N1" s="1" t="s">
        <v>198</v>
      </c>
      <c r="O1" s="1" t="s">
        <v>199</v>
      </c>
      <c r="P1" s="1" t="s">
        <v>167</v>
      </c>
      <c r="Q1" s="1" t="s">
        <v>168</v>
      </c>
      <c r="R1" s="1" t="s">
        <v>169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145</v>
      </c>
      <c r="X1" s="1" t="s">
        <v>146</v>
      </c>
      <c r="Y1" s="1" t="s">
        <v>147</v>
      </c>
      <c r="Z1" s="1" t="s">
        <v>148</v>
      </c>
      <c r="AA1" s="1" t="s">
        <v>162</v>
      </c>
    </row>
    <row r="2" spans="1:27">
      <c r="A2" t="s">
        <v>18</v>
      </c>
      <c r="B2" s="23">
        <v>210</v>
      </c>
      <c r="C2" s="92">
        <f>8715+660</f>
        <v>9375</v>
      </c>
      <c r="D2" s="11">
        <f>10150+455</f>
        <v>10605</v>
      </c>
      <c r="E2" s="26">
        <v>15155</v>
      </c>
      <c r="F2" s="24">
        <v>13895</v>
      </c>
      <c r="G2" s="24">
        <v>10885</v>
      </c>
      <c r="H2" s="26">
        <v>210</v>
      </c>
      <c r="I2" s="26">
        <v>280</v>
      </c>
      <c r="J2" s="26">
        <v>280</v>
      </c>
      <c r="K2" s="26">
        <v>3500</v>
      </c>
      <c r="L2" s="26">
        <v>6895</v>
      </c>
      <c r="M2" s="5">
        <f>892.5+280</f>
        <v>1172.5</v>
      </c>
      <c r="N2" s="11">
        <f>SUM(B2:M2)</f>
        <v>72462.5</v>
      </c>
      <c r="O2" s="4">
        <f>B2/$B$59</f>
        <v>217.27209708958853</v>
      </c>
      <c r="P2" s="4">
        <f>C2/$C$59</f>
        <v>9760.2365360790391</v>
      </c>
      <c r="Q2" s="4">
        <f>D2/$D$59</f>
        <v>11436.305011269154</v>
      </c>
      <c r="R2" s="4">
        <f>E2/$E$59</f>
        <v>17024.837952301245</v>
      </c>
      <c r="S2" s="4">
        <f>F2/$F$59</f>
        <v>15670.99371806873</v>
      </c>
      <c r="T2" s="4">
        <f>G2/$G$59</f>
        <v>12539.311345859205</v>
      </c>
      <c r="U2" s="4">
        <f>H2/$H$59</f>
        <v>245.41311207198785</v>
      </c>
      <c r="V2" s="4">
        <f>I2/$I$59</f>
        <v>326.1236707548598</v>
      </c>
      <c r="W2" s="4">
        <f>J2/$J$59</f>
        <v>328.45345345345345</v>
      </c>
      <c r="X2" s="4">
        <f>K2/$K$59</f>
        <v>4075.359213804988</v>
      </c>
      <c r="Y2" s="4">
        <f>L2/$L$59</f>
        <v>7970.913967307114</v>
      </c>
      <c r="Z2" s="4">
        <f>M2/$M$59</f>
        <v>1373.3045983742884</v>
      </c>
      <c r="AA2" s="4">
        <f>SUM(O2:Z2)</f>
        <v>80968.524676433663</v>
      </c>
    </row>
    <row r="3" spans="1:27">
      <c r="A3" t="s">
        <v>112</v>
      </c>
      <c r="B3" s="23"/>
      <c r="C3" s="92"/>
      <c r="D3" s="11"/>
      <c r="E3" s="26"/>
      <c r="F3" s="24">
        <v>525</v>
      </c>
      <c r="G3" s="24"/>
      <c r="H3" s="26"/>
      <c r="I3" s="26"/>
      <c r="J3" s="26"/>
      <c r="K3" s="26"/>
      <c r="L3" s="26"/>
      <c r="N3" s="11">
        <f t="shared" ref="N3:N51" si="0">SUM(B3:M3)</f>
        <v>525</v>
      </c>
      <c r="O3" s="4">
        <f t="shared" ref="O3:O51" si="1">B3/$B$59</f>
        <v>0</v>
      </c>
      <c r="P3" s="4">
        <f t="shared" ref="P3:P51" si="2">C3/$C$59</f>
        <v>0</v>
      </c>
      <c r="Q3" s="4">
        <f t="shared" ref="Q3:Q51" si="3">D3/$D$59</f>
        <v>0</v>
      </c>
      <c r="R3" s="4">
        <f t="shared" ref="R3:R51" si="4">E3/$E$59</f>
        <v>0</v>
      </c>
      <c r="S3" s="4">
        <f t="shared" ref="S3:S51" si="5">F3/$F$59</f>
        <v>592.10303720662705</v>
      </c>
      <c r="T3" s="4">
        <f t="shared" ref="T3:T51" si="6">G3/$G$59</f>
        <v>0</v>
      </c>
      <c r="U3" s="4">
        <f t="shared" ref="U3:U51" si="7">H3/$H$59</f>
        <v>0</v>
      </c>
      <c r="V3" s="4">
        <f t="shared" ref="V3:V51" si="8">I3/$I$59</f>
        <v>0</v>
      </c>
      <c r="W3" s="4">
        <f t="shared" ref="W3:W51" si="9">J3/$J$59</f>
        <v>0</v>
      </c>
      <c r="X3" s="4">
        <f t="shared" ref="X3:X51" si="10">K3/$K$59</f>
        <v>0</v>
      </c>
      <c r="Y3" s="4">
        <f t="shared" ref="Y3:Y51" si="11">L3/$L$59</f>
        <v>0</v>
      </c>
      <c r="Z3" s="4">
        <f t="shared" ref="Z3:Z51" si="12">M3/$M$59</f>
        <v>0</v>
      </c>
      <c r="AA3" s="4">
        <f t="shared" ref="AA3:AA52" si="13">SUM(O3:Z3)</f>
        <v>592.10303720662705</v>
      </c>
    </row>
    <row r="4" spans="1:27">
      <c r="A4" s="73" t="s">
        <v>110</v>
      </c>
      <c r="B4" s="8"/>
      <c r="C4" s="92">
        <f>1960+126.67</f>
        <v>2086.67</v>
      </c>
      <c r="D4" s="11">
        <v>2006.67</v>
      </c>
      <c r="E4" s="26">
        <f>3523.33+253.33</f>
        <v>3776.66</v>
      </c>
      <c r="F4" s="24">
        <v>490.36</v>
      </c>
      <c r="G4" s="24">
        <v>1050</v>
      </c>
      <c r="H4" s="26">
        <v>385</v>
      </c>
      <c r="I4" s="26"/>
      <c r="J4" s="26"/>
      <c r="K4" s="26">
        <v>525</v>
      </c>
      <c r="L4" s="26">
        <v>280</v>
      </c>
      <c r="N4" s="11">
        <f t="shared" si="0"/>
        <v>10600.36</v>
      </c>
      <c r="O4" s="4">
        <f t="shared" si="1"/>
        <v>0</v>
      </c>
      <c r="P4" s="4">
        <f t="shared" si="2"/>
        <v>2172.4152290922721</v>
      </c>
      <c r="Q4" s="4">
        <f t="shared" si="3"/>
        <v>2163.9688992893425</v>
      </c>
      <c r="R4" s="4">
        <f t="shared" si="4"/>
        <v>4242.6278126649968</v>
      </c>
      <c r="S4" s="4">
        <f t="shared" si="5"/>
        <v>553.03551490407938</v>
      </c>
      <c r="T4" s="4">
        <f t="shared" si="6"/>
        <v>1209.5798725909201</v>
      </c>
      <c r="U4" s="4">
        <f t="shared" si="7"/>
        <v>449.9240387986444</v>
      </c>
      <c r="V4" s="4">
        <f t="shared" si="8"/>
        <v>0</v>
      </c>
      <c r="W4" s="4">
        <f t="shared" si="9"/>
        <v>0</v>
      </c>
      <c r="X4" s="4">
        <f t="shared" si="10"/>
        <v>611.30388207074827</v>
      </c>
      <c r="Y4" s="4">
        <f t="shared" si="11"/>
        <v>323.69193775866455</v>
      </c>
      <c r="Z4" s="4">
        <f t="shared" si="12"/>
        <v>0</v>
      </c>
      <c r="AA4" s="4">
        <f t="shared" si="13"/>
        <v>11726.547187169666</v>
      </c>
    </row>
    <row r="5" spans="1:27">
      <c r="A5" t="s">
        <v>54</v>
      </c>
      <c r="B5" s="23"/>
      <c r="C5" s="92"/>
      <c r="D5" s="81"/>
      <c r="E5" s="26"/>
      <c r="F5" s="24"/>
      <c r="G5" s="26"/>
      <c r="H5" s="26"/>
      <c r="I5" s="26"/>
      <c r="J5" s="26"/>
      <c r="K5" s="26"/>
      <c r="L5" s="26"/>
      <c r="N5" s="11">
        <f t="shared" si="0"/>
        <v>0</v>
      </c>
      <c r="O5" s="4">
        <f t="shared" si="1"/>
        <v>0</v>
      </c>
      <c r="P5" s="4">
        <f t="shared" si="2"/>
        <v>0</v>
      </c>
      <c r="Q5" s="4">
        <f t="shared" si="3"/>
        <v>0</v>
      </c>
      <c r="R5" s="4">
        <f t="shared" si="4"/>
        <v>0</v>
      </c>
      <c r="S5" s="4">
        <f t="shared" si="5"/>
        <v>0</v>
      </c>
      <c r="T5" s="4">
        <f t="shared" si="6"/>
        <v>0</v>
      </c>
      <c r="U5" s="4">
        <f t="shared" si="7"/>
        <v>0</v>
      </c>
      <c r="V5" s="4">
        <f t="shared" si="8"/>
        <v>0</v>
      </c>
      <c r="W5" s="4">
        <f t="shared" si="9"/>
        <v>0</v>
      </c>
      <c r="X5" s="4">
        <f t="shared" si="10"/>
        <v>0</v>
      </c>
      <c r="Y5" s="4">
        <f t="shared" si="11"/>
        <v>0</v>
      </c>
      <c r="Z5" s="4">
        <f t="shared" si="12"/>
        <v>0</v>
      </c>
      <c r="AA5" s="4">
        <f t="shared" si="13"/>
        <v>0</v>
      </c>
    </row>
    <row r="6" spans="1:27">
      <c r="A6" t="s">
        <v>23</v>
      </c>
      <c r="B6" s="92">
        <v>840</v>
      </c>
      <c r="C6" s="92">
        <v>2078.33</v>
      </c>
      <c r="D6" s="11"/>
      <c r="E6" s="11"/>
      <c r="F6" s="24">
        <v>1750</v>
      </c>
      <c r="G6" s="24">
        <v>1137.5</v>
      </c>
      <c r="I6" s="26">
        <v>805</v>
      </c>
      <c r="J6" s="26">
        <f>1295+280</f>
        <v>1575</v>
      </c>
      <c r="K6" s="26"/>
      <c r="L6" s="26">
        <f>2800+280</f>
        <v>3080</v>
      </c>
      <c r="M6" s="5">
        <v>490</v>
      </c>
      <c r="N6" s="11">
        <f t="shared" si="0"/>
        <v>11755.83</v>
      </c>
      <c r="O6" s="4">
        <f t="shared" si="1"/>
        <v>869.08838835835411</v>
      </c>
      <c r="P6" s="4">
        <f t="shared" si="2"/>
        <v>2163.7325226697758</v>
      </c>
      <c r="Q6" s="4">
        <f t="shared" si="3"/>
        <v>0</v>
      </c>
      <c r="R6" s="4">
        <f t="shared" si="4"/>
        <v>0</v>
      </c>
      <c r="S6" s="4">
        <f t="shared" si="5"/>
        <v>1973.6767906887569</v>
      </c>
      <c r="T6" s="4">
        <f t="shared" si="6"/>
        <v>1310.3781953068301</v>
      </c>
      <c r="U6" s="4">
        <f t="shared" si="7"/>
        <v>0</v>
      </c>
      <c r="V6" s="4">
        <f t="shared" si="8"/>
        <v>937.6055534202219</v>
      </c>
      <c r="W6" s="4">
        <f t="shared" si="9"/>
        <v>1847.5506756756756</v>
      </c>
      <c r="X6" s="4">
        <f t="shared" si="10"/>
        <v>0</v>
      </c>
      <c r="Y6" s="4">
        <f t="shared" si="11"/>
        <v>3560.6113153453098</v>
      </c>
      <c r="Z6" s="4">
        <f t="shared" si="12"/>
        <v>573.91833961910561</v>
      </c>
      <c r="AA6" s="4">
        <f t="shared" si="13"/>
        <v>13236.561781084029</v>
      </c>
    </row>
    <row r="7" spans="1:27">
      <c r="A7" t="s">
        <v>56</v>
      </c>
      <c r="B7" s="9"/>
      <c r="C7" s="92"/>
      <c r="D7" s="11"/>
      <c r="E7" s="11"/>
      <c r="F7" s="24"/>
      <c r="G7" s="24"/>
      <c r="H7" s="26"/>
      <c r="I7" s="26"/>
      <c r="J7" s="26"/>
      <c r="K7" s="26"/>
      <c r="L7" s="26"/>
      <c r="N7" s="11">
        <f t="shared" si="0"/>
        <v>0</v>
      </c>
      <c r="O7" s="4">
        <f t="shared" si="1"/>
        <v>0</v>
      </c>
      <c r="P7" s="4">
        <f t="shared" si="2"/>
        <v>0</v>
      </c>
      <c r="Q7" s="4">
        <f t="shared" si="3"/>
        <v>0</v>
      </c>
      <c r="R7" s="4">
        <f t="shared" si="4"/>
        <v>0</v>
      </c>
      <c r="S7" s="4">
        <f t="shared" si="5"/>
        <v>0</v>
      </c>
      <c r="T7" s="4">
        <f t="shared" si="6"/>
        <v>0</v>
      </c>
      <c r="U7" s="4">
        <f t="shared" si="7"/>
        <v>0</v>
      </c>
      <c r="V7" s="4">
        <f t="shared" si="8"/>
        <v>0</v>
      </c>
      <c r="W7" s="4">
        <f t="shared" si="9"/>
        <v>0</v>
      </c>
      <c r="X7" s="4">
        <f t="shared" si="10"/>
        <v>0</v>
      </c>
      <c r="Y7" s="4">
        <f t="shared" si="11"/>
        <v>0</v>
      </c>
      <c r="Z7" s="4">
        <f t="shared" si="12"/>
        <v>0</v>
      </c>
      <c r="AA7" s="4">
        <f t="shared" si="13"/>
        <v>0</v>
      </c>
    </row>
    <row r="8" spans="1:27">
      <c r="A8" t="s">
        <v>27</v>
      </c>
      <c r="B8" s="9">
        <v>525</v>
      </c>
      <c r="C8" s="43">
        <v>980</v>
      </c>
      <c r="D8" s="11"/>
      <c r="E8" s="11">
        <v>595</v>
      </c>
      <c r="F8" s="24">
        <v>1960</v>
      </c>
      <c r="G8" s="24"/>
      <c r="H8" s="26">
        <v>1645</v>
      </c>
      <c r="I8" s="26"/>
      <c r="J8" s="26"/>
      <c r="K8" s="26">
        <v>350</v>
      </c>
      <c r="L8" s="26"/>
      <c r="M8" s="26"/>
      <c r="N8" s="11">
        <f t="shared" si="0"/>
        <v>6055</v>
      </c>
      <c r="O8" s="4">
        <f t="shared" si="1"/>
        <v>543.18024272397133</v>
      </c>
      <c r="P8" s="4">
        <f t="shared" si="2"/>
        <v>1020.270059238129</v>
      </c>
      <c r="Q8" s="4">
        <f t="shared" si="3"/>
        <v>0</v>
      </c>
      <c r="R8" s="4">
        <f t="shared" si="4"/>
        <v>668.4116517069773</v>
      </c>
      <c r="S8" s="4">
        <f t="shared" si="5"/>
        <v>2210.5180055714077</v>
      </c>
      <c r="T8" s="4">
        <f t="shared" si="6"/>
        <v>0</v>
      </c>
      <c r="U8" s="4">
        <f t="shared" si="7"/>
        <v>1922.4027112305714</v>
      </c>
      <c r="V8" s="4">
        <f t="shared" si="8"/>
        <v>0</v>
      </c>
      <c r="W8" s="4">
        <f t="shared" si="9"/>
        <v>0</v>
      </c>
      <c r="X8" s="4">
        <f t="shared" si="10"/>
        <v>407.53592138049879</v>
      </c>
      <c r="Y8" s="4">
        <f t="shared" si="11"/>
        <v>0</v>
      </c>
      <c r="Z8" s="4">
        <f t="shared" si="12"/>
        <v>0</v>
      </c>
      <c r="AA8" s="4">
        <f t="shared" si="13"/>
        <v>6772.3185918515546</v>
      </c>
    </row>
    <row r="9" spans="1:27">
      <c r="A9" t="s">
        <v>38</v>
      </c>
      <c r="B9" s="23"/>
      <c r="C9" s="92">
        <f>1050+475</f>
        <v>1525</v>
      </c>
      <c r="D9" s="11">
        <f>2730+918.33</f>
        <v>3648.33</v>
      </c>
      <c r="E9" s="11">
        <v>506.67</v>
      </c>
      <c r="F9" s="24"/>
      <c r="G9" s="24"/>
      <c r="H9" s="26"/>
      <c r="I9" s="26"/>
      <c r="J9" s="26"/>
      <c r="K9" s="26"/>
      <c r="L9" s="26"/>
      <c r="N9" s="11">
        <f t="shared" si="0"/>
        <v>5680</v>
      </c>
      <c r="O9" s="4">
        <f t="shared" si="1"/>
        <v>0</v>
      </c>
      <c r="P9" s="4">
        <f t="shared" si="2"/>
        <v>1587.6651432021904</v>
      </c>
      <c r="Q9" s="4">
        <f t="shared" si="3"/>
        <v>3934.315385361961</v>
      </c>
      <c r="R9" s="4">
        <f t="shared" si="4"/>
        <v>569.18341440399024</v>
      </c>
      <c r="S9" s="4">
        <f t="shared" si="5"/>
        <v>0</v>
      </c>
      <c r="T9" s="4">
        <f t="shared" si="6"/>
        <v>0</v>
      </c>
      <c r="U9" s="4">
        <f t="shared" si="7"/>
        <v>0</v>
      </c>
      <c r="V9" s="4">
        <f t="shared" si="8"/>
        <v>0</v>
      </c>
      <c r="W9" s="4">
        <f t="shared" si="9"/>
        <v>0</v>
      </c>
      <c r="X9" s="4">
        <f t="shared" si="10"/>
        <v>0</v>
      </c>
      <c r="Y9" s="4">
        <f t="shared" si="11"/>
        <v>0</v>
      </c>
      <c r="Z9" s="4">
        <f t="shared" si="12"/>
        <v>0</v>
      </c>
      <c r="AA9" s="4">
        <f t="shared" si="13"/>
        <v>6091.1639429681418</v>
      </c>
    </row>
    <row r="10" spans="1:27">
      <c r="A10" t="s">
        <v>49</v>
      </c>
      <c r="B10" s="23">
        <v>5040</v>
      </c>
      <c r="C10" s="92">
        <v>4795</v>
      </c>
      <c r="D10" s="11">
        <v>4340</v>
      </c>
      <c r="E10" s="11">
        <v>1050</v>
      </c>
      <c r="F10" s="24">
        <v>70</v>
      </c>
      <c r="G10" s="24">
        <v>1190</v>
      </c>
      <c r="H10" s="26">
        <v>70</v>
      </c>
      <c r="I10" s="26"/>
      <c r="J10" s="26"/>
      <c r="K10" s="26">
        <v>70</v>
      </c>
      <c r="L10" s="26">
        <v>770</v>
      </c>
      <c r="N10" s="11">
        <f t="shared" si="0"/>
        <v>17395</v>
      </c>
      <c r="O10" s="4">
        <f t="shared" si="1"/>
        <v>5214.5303301501244</v>
      </c>
      <c r="P10" s="4">
        <f t="shared" si="2"/>
        <v>4992.0356469865592</v>
      </c>
      <c r="Q10" s="4">
        <f t="shared" si="3"/>
        <v>4680.2040310144394</v>
      </c>
      <c r="R10" s="4">
        <f t="shared" si="4"/>
        <v>1179.5499736005481</v>
      </c>
      <c r="S10" s="4">
        <f t="shared" si="5"/>
        <v>78.947071627550272</v>
      </c>
      <c r="T10" s="4">
        <f t="shared" si="6"/>
        <v>1370.8571889363761</v>
      </c>
      <c r="U10" s="4">
        <f t="shared" si="7"/>
        <v>81.804370690662608</v>
      </c>
      <c r="V10" s="4">
        <f t="shared" si="8"/>
        <v>0</v>
      </c>
      <c r="W10" s="4">
        <f t="shared" si="9"/>
        <v>0</v>
      </c>
      <c r="X10" s="4">
        <f t="shared" si="10"/>
        <v>81.507184276099764</v>
      </c>
      <c r="Y10" s="4">
        <f t="shared" si="11"/>
        <v>890.15282883632744</v>
      </c>
      <c r="Z10" s="4">
        <f t="shared" si="12"/>
        <v>0</v>
      </c>
      <c r="AA10" s="4">
        <f t="shared" si="13"/>
        <v>18569.588626118686</v>
      </c>
    </row>
    <row r="11" spans="1:27">
      <c r="A11" t="s">
        <v>121</v>
      </c>
      <c r="B11" s="9"/>
      <c r="C11" s="92"/>
      <c r="D11" s="11"/>
      <c r="E11" s="11"/>
      <c r="F11" s="24"/>
      <c r="G11" s="24"/>
      <c r="H11" s="26"/>
      <c r="I11" s="26"/>
      <c r="J11" s="26">
        <v>525</v>
      </c>
      <c r="K11" s="26">
        <v>1680</v>
      </c>
      <c r="L11" s="26">
        <v>175</v>
      </c>
      <c r="M11" s="26">
        <v>770</v>
      </c>
      <c r="N11" s="11">
        <f t="shared" si="0"/>
        <v>3150</v>
      </c>
      <c r="O11" s="4">
        <f t="shared" si="1"/>
        <v>0</v>
      </c>
      <c r="P11" s="4">
        <f t="shared" si="2"/>
        <v>0</v>
      </c>
      <c r="Q11" s="4">
        <f t="shared" si="3"/>
        <v>0</v>
      </c>
      <c r="R11" s="4">
        <f t="shared" si="4"/>
        <v>0</v>
      </c>
      <c r="S11" s="4">
        <f t="shared" si="5"/>
        <v>0</v>
      </c>
      <c r="T11" s="4">
        <f t="shared" si="6"/>
        <v>0</v>
      </c>
      <c r="U11" s="4">
        <f t="shared" si="7"/>
        <v>0</v>
      </c>
      <c r="V11" s="4">
        <f t="shared" si="8"/>
        <v>0</v>
      </c>
      <c r="W11" s="4">
        <f t="shared" si="9"/>
        <v>615.85022522522524</v>
      </c>
      <c r="X11" s="4">
        <f t="shared" si="10"/>
        <v>1956.1724226263943</v>
      </c>
      <c r="Y11" s="4">
        <f t="shared" si="11"/>
        <v>202.30746109916532</v>
      </c>
      <c r="Z11" s="4">
        <f t="shared" si="12"/>
        <v>901.87167654430891</v>
      </c>
      <c r="AA11" s="4">
        <f t="shared" si="13"/>
        <v>3676.2017854950936</v>
      </c>
    </row>
    <row r="12" spans="1:27">
      <c r="A12" t="s">
        <v>58</v>
      </c>
      <c r="C12" s="92"/>
      <c r="D12" s="11"/>
      <c r="E12" s="11"/>
      <c r="F12" s="24"/>
      <c r="G12" s="24"/>
      <c r="H12" s="26"/>
      <c r="I12" s="26"/>
      <c r="J12" s="26"/>
      <c r="K12" s="26"/>
      <c r="L12" s="26"/>
      <c r="M12" s="26"/>
      <c r="N12" s="11">
        <f t="shared" si="0"/>
        <v>0</v>
      </c>
      <c r="O12" s="4">
        <f t="shared" si="1"/>
        <v>0</v>
      </c>
      <c r="P12" s="4">
        <f t="shared" si="2"/>
        <v>0</v>
      </c>
      <c r="Q12" s="4">
        <f t="shared" si="3"/>
        <v>0</v>
      </c>
      <c r="R12" s="4">
        <f t="shared" si="4"/>
        <v>0</v>
      </c>
      <c r="S12" s="4">
        <f t="shared" si="5"/>
        <v>0</v>
      </c>
      <c r="T12" s="4">
        <f t="shared" si="6"/>
        <v>0</v>
      </c>
      <c r="U12" s="4">
        <f t="shared" si="7"/>
        <v>0</v>
      </c>
      <c r="V12" s="4">
        <f t="shared" si="8"/>
        <v>0</v>
      </c>
      <c r="W12" s="4">
        <f t="shared" si="9"/>
        <v>0</v>
      </c>
      <c r="X12" s="4">
        <f t="shared" si="10"/>
        <v>0</v>
      </c>
      <c r="Y12" s="4">
        <f t="shared" si="11"/>
        <v>0</v>
      </c>
      <c r="Z12" s="4">
        <f t="shared" si="12"/>
        <v>0</v>
      </c>
      <c r="AA12" s="4">
        <f t="shared" si="13"/>
        <v>0</v>
      </c>
    </row>
    <row r="13" spans="1:27">
      <c r="A13" t="s">
        <v>37</v>
      </c>
      <c r="B13" s="37">
        <v>1631.65</v>
      </c>
      <c r="C13" s="92"/>
      <c r="D13" s="11"/>
      <c r="E13" s="11"/>
      <c r="F13" s="24"/>
      <c r="G13" s="24"/>
      <c r="H13" s="26"/>
      <c r="I13" s="26"/>
      <c r="J13" s="26"/>
      <c r="K13" s="26"/>
      <c r="L13" s="26">
        <v>245</v>
      </c>
      <c r="M13" s="26"/>
      <c r="N13" s="11">
        <f t="shared" si="0"/>
        <v>1876.65</v>
      </c>
      <c r="O13" s="4">
        <f t="shared" si="1"/>
        <v>1688.1524629344149</v>
      </c>
      <c r="P13" s="4">
        <f t="shared" si="2"/>
        <v>0</v>
      </c>
      <c r="Q13" s="4">
        <f t="shared" si="3"/>
        <v>0</v>
      </c>
      <c r="R13" s="4">
        <f t="shared" si="4"/>
        <v>0</v>
      </c>
      <c r="S13" s="4">
        <f t="shared" si="5"/>
        <v>0</v>
      </c>
      <c r="T13" s="4">
        <f t="shared" si="6"/>
        <v>0</v>
      </c>
      <c r="U13" s="4">
        <f t="shared" si="7"/>
        <v>0</v>
      </c>
      <c r="V13" s="4">
        <f t="shared" si="8"/>
        <v>0</v>
      </c>
      <c r="W13" s="4">
        <f t="shared" si="9"/>
        <v>0</v>
      </c>
      <c r="X13" s="4">
        <f t="shared" si="10"/>
        <v>0</v>
      </c>
      <c r="Y13" s="4">
        <f t="shared" si="11"/>
        <v>283.23044553883148</v>
      </c>
      <c r="Z13" s="4">
        <f t="shared" si="12"/>
        <v>0</v>
      </c>
      <c r="AA13" s="4">
        <f t="shared" si="13"/>
        <v>1971.3829084732463</v>
      </c>
    </row>
    <row r="14" spans="1:27">
      <c r="A14" t="s">
        <v>36</v>
      </c>
      <c r="B14" s="23">
        <v>950</v>
      </c>
      <c r="C14" s="92"/>
      <c r="D14" s="11"/>
      <c r="E14" s="11"/>
      <c r="F14" s="24"/>
      <c r="G14" s="24"/>
      <c r="H14" s="26"/>
      <c r="I14" s="26"/>
      <c r="J14" s="26"/>
      <c r="K14" s="26"/>
      <c r="L14" s="26"/>
      <c r="M14" s="26"/>
      <c r="N14" s="11">
        <f t="shared" si="0"/>
        <v>950</v>
      </c>
      <c r="O14" s="4">
        <f t="shared" si="1"/>
        <v>982.89758207194814</v>
      </c>
      <c r="P14" s="4">
        <f t="shared" si="2"/>
        <v>0</v>
      </c>
      <c r="Q14" s="4">
        <f t="shared" si="3"/>
        <v>0</v>
      </c>
      <c r="R14" s="4">
        <f t="shared" si="4"/>
        <v>0</v>
      </c>
      <c r="S14" s="4">
        <f t="shared" si="5"/>
        <v>0</v>
      </c>
      <c r="T14" s="4">
        <f t="shared" si="6"/>
        <v>0</v>
      </c>
      <c r="U14" s="4">
        <f t="shared" si="7"/>
        <v>0</v>
      </c>
      <c r="V14" s="4">
        <f t="shared" si="8"/>
        <v>0</v>
      </c>
      <c r="W14" s="4">
        <f t="shared" si="9"/>
        <v>0</v>
      </c>
      <c r="X14" s="4">
        <f t="shared" si="10"/>
        <v>0</v>
      </c>
      <c r="Y14" s="4">
        <f t="shared" si="11"/>
        <v>0</v>
      </c>
      <c r="Z14" s="4">
        <f t="shared" si="12"/>
        <v>0</v>
      </c>
      <c r="AA14" s="4">
        <f t="shared" si="13"/>
        <v>982.89758207194814</v>
      </c>
    </row>
    <row r="15" spans="1:27">
      <c r="A15" t="s">
        <v>55</v>
      </c>
      <c r="B15" s="23"/>
      <c r="C15" s="60"/>
      <c r="D15" s="11"/>
      <c r="E15" s="11"/>
      <c r="F15" s="24"/>
      <c r="G15" s="24"/>
      <c r="H15" s="26"/>
      <c r="I15" s="26"/>
      <c r="J15" s="26"/>
      <c r="K15" s="26"/>
      <c r="L15" s="26"/>
      <c r="M15" s="26"/>
      <c r="N15" s="11">
        <f t="shared" si="0"/>
        <v>0</v>
      </c>
      <c r="O15" s="4">
        <f t="shared" si="1"/>
        <v>0</v>
      </c>
      <c r="P15" s="4">
        <f t="shared" si="2"/>
        <v>0</v>
      </c>
      <c r="Q15" s="4">
        <f t="shared" si="3"/>
        <v>0</v>
      </c>
      <c r="R15" s="4">
        <f t="shared" si="4"/>
        <v>0</v>
      </c>
      <c r="S15" s="4">
        <f t="shared" si="5"/>
        <v>0</v>
      </c>
      <c r="T15" s="4">
        <f t="shared" si="6"/>
        <v>0</v>
      </c>
      <c r="U15" s="4">
        <f t="shared" si="7"/>
        <v>0</v>
      </c>
      <c r="V15" s="4">
        <f t="shared" si="8"/>
        <v>0</v>
      </c>
      <c r="W15" s="4">
        <f t="shared" si="9"/>
        <v>0</v>
      </c>
      <c r="X15" s="4">
        <f t="shared" si="10"/>
        <v>0</v>
      </c>
      <c r="Y15" s="4">
        <f t="shared" si="11"/>
        <v>0</v>
      </c>
      <c r="Z15" s="4">
        <f t="shared" si="12"/>
        <v>0</v>
      </c>
      <c r="AA15" s="4">
        <f t="shared" si="13"/>
        <v>0</v>
      </c>
    </row>
    <row r="16" spans="1:27">
      <c r="A16" t="s">
        <v>44</v>
      </c>
      <c r="B16" s="23"/>
      <c r="C16" s="92">
        <v>70</v>
      </c>
      <c r="D16" s="11"/>
      <c r="E16" s="11"/>
      <c r="F16" s="24"/>
      <c r="G16" s="24"/>
      <c r="H16" s="26"/>
      <c r="I16" s="26"/>
      <c r="J16" s="26"/>
      <c r="K16" s="26"/>
      <c r="L16" s="26"/>
      <c r="M16" s="26"/>
      <c r="N16" s="11">
        <f t="shared" si="0"/>
        <v>70</v>
      </c>
      <c r="O16" s="4">
        <f t="shared" si="1"/>
        <v>0</v>
      </c>
      <c r="P16" s="4">
        <f t="shared" si="2"/>
        <v>72.8764328027235</v>
      </c>
      <c r="Q16" s="4">
        <f t="shared" si="3"/>
        <v>0</v>
      </c>
      <c r="R16" s="4">
        <f t="shared" si="4"/>
        <v>0</v>
      </c>
      <c r="S16" s="4">
        <f t="shared" si="5"/>
        <v>0</v>
      </c>
      <c r="T16" s="4">
        <f t="shared" si="6"/>
        <v>0</v>
      </c>
      <c r="U16" s="4">
        <f t="shared" si="7"/>
        <v>0</v>
      </c>
      <c r="V16" s="4">
        <f t="shared" si="8"/>
        <v>0</v>
      </c>
      <c r="W16" s="4">
        <f t="shared" si="9"/>
        <v>0</v>
      </c>
      <c r="X16" s="4">
        <f t="shared" si="10"/>
        <v>0</v>
      </c>
      <c r="Y16" s="4">
        <f t="shared" si="11"/>
        <v>0</v>
      </c>
      <c r="Z16" s="4">
        <f t="shared" si="12"/>
        <v>0</v>
      </c>
      <c r="AA16" s="4">
        <f t="shared" si="13"/>
        <v>72.8764328027235</v>
      </c>
    </row>
    <row r="17" spans="1:27">
      <c r="A17" t="s">
        <v>111</v>
      </c>
      <c r="B17" s="92">
        <v>134.63</v>
      </c>
      <c r="C17" s="92">
        <f>2977.77+102.15</f>
        <v>3079.92</v>
      </c>
      <c r="D17" s="11">
        <v>6291.13</v>
      </c>
      <c r="E17" s="11"/>
      <c r="F17" s="24"/>
      <c r="G17" s="24"/>
      <c r="H17" s="26"/>
      <c r="I17" s="26">
        <v>208.04</v>
      </c>
      <c r="J17" s="26"/>
      <c r="K17" s="69">
        <v>1236.76</v>
      </c>
      <c r="L17" s="26">
        <v>7180.09</v>
      </c>
      <c r="M17" s="26">
        <f>10326.96+410.39</f>
        <v>10737.349999999999</v>
      </c>
      <c r="N17" s="11">
        <f t="shared" si="0"/>
        <v>28867.919999999998</v>
      </c>
      <c r="O17" s="4">
        <f t="shared" si="1"/>
        <v>139.29210681510145</v>
      </c>
      <c r="P17" s="4">
        <f t="shared" si="2"/>
        <v>3206.4797559680592</v>
      </c>
      <c r="Q17" s="4">
        <f t="shared" si="3"/>
        <v>6784.2792593631048</v>
      </c>
      <c r="R17" s="4">
        <f t="shared" si="4"/>
        <v>0</v>
      </c>
      <c r="S17" s="4">
        <f t="shared" si="5"/>
        <v>0</v>
      </c>
      <c r="T17" s="4">
        <f t="shared" si="6"/>
        <v>0</v>
      </c>
      <c r="U17" s="4">
        <f t="shared" si="7"/>
        <v>0</v>
      </c>
      <c r="V17" s="4">
        <f t="shared" si="8"/>
        <v>242.30988737086082</v>
      </c>
      <c r="W17" s="4">
        <f t="shared" si="9"/>
        <v>0</v>
      </c>
      <c r="X17" s="4">
        <f t="shared" si="10"/>
        <v>1440.0689317901306</v>
      </c>
      <c r="Y17" s="4">
        <f t="shared" si="11"/>
        <v>8300.490162077178</v>
      </c>
      <c r="Z17" s="4">
        <f t="shared" si="12"/>
        <v>12576.249150835109</v>
      </c>
      <c r="AA17" s="4">
        <f t="shared" si="13"/>
        <v>32689.169254219545</v>
      </c>
    </row>
    <row r="18" spans="1:27">
      <c r="A18" t="s">
        <v>22</v>
      </c>
      <c r="B18" s="23">
        <f>105.01+245+140</f>
        <v>490.01</v>
      </c>
      <c r="C18" s="92">
        <v>2438.33</v>
      </c>
      <c r="D18" s="11">
        <v>4200</v>
      </c>
      <c r="E18" s="11">
        <v>420</v>
      </c>
      <c r="F18" s="24"/>
      <c r="G18" s="24"/>
      <c r="H18" s="26"/>
      <c r="I18" s="26">
        <f>1050-2100</f>
        <v>-1050</v>
      </c>
      <c r="J18" s="26">
        <v>1190</v>
      </c>
      <c r="K18" s="69">
        <f>560+910</f>
        <v>1470</v>
      </c>
      <c r="L18" s="26">
        <v>2317</v>
      </c>
      <c r="M18" s="26">
        <f>-777+(-3937.5)</f>
        <v>-4714.5</v>
      </c>
      <c r="N18" s="11">
        <f t="shared" si="0"/>
        <v>6760.84</v>
      </c>
      <c r="O18" s="4">
        <f t="shared" si="1"/>
        <v>506.97857283271082</v>
      </c>
      <c r="P18" s="4">
        <f t="shared" si="2"/>
        <v>2538.5256056552112</v>
      </c>
      <c r="Q18" s="4">
        <f t="shared" si="3"/>
        <v>4529.2297074333292</v>
      </c>
      <c r="R18" s="4">
        <f t="shared" si="4"/>
        <v>471.81998944021927</v>
      </c>
      <c r="S18" s="4">
        <f t="shared" si="5"/>
        <v>0</v>
      </c>
      <c r="T18" s="4">
        <f t="shared" si="6"/>
        <v>0</v>
      </c>
      <c r="U18" s="4">
        <f t="shared" si="7"/>
        <v>0</v>
      </c>
      <c r="V18" s="4">
        <f t="shared" si="8"/>
        <v>-1222.9637653307243</v>
      </c>
      <c r="W18" s="4">
        <f t="shared" si="9"/>
        <v>1395.9271771771771</v>
      </c>
      <c r="X18" s="4">
        <f t="shared" si="10"/>
        <v>1711.6508697980951</v>
      </c>
      <c r="Y18" s="4">
        <f t="shared" si="11"/>
        <v>2678.550784952949</v>
      </c>
      <c r="Z18" s="4">
        <f t="shared" si="12"/>
        <v>-5521.9143104781097</v>
      </c>
      <c r="AA18" s="4">
        <f t="shared" si="13"/>
        <v>7087.8046314808589</v>
      </c>
    </row>
    <row r="19" spans="1:27" ht="16.149999999999999" customHeight="1">
      <c r="A19" t="s">
        <v>46</v>
      </c>
      <c r="B19" s="23"/>
      <c r="C19" s="92"/>
      <c r="E19" s="11"/>
      <c r="F19" s="24"/>
      <c r="H19" s="26"/>
      <c r="I19" s="26"/>
      <c r="J19" s="26"/>
      <c r="K19" s="69"/>
      <c r="L19" s="26"/>
      <c r="M19" s="26"/>
      <c r="N19" s="11">
        <f t="shared" si="0"/>
        <v>0</v>
      </c>
      <c r="O19" s="4">
        <f t="shared" si="1"/>
        <v>0</v>
      </c>
      <c r="P19" s="4">
        <f t="shared" si="2"/>
        <v>0</v>
      </c>
      <c r="Q19" s="4">
        <f t="shared" si="3"/>
        <v>0</v>
      </c>
      <c r="R19" s="4">
        <f t="shared" si="4"/>
        <v>0</v>
      </c>
      <c r="S19" s="4">
        <f t="shared" si="5"/>
        <v>0</v>
      </c>
      <c r="T19" s="4">
        <f t="shared" si="6"/>
        <v>0</v>
      </c>
      <c r="U19" s="4">
        <f t="shared" si="7"/>
        <v>0</v>
      </c>
      <c r="V19" s="4">
        <f t="shared" si="8"/>
        <v>0</v>
      </c>
      <c r="W19" s="4">
        <f t="shared" si="9"/>
        <v>0</v>
      </c>
      <c r="X19" s="4">
        <f t="shared" si="10"/>
        <v>0</v>
      </c>
      <c r="Y19" s="4">
        <f t="shared" si="11"/>
        <v>0</v>
      </c>
      <c r="Z19" s="4">
        <f t="shared" si="12"/>
        <v>0</v>
      </c>
      <c r="AA19" s="4">
        <f t="shared" si="13"/>
        <v>0</v>
      </c>
    </row>
    <row r="20" spans="1:27" ht="16.149999999999999" customHeight="1">
      <c r="A20" t="s">
        <v>19</v>
      </c>
      <c r="B20" s="23"/>
      <c r="C20" s="92"/>
      <c r="D20" s="11">
        <v>5635</v>
      </c>
      <c r="E20" s="11">
        <v>2590</v>
      </c>
      <c r="F20" s="24">
        <v>175</v>
      </c>
      <c r="G20" s="26"/>
      <c r="H20" s="26">
        <v>4200</v>
      </c>
      <c r="I20" s="26"/>
      <c r="J20" s="26"/>
      <c r="K20" s="69"/>
      <c r="L20" s="26">
        <v>1379</v>
      </c>
      <c r="M20" s="26">
        <v>5166</v>
      </c>
      <c r="N20" s="11">
        <f t="shared" si="0"/>
        <v>19145</v>
      </c>
      <c r="O20" s="4">
        <f t="shared" si="1"/>
        <v>0</v>
      </c>
      <c r="P20" s="4">
        <f t="shared" si="2"/>
        <v>0</v>
      </c>
      <c r="Q20" s="4">
        <f t="shared" si="3"/>
        <v>6076.7165241397161</v>
      </c>
      <c r="R20" s="4">
        <f t="shared" si="4"/>
        <v>2909.556601548019</v>
      </c>
      <c r="S20" s="4">
        <f t="shared" si="5"/>
        <v>197.3676790688757</v>
      </c>
      <c r="T20" s="4">
        <f t="shared" si="6"/>
        <v>0</v>
      </c>
      <c r="U20" s="4">
        <f t="shared" si="7"/>
        <v>4908.2622414397565</v>
      </c>
      <c r="V20" s="4">
        <f t="shared" si="8"/>
        <v>0</v>
      </c>
      <c r="W20" s="4">
        <f t="shared" si="9"/>
        <v>0</v>
      </c>
      <c r="X20" s="4">
        <f t="shared" si="10"/>
        <v>0</v>
      </c>
      <c r="Y20" s="4">
        <f t="shared" si="11"/>
        <v>1594.1827934614228</v>
      </c>
      <c r="Z20" s="4">
        <f t="shared" si="12"/>
        <v>6050.7390662699991</v>
      </c>
      <c r="AA20" s="4">
        <f t="shared" si="13"/>
        <v>21736.824905927788</v>
      </c>
    </row>
    <row r="21" spans="1:27">
      <c r="A21" t="s">
        <v>97</v>
      </c>
      <c r="B21" s="9">
        <f>4845+2590+7884+4092.5</f>
        <v>19411.5</v>
      </c>
      <c r="C21" s="92">
        <f>3983.33+185+0.01</f>
        <v>4168.34</v>
      </c>
      <c r="D21" s="11">
        <f>6707.5+370</f>
        <v>7077.5</v>
      </c>
      <c r="E21" s="11">
        <f>6320.33+2096.67</f>
        <v>8417</v>
      </c>
      <c r="F21" s="24">
        <f>4110.67+740+0.02</f>
        <v>4850.6900000000005</v>
      </c>
      <c r="G21" s="24">
        <f>9180+259</f>
        <v>9439</v>
      </c>
      <c r="H21" s="26">
        <f>5930+370-0.01</f>
        <v>6299.99</v>
      </c>
      <c r="I21" s="26">
        <f>16420.83+215.83-0.02</f>
        <v>16636.640000000003</v>
      </c>
      <c r="J21" s="26">
        <f>11006.67+308.33+0.03</f>
        <v>11315.03</v>
      </c>
      <c r="K21" s="69">
        <f>8445+1646.67+0.01</f>
        <v>10091.68</v>
      </c>
      <c r="L21" s="26">
        <f>12808.33+1350+1715+0.02</f>
        <v>15873.35</v>
      </c>
      <c r="M21" s="26">
        <f>16451.67+70+1361.67-0.01</f>
        <v>17883.329999999998</v>
      </c>
      <c r="N21" s="11">
        <f t="shared" si="0"/>
        <v>131464.04999999999</v>
      </c>
      <c r="O21" s="4">
        <f t="shared" si="1"/>
        <v>20083.701488831179</v>
      </c>
      <c r="P21" s="4">
        <f t="shared" si="2"/>
        <v>4339.624998698635</v>
      </c>
      <c r="Q21" s="4">
        <f t="shared" si="3"/>
        <v>7632.2912510379483</v>
      </c>
      <c r="R21" s="4">
        <f t="shared" si="4"/>
        <v>9455.4972645674425</v>
      </c>
      <c r="S21" s="4">
        <f t="shared" si="5"/>
        <v>5470.6824410434556</v>
      </c>
      <c r="T21" s="4">
        <f t="shared" si="6"/>
        <v>10873.547064176852</v>
      </c>
      <c r="U21" s="4">
        <f t="shared" si="7"/>
        <v>7362.381675820965</v>
      </c>
      <c r="V21" s="4">
        <f t="shared" si="8"/>
        <v>19377.150377954044</v>
      </c>
      <c r="W21" s="4">
        <f t="shared" si="9"/>
        <v>13273.073855105105</v>
      </c>
      <c r="X21" s="4">
        <f t="shared" si="10"/>
        <v>11750.634591649006</v>
      </c>
      <c r="Y21" s="4">
        <f t="shared" si="11"/>
        <v>18350.269357933921</v>
      </c>
      <c r="Z21" s="4">
        <f t="shared" si="12"/>
        <v>20946.06338869498</v>
      </c>
      <c r="AA21" s="4">
        <f t="shared" si="13"/>
        <v>148914.91775551354</v>
      </c>
    </row>
    <row r="22" spans="1:27">
      <c r="A22" t="s">
        <v>114</v>
      </c>
      <c r="B22" s="9">
        <v>70</v>
      </c>
      <c r="C22" s="9">
        <f>4375+70</f>
        <v>4445</v>
      </c>
      <c r="D22" s="11">
        <v>3360</v>
      </c>
      <c r="E22" s="11">
        <v>1015</v>
      </c>
      <c r="F22" s="24">
        <f>70+2450</f>
        <v>2520</v>
      </c>
      <c r="G22" s="24"/>
      <c r="H22" s="26"/>
      <c r="I22" s="26">
        <v>3780</v>
      </c>
      <c r="J22" s="26"/>
      <c r="K22" s="69">
        <v>3955</v>
      </c>
      <c r="L22" s="26">
        <f>18970+525</f>
        <v>19495</v>
      </c>
      <c r="M22" s="26">
        <v>15715</v>
      </c>
      <c r="N22" s="11">
        <f t="shared" si="0"/>
        <v>54355</v>
      </c>
      <c r="O22" s="4">
        <f t="shared" si="1"/>
        <v>72.424032363196176</v>
      </c>
      <c r="P22" s="4">
        <f t="shared" si="2"/>
        <v>4627.6534829729417</v>
      </c>
      <c r="Q22" s="4">
        <f t="shared" si="3"/>
        <v>3623.3837659466631</v>
      </c>
      <c r="R22" s="4">
        <f t="shared" si="4"/>
        <v>1140.2316411471966</v>
      </c>
      <c r="S22" s="4">
        <f t="shared" si="5"/>
        <v>2842.0945785918097</v>
      </c>
      <c r="T22" s="4">
        <f t="shared" si="6"/>
        <v>0</v>
      </c>
      <c r="U22" s="4">
        <f t="shared" si="7"/>
        <v>0</v>
      </c>
      <c r="V22" s="4">
        <f t="shared" si="8"/>
        <v>4402.6695551906078</v>
      </c>
      <c r="W22" s="4">
        <f t="shared" si="9"/>
        <v>0</v>
      </c>
      <c r="X22" s="4">
        <f t="shared" si="10"/>
        <v>4605.155911599637</v>
      </c>
      <c r="Y22" s="4">
        <f t="shared" si="11"/>
        <v>22537.051166447018</v>
      </c>
      <c r="Z22" s="4">
        <f t="shared" si="12"/>
        <v>18406.381034927032</v>
      </c>
      <c r="AA22" s="4">
        <f t="shared" si="13"/>
        <v>62257.045169186109</v>
      </c>
    </row>
    <row r="23" spans="1:27">
      <c r="A23" t="s">
        <v>123</v>
      </c>
      <c r="B23" s="23"/>
      <c r="C23" s="9"/>
      <c r="D23" s="11"/>
      <c r="E23" s="11"/>
      <c r="F23" s="24"/>
      <c r="G23" s="24"/>
      <c r="H23" s="26"/>
      <c r="I23" s="26"/>
      <c r="J23" s="26"/>
      <c r="K23" s="69"/>
      <c r="L23" s="5"/>
      <c r="M23" s="26"/>
      <c r="N23" s="11">
        <f t="shared" si="0"/>
        <v>0</v>
      </c>
      <c r="O23" s="4">
        <f t="shared" si="1"/>
        <v>0</v>
      </c>
      <c r="P23" s="4">
        <f t="shared" si="2"/>
        <v>0</v>
      </c>
      <c r="Q23" s="4">
        <f t="shared" si="3"/>
        <v>0</v>
      </c>
      <c r="R23" s="4">
        <f t="shared" si="4"/>
        <v>0</v>
      </c>
      <c r="S23" s="4">
        <f t="shared" si="5"/>
        <v>0</v>
      </c>
      <c r="T23" s="4">
        <f t="shared" si="6"/>
        <v>0</v>
      </c>
      <c r="U23" s="4">
        <f t="shared" si="7"/>
        <v>0</v>
      </c>
      <c r="V23" s="4">
        <f t="shared" si="8"/>
        <v>0</v>
      </c>
      <c r="W23" s="4">
        <f t="shared" si="9"/>
        <v>0</v>
      </c>
      <c r="X23" s="4">
        <f t="shared" si="10"/>
        <v>0</v>
      </c>
      <c r="Y23" s="4">
        <f t="shared" si="11"/>
        <v>0</v>
      </c>
      <c r="Z23" s="4">
        <f t="shared" si="12"/>
        <v>0</v>
      </c>
      <c r="AA23" s="4">
        <f t="shared" si="13"/>
        <v>0</v>
      </c>
    </row>
    <row r="24" spans="1:27">
      <c r="A24" t="s">
        <v>45</v>
      </c>
      <c r="B24" s="23"/>
      <c r="C24" s="9"/>
      <c r="D24" s="11"/>
      <c r="E24" s="11"/>
      <c r="F24" s="24"/>
      <c r="G24" s="24"/>
      <c r="H24" s="26"/>
      <c r="I24" s="26"/>
      <c r="J24" s="26"/>
      <c r="K24" s="69"/>
      <c r="L24" s="5"/>
      <c r="N24" s="11">
        <f t="shared" si="0"/>
        <v>0</v>
      </c>
      <c r="O24" s="4">
        <f t="shared" si="1"/>
        <v>0</v>
      </c>
      <c r="P24" s="4">
        <f t="shared" si="2"/>
        <v>0</v>
      </c>
      <c r="Q24" s="4">
        <f t="shared" si="3"/>
        <v>0</v>
      </c>
      <c r="R24" s="4">
        <f t="shared" si="4"/>
        <v>0</v>
      </c>
      <c r="S24" s="4">
        <f t="shared" si="5"/>
        <v>0</v>
      </c>
      <c r="T24" s="4">
        <f t="shared" si="6"/>
        <v>0</v>
      </c>
      <c r="U24" s="4">
        <f t="shared" si="7"/>
        <v>0</v>
      </c>
      <c r="V24" s="4">
        <f t="shared" si="8"/>
        <v>0</v>
      </c>
      <c r="W24" s="4">
        <f t="shared" si="9"/>
        <v>0</v>
      </c>
      <c r="X24" s="4">
        <f t="shared" si="10"/>
        <v>0</v>
      </c>
      <c r="Y24" s="4">
        <f t="shared" si="11"/>
        <v>0</v>
      </c>
      <c r="Z24" s="4">
        <f t="shared" si="12"/>
        <v>0</v>
      </c>
      <c r="AA24" s="4">
        <f t="shared" si="13"/>
        <v>0</v>
      </c>
    </row>
    <row r="25" spans="1:27">
      <c r="A25" t="s">
        <v>29</v>
      </c>
      <c r="B25" s="37"/>
      <c r="C25" s="9">
        <v>420</v>
      </c>
      <c r="D25" s="26"/>
      <c r="E25" s="11"/>
      <c r="F25" s="24"/>
      <c r="G25" s="24"/>
      <c r="H25" s="26"/>
      <c r="I25" s="26"/>
      <c r="J25" s="26"/>
      <c r="K25" s="69"/>
      <c r="L25" s="5"/>
      <c r="N25" s="11">
        <f t="shared" si="0"/>
        <v>420</v>
      </c>
      <c r="O25" s="4">
        <f t="shared" si="1"/>
        <v>0</v>
      </c>
      <c r="P25" s="4">
        <f t="shared" si="2"/>
        <v>437.25859681634097</v>
      </c>
      <c r="Q25" s="4">
        <f t="shared" si="3"/>
        <v>0</v>
      </c>
      <c r="R25" s="4">
        <f t="shared" si="4"/>
        <v>0</v>
      </c>
      <c r="S25" s="4">
        <f t="shared" si="5"/>
        <v>0</v>
      </c>
      <c r="T25" s="4">
        <f t="shared" si="6"/>
        <v>0</v>
      </c>
      <c r="U25" s="4">
        <f t="shared" si="7"/>
        <v>0</v>
      </c>
      <c r="V25" s="4">
        <f t="shared" si="8"/>
        <v>0</v>
      </c>
      <c r="W25" s="4">
        <f t="shared" si="9"/>
        <v>0</v>
      </c>
      <c r="X25" s="4">
        <f t="shared" si="10"/>
        <v>0</v>
      </c>
      <c r="Y25" s="4">
        <f t="shared" si="11"/>
        <v>0</v>
      </c>
      <c r="Z25" s="4">
        <f t="shared" si="12"/>
        <v>0</v>
      </c>
      <c r="AA25" s="4">
        <f t="shared" si="13"/>
        <v>437.25859681634097</v>
      </c>
    </row>
    <row r="26" spans="1:27">
      <c r="A26" t="s">
        <v>116</v>
      </c>
      <c r="B26" s="23"/>
      <c r="C26" s="80"/>
      <c r="D26" s="11"/>
      <c r="E26" s="81"/>
      <c r="F26" s="82"/>
      <c r="H26" s="26"/>
      <c r="I26" s="26"/>
      <c r="J26" s="26"/>
      <c r="K26" s="69"/>
      <c r="L26" s="5"/>
      <c r="M26" s="83"/>
      <c r="N26" s="11">
        <f t="shared" si="0"/>
        <v>0</v>
      </c>
      <c r="O26" s="4">
        <f t="shared" si="1"/>
        <v>0</v>
      </c>
      <c r="P26" s="4">
        <f t="shared" si="2"/>
        <v>0</v>
      </c>
      <c r="Q26" s="4">
        <f t="shared" si="3"/>
        <v>0</v>
      </c>
      <c r="R26" s="4">
        <f t="shared" si="4"/>
        <v>0</v>
      </c>
      <c r="S26" s="4">
        <f t="shared" si="5"/>
        <v>0</v>
      </c>
      <c r="T26" s="4">
        <f t="shared" si="6"/>
        <v>0</v>
      </c>
      <c r="U26" s="4">
        <f t="shared" si="7"/>
        <v>0</v>
      </c>
      <c r="V26" s="4">
        <f t="shared" si="8"/>
        <v>0</v>
      </c>
      <c r="W26" s="4">
        <f t="shared" si="9"/>
        <v>0</v>
      </c>
      <c r="X26" s="4">
        <f t="shared" si="10"/>
        <v>0</v>
      </c>
      <c r="Y26" s="4">
        <f t="shared" si="11"/>
        <v>0</v>
      </c>
      <c r="Z26" s="4">
        <f t="shared" si="12"/>
        <v>0</v>
      </c>
      <c r="AA26" s="4">
        <f t="shared" si="13"/>
        <v>0</v>
      </c>
    </row>
    <row r="27" spans="1:27">
      <c r="A27" t="s">
        <v>115</v>
      </c>
      <c r="B27" s="23"/>
      <c r="C27" s="9"/>
      <c r="D27" s="11"/>
      <c r="E27" s="11"/>
      <c r="F27" s="24"/>
      <c r="G27" s="24"/>
      <c r="H27" s="26"/>
      <c r="I27" s="26"/>
      <c r="J27" s="26"/>
      <c r="K27" s="69"/>
      <c r="L27" s="5"/>
      <c r="N27" s="11">
        <f t="shared" si="0"/>
        <v>0</v>
      </c>
      <c r="O27" s="4">
        <f t="shared" si="1"/>
        <v>0</v>
      </c>
      <c r="P27" s="4">
        <f t="shared" si="2"/>
        <v>0</v>
      </c>
      <c r="Q27" s="4">
        <f t="shared" si="3"/>
        <v>0</v>
      </c>
      <c r="R27" s="4">
        <f t="shared" si="4"/>
        <v>0</v>
      </c>
      <c r="S27" s="4">
        <f t="shared" si="5"/>
        <v>0</v>
      </c>
      <c r="T27" s="4">
        <f t="shared" si="6"/>
        <v>0</v>
      </c>
      <c r="U27" s="4">
        <f t="shared" si="7"/>
        <v>0</v>
      </c>
      <c r="V27" s="4">
        <f t="shared" si="8"/>
        <v>0</v>
      </c>
      <c r="W27" s="4">
        <f t="shared" si="9"/>
        <v>0</v>
      </c>
      <c r="X27" s="4">
        <f t="shared" si="10"/>
        <v>0</v>
      </c>
      <c r="Y27" s="4">
        <f t="shared" si="11"/>
        <v>0</v>
      </c>
      <c r="Z27" s="4">
        <f t="shared" si="12"/>
        <v>0</v>
      </c>
      <c r="AA27" s="4">
        <f t="shared" si="13"/>
        <v>0</v>
      </c>
    </row>
    <row r="28" spans="1:27">
      <c r="A28" t="s">
        <v>64</v>
      </c>
      <c r="B28" s="23"/>
      <c r="C28" s="9"/>
      <c r="D28" s="11"/>
      <c r="E28" s="11"/>
      <c r="F28" s="24"/>
      <c r="G28" s="24"/>
      <c r="H28" s="26"/>
      <c r="I28" s="26"/>
      <c r="J28" s="26"/>
      <c r="K28" s="69"/>
      <c r="L28" s="5"/>
      <c r="N28" s="11">
        <f t="shared" si="0"/>
        <v>0</v>
      </c>
      <c r="O28" s="4">
        <f t="shared" si="1"/>
        <v>0</v>
      </c>
      <c r="P28" s="4">
        <f t="shared" si="2"/>
        <v>0</v>
      </c>
      <c r="Q28" s="4">
        <f t="shared" si="3"/>
        <v>0</v>
      </c>
      <c r="R28" s="4">
        <f t="shared" si="4"/>
        <v>0</v>
      </c>
      <c r="S28" s="4">
        <f t="shared" si="5"/>
        <v>0</v>
      </c>
      <c r="T28" s="4">
        <f t="shared" si="6"/>
        <v>0</v>
      </c>
      <c r="U28" s="4">
        <f t="shared" si="7"/>
        <v>0</v>
      </c>
      <c r="V28" s="4">
        <f t="shared" si="8"/>
        <v>0</v>
      </c>
      <c r="W28" s="4">
        <f t="shared" si="9"/>
        <v>0</v>
      </c>
      <c r="X28" s="4">
        <f t="shared" si="10"/>
        <v>0</v>
      </c>
      <c r="Y28" s="4">
        <f t="shared" si="11"/>
        <v>0</v>
      </c>
      <c r="Z28" s="4">
        <f t="shared" si="12"/>
        <v>0</v>
      </c>
      <c r="AA28" s="4">
        <f t="shared" si="13"/>
        <v>0</v>
      </c>
    </row>
    <row r="29" spans="1:27">
      <c r="A29" t="s">
        <v>57</v>
      </c>
      <c r="B29" s="23">
        <v>443.33</v>
      </c>
      <c r="C29" s="9"/>
      <c r="D29" s="11"/>
      <c r="E29" s="11"/>
      <c r="F29" s="24"/>
      <c r="G29" s="24"/>
      <c r="H29" s="26"/>
      <c r="I29" s="26"/>
      <c r="J29" s="26">
        <v>-1965.04</v>
      </c>
      <c r="K29" s="69"/>
      <c r="L29" s="5"/>
      <c r="N29" s="11">
        <f t="shared" si="0"/>
        <v>-1521.71</v>
      </c>
      <c r="O29" s="4">
        <f t="shared" si="1"/>
        <v>458.68208953679658</v>
      </c>
      <c r="P29" s="4">
        <f t="shared" si="2"/>
        <v>0</v>
      </c>
      <c r="Q29" s="4">
        <f t="shared" si="3"/>
        <v>0</v>
      </c>
      <c r="R29" s="4">
        <f t="shared" si="4"/>
        <v>0</v>
      </c>
      <c r="S29" s="4">
        <f t="shared" si="5"/>
        <v>0</v>
      </c>
      <c r="T29" s="4">
        <f t="shared" si="6"/>
        <v>0</v>
      </c>
      <c r="U29" s="4">
        <f t="shared" si="7"/>
        <v>0</v>
      </c>
      <c r="V29" s="4">
        <f t="shared" si="8"/>
        <v>0</v>
      </c>
      <c r="W29" s="4">
        <f t="shared" si="9"/>
        <v>-2305.0863363363364</v>
      </c>
      <c r="X29" s="4">
        <f t="shared" si="10"/>
        <v>0</v>
      </c>
      <c r="Y29" s="4">
        <f t="shared" si="11"/>
        <v>0</v>
      </c>
      <c r="Z29" s="4">
        <f t="shared" si="12"/>
        <v>0</v>
      </c>
      <c r="AA29" s="4">
        <f t="shared" si="13"/>
        <v>-1846.4042467995398</v>
      </c>
    </row>
    <row r="30" spans="1:27">
      <c r="A30" t="s">
        <v>31</v>
      </c>
      <c r="B30" s="23"/>
      <c r="C30" s="9"/>
      <c r="D30" s="11"/>
      <c r="E30" s="11"/>
      <c r="F30" s="24"/>
      <c r="G30" s="24"/>
      <c r="H30" s="26"/>
      <c r="I30" s="26"/>
      <c r="J30" s="26"/>
      <c r="K30" s="69">
        <v>1050</v>
      </c>
      <c r="L30" s="5">
        <v>630</v>
      </c>
      <c r="M30" s="5">
        <v>682.5</v>
      </c>
      <c r="N30" s="11">
        <f t="shared" si="0"/>
        <v>2362.5</v>
      </c>
      <c r="O30" s="4">
        <f t="shared" si="1"/>
        <v>0</v>
      </c>
      <c r="P30" s="4">
        <f t="shared" si="2"/>
        <v>0</v>
      </c>
      <c r="Q30" s="4">
        <f t="shared" si="3"/>
        <v>0</v>
      </c>
      <c r="R30" s="4">
        <f t="shared" si="4"/>
        <v>0</v>
      </c>
      <c r="S30" s="4">
        <f t="shared" si="5"/>
        <v>0</v>
      </c>
      <c r="T30" s="4">
        <f t="shared" si="6"/>
        <v>0</v>
      </c>
      <c r="U30" s="4">
        <f t="shared" si="7"/>
        <v>0</v>
      </c>
      <c r="V30" s="4">
        <f t="shared" si="8"/>
        <v>0</v>
      </c>
      <c r="W30" s="4">
        <f t="shared" si="9"/>
        <v>0</v>
      </c>
      <c r="X30" s="4">
        <f t="shared" si="10"/>
        <v>1222.6077641414965</v>
      </c>
      <c r="Y30" s="4">
        <f t="shared" si="11"/>
        <v>728.30685995699525</v>
      </c>
      <c r="Z30" s="4">
        <f t="shared" si="12"/>
        <v>799.38625875518289</v>
      </c>
      <c r="AA30" s="4">
        <f t="shared" si="13"/>
        <v>2750.3008828536749</v>
      </c>
    </row>
    <row r="31" spans="1:27">
      <c r="A31" s="30" t="s">
        <v>133</v>
      </c>
      <c r="B31" s="23">
        <f>10465+2590+3290</f>
        <v>16345</v>
      </c>
      <c r="C31" s="9">
        <v>22176</v>
      </c>
      <c r="D31" s="11">
        <f>24823.91+4065.04</f>
        <v>28888.95</v>
      </c>
      <c r="E31" s="11">
        <v>10554.09</v>
      </c>
      <c r="F31" s="24">
        <v>10654</v>
      </c>
      <c r="G31" s="24">
        <v>21455</v>
      </c>
      <c r="H31" s="26">
        <v>11480</v>
      </c>
      <c r="I31" s="26">
        <v>9275</v>
      </c>
      <c r="J31" s="26">
        <v>7210</v>
      </c>
      <c r="K31" s="69">
        <v>11347</v>
      </c>
      <c r="L31" s="5">
        <v>9803.5</v>
      </c>
      <c r="M31" s="5">
        <v>1092</v>
      </c>
      <c r="N31" s="11">
        <f t="shared" si="0"/>
        <v>160280.53999999998</v>
      </c>
      <c r="O31" s="4">
        <f t="shared" si="1"/>
        <v>16911.011556806308</v>
      </c>
      <c r="P31" s="4">
        <f t="shared" si="2"/>
        <v>23087.253911902804</v>
      </c>
      <c r="Q31" s="4">
        <f t="shared" si="3"/>
        <v>31153.497751560968</v>
      </c>
      <c r="R31" s="4">
        <f t="shared" si="4"/>
        <v>11856.263410359819</v>
      </c>
      <c r="S31" s="4">
        <f t="shared" si="5"/>
        <v>12015.744301713152</v>
      </c>
      <c r="T31" s="4">
        <f t="shared" si="6"/>
        <v>24715.748729941133</v>
      </c>
      <c r="U31" s="4">
        <f t="shared" si="7"/>
        <v>13415.916793268669</v>
      </c>
      <c r="V31" s="4">
        <f t="shared" si="8"/>
        <v>10802.846593754732</v>
      </c>
      <c r="W31" s="4">
        <f t="shared" si="9"/>
        <v>8457.6764264264257</v>
      </c>
      <c r="X31" s="4">
        <f t="shared" si="10"/>
        <v>13212.314571155772</v>
      </c>
      <c r="Y31" s="4">
        <f t="shared" si="11"/>
        <v>11333.263970775242</v>
      </c>
      <c r="Z31" s="4">
        <f t="shared" si="12"/>
        <v>1279.0180140082925</v>
      </c>
      <c r="AA31" s="4">
        <f t="shared" si="13"/>
        <v>178240.55603167333</v>
      </c>
    </row>
    <row r="32" spans="1:27">
      <c r="A32" t="s">
        <v>134</v>
      </c>
      <c r="B32" s="9">
        <v>506.67</v>
      </c>
      <c r="C32" s="9"/>
      <c r="D32" s="26"/>
      <c r="E32" s="11"/>
      <c r="F32" s="24"/>
      <c r="G32" s="24"/>
      <c r="H32" s="26"/>
      <c r="I32" s="26"/>
      <c r="J32" s="26"/>
      <c r="K32" s="69"/>
      <c r="L32" s="5"/>
      <c r="N32" s="11">
        <f t="shared" si="0"/>
        <v>506.67</v>
      </c>
      <c r="O32" s="4">
        <f t="shared" si="1"/>
        <v>524.2154925351515</v>
      </c>
      <c r="P32" s="4">
        <f t="shared" si="2"/>
        <v>0</v>
      </c>
      <c r="Q32" s="4">
        <f t="shared" si="3"/>
        <v>0</v>
      </c>
      <c r="R32" s="4">
        <f t="shared" si="4"/>
        <v>0</v>
      </c>
      <c r="S32" s="4">
        <f t="shared" si="5"/>
        <v>0</v>
      </c>
      <c r="T32" s="4">
        <f t="shared" si="6"/>
        <v>0</v>
      </c>
      <c r="U32" s="4">
        <f t="shared" si="7"/>
        <v>0</v>
      </c>
      <c r="V32" s="4">
        <f t="shared" si="8"/>
        <v>0</v>
      </c>
      <c r="W32" s="4">
        <f t="shared" si="9"/>
        <v>0</v>
      </c>
      <c r="X32" s="4">
        <f t="shared" si="10"/>
        <v>0</v>
      </c>
      <c r="Y32" s="4">
        <f t="shared" si="11"/>
        <v>0</v>
      </c>
      <c r="Z32" s="4">
        <f t="shared" si="12"/>
        <v>0</v>
      </c>
      <c r="AA32" s="4">
        <f t="shared" si="13"/>
        <v>524.2154925351515</v>
      </c>
    </row>
    <row r="33" spans="1:31" ht="14.1" customHeight="1">
      <c r="A33" t="s">
        <v>135</v>
      </c>
      <c r="B33" s="9">
        <f>1015+420</f>
        <v>1435</v>
      </c>
      <c r="C33" s="9">
        <v>700</v>
      </c>
      <c r="D33" s="11">
        <v>140</v>
      </c>
      <c r="E33" s="11">
        <f>280+210</f>
        <v>490</v>
      </c>
      <c r="F33" s="24"/>
      <c r="G33" s="24">
        <v>490</v>
      </c>
      <c r="H33" s="26">
        <v>350</v>
      </c>
      <c r="I33" s="26"/>
      <c r="J33" s="26">
        <f>-280+420</f>
        <v>140</v>
      </c>
      <c r="K33" s="69">
        <v>210</v>
      </c>
      <c r="L33" s="5">
        <v>70</v>
      </c>
      <c r="M33" s="5">
        <v>5180</v>
      </c>
      <c r="N33" s="11">
        <f t="shared" si="0"/>
        <v>9205</v>
      </c>
      <c r="O33" s="4">
        <f t="shared" si="1"/>
        <v>1484.6926634455217</v>
      </c>
      <c r="P33" s="4">
        <f t="shared" si="2"/>
        <v>728.76432802723502</v>
      </c>
      <c r="Q33" s="4">
        <f t="shared" si="3"/>
        <v>150.97432358111095</v>
      </c>
      <c r="R33" s="4">
        <f t="shared" si="4"/>
        <v>550.45665434692251</v>
      </c>
      <c r="S33" s="4">
        <f t="shared" si="5"/>
        <v>0</v>
      </c>
      <c r="T33" s="4">
        <f t="shared" si="6"/>
        <v>564.47060720909599</v>
      </c>
      <c r="U33" s="4">
        <f t="shared" si="7"/>
        <v>409.02185345331304</v>
      </c>
      <c r="V33" s="4">
        <f t="shared" si="8"/>
        <v>0</v>
      </c>
      <c r="W33" s="4">
        <f t="shared" si="9"/>
        <v>164.22672672672672</v>
      </c>
      <c r="X33" s="4">
        <f t="shared" si="10"/>
        <v>244.52155282829929</v>
      </c>
      <c r="Y33" s="4">
        <f t="shared" si="11"/>
        <v>80.922984439666138</v>
      </c>
      <c r="Z33" s="4">
        <f t="shared" si="12"/>
        <v>6067.1367331162592</v>
      </c>
      <c r="AA33" s="4">
        <f t="shared" si="13"/>
        <v>10445.188427174151</v>
      </c>
    </row>
    <row r="34" spans="1:31">
      <c r="A34" t="s">
        <v>35</v>
      </c>
      <c r="B34" s="9"/>
      <c r="C34" s="9"/>
      <c r="D34" s="11">
        <v>350</v>
      </c>
      <c r="E34" s="11"/>
      <c r="F34" s="11"/>
      <c r="H34" s="26"/>
      <c r="I34" s="26"/>
      <c r="J34" s="26"/>
      <c r="K34" s="22"/>
      <c r="L34" s="5"/>
      <c r="N34" s="11">
        <f t="shared" si="0"/>
        <v>350</v>
      </c>
      <c r="O34" s="4">
        <f t="shared" si="1"/>
        <v>0</v>
      </c>
      <c r="P34" s="4">
        <f t="shared" si="2"/>
        <v>0</v>
      </c>
      <c r="Q34" s="4">
        <f t="shared" si="3"/>
        <v>377.43580895277739</v>
      </c>
      <c r="R34" s="4">
        <f t="shared" si="4"/>
        <v>0</v>
      </c>
      <c r="S34" s="4">
        <f t="shared" si="5"/>
        <v>0</v>
      </c>
      <c r="T34" s="4">
        <f t="shared" si="6"/>
        <v>0</v>
      </c>
      <c r="U34" s="4">
        <f t="shared" si="7"/>
        <v>0</v>
      </c>
      <c r="V34" s="4">
        <f t="shared" si="8"/>
        <v>0</v>
      </c>
      <c r="W34" s="4">
        <f t="shared" si="9"/>
        <v>0</v>
      </c>
      <c r="X34" s="4">
        <f t="shared" si="10"/>
        <v>0</v>
      </c>
      <c r="Y34" s="4">
        <f t="shared" si="11"/>
        <v>0</v>
      </c>
      <c r="Z34" s="4">
        <f t="shared" si="12"/>
        <v>0</v>
      </c>
      <c r="AA34" s="4">
        <f t="shared" si="13"/>
        <v>377.43580895277739</v>
      </c>
    </row>
    <row r="35" spans="1:31">
      <c r="A35" t="s">
        <v>24</v>
      </c>
      <c r="B35" s="9">
        <f>4095+420</f>
        <v>4515</v>
      </c>
      <c r="C35" s="9">
        <f>805+350</f>
        <v>1155</v>
      </c>
      <c r="D35" s="11">
        <v>1155</v>
      </c>
      <c r="E35" s="11">
        <f>2100+140</f>
        <v>2240</v>
      </c>
      <c r="F35" s="11">
        <f>1610+560</f>
        <v>2170</v>
      </c>
      <c r="G35" s="24">
        <f>5635+560</f>
        <v>6195</v>
      </c>
      <c r="H35" s="26"/>
      <c r="I35" s="26">
        <f>350+140</f>
        <v>490</v>
      </c>
      <c r="J35" s="26">
        <v>2485</v>
      </c>
      <c r="K35" s="22">
        <v>140</v>
      </c>
      <c r="L35" s="5">
        <f>4935+2100</f>
        <v>7035</v>
      </c>
      <c r="M35" s="5">
        <f>-35+770</f>
        <v>735</v>
      </c>
      <c r="N35" s="11">
        <f t="shared" si="0"/>
        <v>28315</v>
      </c>
      <c r="O35" s="4">
        <f t="shared" si="1"/>
        <v>4671.3500874261536</v>
      </c>
      <c r="P35" s="4">
        <f t="shared" si="2"/>
        <v>1202.4611412449376</v>
      </c>
      <c r="Q35" s="4">
        <f t="shared" si="3"/>
        <v>1245.5381695441654</v>
      </c>
      <c r="R35" s="4">
        <f t="shared" si="4"/>
        <v>2516.3732770145029</v>
      </c>
      <c r="S35" s="4">
        <f t="shared" si="5"/>
        <v>2447.3592204540587</v>
      </c>
      <c r="T35" s="4">
        <f t="shared" si="6"/>
        <v>7136.5212482864281</v>
      </c>
      <c r="U35" s="4">
        <f t="shared" si="7"/>
        <v>0</v>
      </c>
      <c r="V35" s="4">
        <f t="shared" si="8"/>
        <v>570.7164238210047</v>
      </c>
      <c r="W35" s="4">
        <f t="shared" si="9"/>
        <v>2915.0243993993995</v>
      </c>
      <c r="X35" s="4">
        <f t="shared" si="10"/>
        <v>163.01436855219953</v>
      </c>
      <c r="Y35" s="4">
        <f t="shared" si="11"/>
        <v>8132.7599361864468</v>
      </c>
      <c r="Z35" s="4">
        <f t="shared" si="12"/>
        <v>860.87750942865841</v>
      </c>
      <c r="AA35" s="4">
        <f t="shared" si="13"/>
        <v>31861.995781357957</v>
      </c>
    </row>
    <row r="36" spans="1:31">
      <c r="A36" t="s">
        <v>118</v>
      </c>
      <c r="B36" s="9"/>
      <c r="C36" s="9"/>
      <c r="D36" s="11"/>
      <c r="E36" s="11"/>
      <c r="F36" s="11"/>
      <c r="G36" s="24"/>
      <c r="H36" s="26"/>
      <c r="I36" s="26"/>
      <c r="K36" s="22"/>
      <c r="L36" s="5"/>
      <c r="M36" s="26"/>
      <c r="N36" s="11">
        <f t="shared" si="0"/>
        <v>0</v>
      </c>
      <c r="O36" s="4">
        <f t="shared" si="1"/>
        <v>0</v>
      </c>
      <c r="P36" s="4">
        <f t="shared" si="2"/>
        <v>0</v>
      </c>
      <c r="Q36" s="4">
        <f t="shared" si="3"/>
        <v>0</v>
      </c>
      <c r="R36" s="4">
        <f t="shared" si="4"/>
        <v>0</v>
      </c>
      <c r="S36" s="4">
        <f t="shared" si="5"/>
        <v>0</v>
      </c>
      <c r="T36" s="4">
        <f t="shared" si="6"/>
        <v>0</v>
      </c>
      <c r="U36" s="4">
        <f t="shared" si="7"/>
        <v>0</v>
      </c>
      <c r="V36" s="4">
        <f t="shared" si="8"/>
        <v>0</v>
      </c>
      <c r="W36" s="4">
        <f t="shared" si="9"/>
        <v>0</v>
      </c>
      <c r="X36" s="4">
        <f t="shared" si="10"/>
        <v>0</v>
      </c>
      <c r="Y36" s="4">
        <f t="shared" si="11"/>
        <v>0</v>
      </c>
      <c r="Z36" s="4">
        <f t="shared" si="12"/>
        <v>0</v>
      </c>
      <c r="AA36" s="4">
        <f t="shared" si="13"/>
        <v>0</v>
      </c>
    </row>
    <row r="37" spans="1:31">
      <c r="A37" t="s">
        <v>125</v>
      </c>
      <c r="B37" s="9"/>
      <c r="C37" s="9"/>
      <c r="D37" s="11"/>
      <c r="E37" s="11"/>
      <c r="F37" s="11">
        <v>1050</v>
      </c>
      <c r="H37" s="26"/>
      <c r="I37" s="26"/>
      <c r="J37" s="26"/>
      <c r="K37" s="22">
        <v>770</v>
      </c>
      <c r="L37" s="5"/>
      <c r="M37" s="26"/>
      <c r="N37" s="11">
        <f t="shared" si="0"/>
        <v>1820</v>
      </c>
      <c r="O37" s="4">
        <f t="shared" si="1"/>
        <v>0</v>
      </c>
      <c r="P37" s="4">
        <f t="shared" si="2"/>
        <v>0</v>
      </c>
      <c r="Q37" s="4">
        <f t="shared" si="3"/>
        <v>0</v>
      </c>
      <c r="R37" s="4">
        <f t="shared" si="4"/>
        <v>0</v>
      </c>
      <c r="S37" s="4">
        <f t="shared" si="5"/>
        <v>1184.2060744132541</v>
      </c>
      <c r="T37" s="4">
        <f t="shared" si="6"/>
        <v>0</v>
      </c>
      <c r="U37" s="4">
        <f t="shared" si="7"/>
        <v>0</v>
      </c>
      <c r="V37" s="4">
        <f t="shared" si="8"/>
        <v>0</v>
      </c>
      <c r="W37" s="4">
        <f t="shared" si="9"/>
        <v>0</v>
      </c>
      <c r="X37" s="4">
        <f t="shared" si="10"/>
        <v>896.57902703709738</v>
      </c>
      <c r="Y37" s="4">
        <f t="shared" si="11"/>
        <v>0</v>
      </c>
      <c r="Z37" s="4">
        <f t="shared" si="12"/>
        <v>0</v>
      </c>
      <c r="AA37" s="4">
        <f t="shared" si="13"/>
        <v>2080.7851014503512</v>
      </c>
    </row>
    <row r="38" spans="1:31">
      <c r="A38" t="s">
        <v>117</v>
      </c>
      <c r="B38" s="9">
        <v>117.42</v>
      </c>
      <c r="C38" s="93">
        <f>110.08+1120</f>
        <v>1230.08</v>
      </c>
      <c r="D38" s="26"/>
      <c r="E38" s="11">
        <f>1050+700</f>
        <v>1750</v>
      </c>
      <c r="F38" s="11">
        <f>1071.67+253.33</f>
        <v>1325</v>
      </c>
      <c r="G38" s="24">
        <v>1680</v>
      </c>
      <c r="H38" s="26"/>
      <c r="I38" s="26"/>
      <c r="J38" s="26"/>
      <c r="K38" s="69"/>
      <c r="L38" s="5">
        <f>678.33+1456.67</f>
        <v>2135</v>
      </c>
      <c r="M38" s="26"/>
      <c r="N38" s="11">
        <f t="shared" si="0"/>
        <v>8237.5</v>
      </c>
      <c r="O38" s="4">
        <f t="shared" si="1"/>
        <v>121.48614114409278</v>
      </c>
      <c r="P38" s="4">
        <f t="shared" si="2"/>
        <v>1280.6263208853445</v>
      </c>
      <c r="Q38" s="4">
        <f t="shared" si="3"/>
        <v>0</v>
      </c>
      <c r="R38" s="4">
        <f t="shared" si="4"/>
        <v>1965.9166226675802</v>
      </c>
      <c r="S38" s="4">
        <f t="shared" si="5"/>
        <v>1494.3552843786301</v>
      </c>
      <c r="T38" s="4">
        <f t="shared" si="6"/>
        <v>1935.3277961454721</v>
      </c>
      <c r="U38" s="4">
        <f t="shared" si="7"/>
        <v>0</v>
      </c>
      <c r="V38" s="4">
        <f t="shared" si="8"/>
        <v>0</v>
      </c>
      <c r="W38" s="4">
        <f t="shared" si="9"/>
        <v>0</v>
      </c>
      <c r="X38" s="4">
        <f t="shared" si="10"/>
        <v>0</v>
      </c>
      <c r="Y38" s="4">
        <f t="shared" si="11"/>
        <v>2468.1510254098171</v>
      </c>
      <c r="Z38" s="4">
        <f t="shared" si="12"/>
        <v>0</v>
      </c>
      <c r="AA38" s="4">
        <f t="shared" si="13"/>
        <v>9265.8631906309365</v>
      </c>
    </row>
    <row r="39" spans="1:31">
      <c r="A39" t="s">
        <v>124</v>
      </c>
      <c r="B39" s="9">
        <f>305.39+1693.33</f>
        <v>1998.7199999999998</v>
      </c>
      <c r="C39" s="9">
        <f>102.94+453.32</f>
        <v>556.26</v>
      </c>
      <c r="D39" s="26"/>
      <c r="E39" s="11"/>
      <c r="F39" s="11"/>
      <c r="G39" s="24"/>
      <c r="H39" s="26"/>
      <c r="I39" s="26"/>
      <c r="J39" s="26"/>
      <c r="K39" s="69"/>
      <c r="L39" s="5"/>
      <c r="M39" s="26">
        <v>280</v>
      </c>
      <c r="N39" s="11">
        <f t="shared" si="0"/>
        <v>2834.9799999999996</v>
      </c>
      <c r="O39" s="4">
        <f t="shared" si="1"/>
        <v>2067.9337423566776</v>
      </c>
      <c r="P39" s="4">
        <f t="shared" si="2"/>
        <v>579.1177787263282</v>
      </c>
      <c r="Q39" s="4">
        <f t="shared" si="3"/>
        <v>0</v>
      </c>
      <c r="R39" s="4">
        <f t="shared" si="4"/>
        <v>0</v>
      </c>
      <c r="S39" s="4">
        <f t="shared" si="5"/>
        <v>0</v>
      </c>
      <c r="T39" s="4">
        <f t="shared" si="6"/>
        <v>0</v>
      </c>
      <c r="U39" s="4">
        <f t="shared" si="7"/>
        <v>0</v>
      </c>
      <c r="V39" s="4">
        <f t="shared" si="8"/>
        <v>0</v>
      </c>
      <c r="W39" s="4">
        <f t="shared" si="9"/>
        <v>0</v>
      </c>
      <c r="X39" s="4">
        <f t="shared" si="10"/>
        <v>0</v>
      </c>
      <c r="Y39" s="4">
        <f t="shared" si="11"/>
        <v>0</v>
      </c>
      <c r="Z39" s="4">
        <f t="shared" si="12"/>
        <v>327.95333692520325</v>
      </c>
      <c r="AA39" s="4">
        <f t="shared" si="13"/>
        <v>2975.0048580082089</v>
      </c>
    </row>
    <row r="40" spans="1:31">
      <c r="A40" t="s">
        <v>127</v>
      </c>
      <c r="B40" s="9">
        <v>1120</v>
      </c>
      <c r="C40" s="9">
        <v>560</v>
      </c>
      <c r="D40" s="26"/>
      <c r="E40" s="11"/>
      <c r="F40" s="11"/>
      <c r="G40" s="24"/>
      <c r="H40" s="26"/>
      <c r="I40" s="26"/>
      <c r="J40" s="26"/>
      <c r="K40" s="69"/>
      <c r="L40" s="5"/>
      <c r="M40" s="26"/>
      <c r="N40" s="11">
        <f t="shared" si="0"/>
        <v>1680</v>
      </c>
      <c r="O40" s="4">
        <f t="shared" si="1"/>
        <v>1158.7845178111388</v>
      </c>
      <c r="P40" s="4">
        <f t="shared" si="2"/>
        <v>583.011462421788</v>
      </c>
      <c r="Q40" s="4">
        <f t="shared" si="3"/>
        <v>0</v>
      </c>
      <c r="R40" s="4">
        <f t="shared" si="4"/>
        <v>0</v>
      </c>
      <c r="S40" s="4">
        <f t="shared" si="5"/>
        <v>0</v>
      </c>
      <c r="T40" s="4">
        <f t="shared" si="6"/>
        <v>0</v>
      </c>
      <c r="U40" s="4">
        <f t="shared" si="7"/>
        <v>0</v>
      </c>
      <c r="V40" s="4">
        <f t="shared" si="8"/>
        <v>0</v>
      </c>
      <c r="W40" s="4">
        <f t="shared" si="9"/>
        <v>0</v>
      </c>
      <c r="X40" s="4">
        <f t="shared" si="10"/>
        <v>0</v>
      </c>
      <c r="Y40" s="4">
        <f t="shared" si="11"/>
        <v>0</v>
      </c>
      <c r="Z40" s="4">
        <f t="shared" si="12"/>
        <v>0</v>
      </c>
      <c r="AA40" s="4">
        <f t="shared" si="13"/>
        <v>1741.7959802329269</v>
      </c>
    </row>
    <row r="41" spans="1:31">
      <c r="A41" t="s">
        <v>25</v>
      </c>
      <c r="B41" s="23">
        <v>665</v>
      </c>
      <c r="C41" s="9">
        <f>5775+623.33</f>
        <v>6398.33</v>
      </c>
      <c r="D41" s="77">
        <v>1785</v>
      </c>
      <c r="E41" s="11">
        <v>315</v>
      </c>
      <c r="F41" s="24">
        <v>245</v>
      </c>
      <c r="G41" s="24"/>
      <c r="H41" s="26"/>
      <c r="I41" s="26"/>
      <c r="J41" s="26"/>
      <c r="K41" s="69">
        <v>910</v>
      </c>
      <c r="L41" s="5">
        <f>1575+140</f>
        <v>1715</v>
      </c>
      <c r="M41" s="26"/>
      <c r="N41" s="11">
        <f t="shared" si="0"/>
        <v>12033.33</v>
      </c>
      <c r="O41" s="4">
        <f t="shared" si="1"/>
        <v>688.02830745036363</v>
      </c>
      <c r="P41" s="4">
        <f t="shared" si="2"/>
        <v>6661.2495184949976</v>
      </c>
      <c r="Q41" s="4">
        <f t="shared" si="3"/>
        <v>1924.9226256591649</v>
      </c>
      <c r="R41" s="4">
        <f t="shared" si="4"/>
        <v>353.86499208016448</v>
      </c>
      <c r="S41" s="4">
        <f t="shared" si="5"/>
        <v>276.31475069642596</v>
      </c>
      <c r="T41" s="4">
        <f t="shared" si="6"/>
        <v>0</v>
      </c>
      <c r="U41" s="4">
        <f t="shared" si="7"/>
        <v>0</v>
      </c>
      <c r="V41" s="4">
        <f t="shared" si="8"/>
        <v>0</v>
      </c>
      <c r="W41" s="4">
        <f t="shared" si="9"/>
        <v>0</v>
      </c>
      <c r="X41" s="4">
        <f t="shared" si="10"/>
        <v>1059.593395589297</v>
      </c>
      <c r="Y41" s="4">
        <f t="shared" si="11"/>
        <v>1982.6131187718204</v>
      </c>
      <c r="Z41" s="4">
        <f t="shared" si="12"/>
        <v>0</v>
      </c>
      <c r="AA41" s="4">
        <f t="shared" si="13"/>
        <v>12946.58670874223</v>
      </c>
      <c r="AE41" s="101"/>
    </row>
    <row r="42" spans="1:31">
      <c r="A42" t="s">
        <v>92</v>
      </c>
      <c r="B42" s="23"/>
      <c r="C42" s="9"/>
      <c r="D42" s="11"/>
      <c r="E42" s="11">
        <v>560</v>
      </c>
      <c r="F42" s="24">
        <v>2590</v>
      </c>
      <c r="G42" s="26"/>
      <c r="H42" s="26"/>
      <c r="I42" s="26"/>
      <c r="J42" s="26"/>
      <c r="K42" s="22"/>
      <c r="L42" s="5"/>
      <c r="M42" s="26"/>
      <c r="N42" s="11">
        <f t="shared" si="0"/>
        <v>3150</v>
      </c>
      <c r="O42" s="4">
        <f t="shared" si="1"/>
        <v>0</v>
      </c>
      <c r="P42" s="4">
        <f t="shared" si="2"/>
        <v>0</v>
      </c>
      <c r="Q42" s="4">
        <f t="shared" si="3"/>
        <v>0</v>
      </c>
      <c r="R42" s="4">
        <f t="shared" si="4"/>
        <v>629.09331925362574</v>
      </c>
      <c r="S42" s="4">
        <f t="shared" si="5"/>
        <v>2921.0416502193602</v>
      </c>
      <c r="T42" s="4">
        <f t="shared" si="6"/>
        <v>0</v>
      </c>
      <c r="U42" s="4">
        <f t="shared" si="7"/>
        <v>0</v>
      </c>
      <c r="V42" s="4">
        <f t="shared" si="8"/>
        <v>0</v>
      </c>
      <c r="W42" s="4">
        <f t="shared" si="9"/>
        <v>0</v>
      </c>
      <c r="X42" s="4">
        <f t="shared" si="10"/>
        <v>0</v>
      </c>
      <c r="Y42" s="4">
        <f t="shared" si="11"/>
        <v>0</v>
      </c>
      <c r="Z42" s="4">
        <f t="shared" si="12"/>
        <v>0</v>
      </c>
      <c r="AA42" s="4">
        <f t="shared" si="13"/>
        <v>3550.1349694729861</v>
      </c>
      <c r="AE42" s="101"/>
    </row>
    <row r="43" spans="1:31">
      <c r="A43" t="s">
        <v>119</v>
      </c>
      <c r="B43" s="23">
        <v>506.66</v>
      </c>
      <c r="C43" s="9"/>
      <c r="D43" s="11"/>
      <c r="E43" s="11"/>
      <c r="F43" s="24"/>
      <c r="G43" s="26"/>
      <c r="H43" s="26"/>
      <c r="I43" s="26"/>
      <c r="J43" s="26"/>
      <c r="K43" s="22"/>
      <c r="L43" s="5"/>
      <c r="M43" s="26"/>
      <c r="N43" s="11">
        <f t="shared" si="0"/>
        <v>506.66</v>
      </c>
      <c r="O43" s="4">
        <f t="shared" si="1"/>
        <v>524.20514624481393</v>
      </c>
      <c r="P43" s="4">
        <f t="shared" si="2"/>
        <v>0</v>
      </c>
      <c r="Q43" s="4">
        <f t="shared" si="3"/>
        <v>0</v>
      </c>
      <c r="R43" s="4">
        <f t="shared" si="4"/>
        <v>0</v>
      </c>
      <c r="S43" s="4">
        <f t="shared" si="5"/>
        <v>0</v>
      </c>
      <c r="T43" s="4">
        <f t="shared" si="6"/>
        <v>0</v>
      </c>
      <c r="U43" s="4">
        <f t="shared" si="7"/>
        <v>0</v>
      </c>
      <c r="V43" s="4">
        <f t="shared" si="8"/>
        <v>0</v>
      </c>
      <c r="W43" s="4">
        <f t="shared" si="9"/>
        <v>0</v>
      </c>
      <c r="X43" s="4">
        <f t="shared" si="10"/>
        <v>0</v>
      </c>
      <c r="Y43" s="4">
        <f t="shared" si="11"/>
        <v>0</v>
      </c>
      <c r="Z43" s="4">
        <f t="shared" si="12"/>
        <v>0</v>
      </c>
      <c r="AA43" s="4">
        <f t="shared" si="13"/>
        <v>524.20514624481393</v>
      </c>
      <c r="AE43" s="101"/>
    </row>
    <row r="44" spans="1:31">
      <c r="A44" t="s">
        <v>122</v>
      </c>
      <c r="B44" s="9"/>
      <c r="C44" s="9">
        <v>696.66</v>
      </c>
      <c r="D44" s="26"/>
      <c r="E44" s="11"/>
      <c r="G44" s="26">
        <v>840</v>
      </c>
      <c r="H44" s="26"/>
      <c r="I44" s="26"/>
      <c r="J44" s="26"/>
      <c r="K44" s="69"/>
      <c r="L44" s="5"/>
      <c r="M44" s="26"/>
      <c r="N44" s="11">
        <f t="shared" si="0"/>
        <v>1536.6599999999999</v>
      </c>
      <c r="O44" s="4">
        <f t="shared" si="1"/>
        <v>0</v>
      </c>
      <c r="P44" s="4">
        <f t="shared" si="2"/>
        <v>725.2870810906478</v>
      </c>
      <c r="Q44" s="4">
        <f t="shared" si="3"/>
        <v>0</v>
      </c>
      <c r="R44" s="4">
        <f t="shared" si="4"/>
        <v>0</v>
      </c>
      <c r="S44" s="4">
        <f t="shared" si="5"/>
        <v>0</v>
      </c>
      <c r="T44" s="4">
        <f t="shared" si="6"/>
        <v>967.66389807273606</v>
      </c>
      <c r="U44" s="4">
        <f t="shared" si="7"/>
        <v>0</v>
      </c>
      <c r="V44" s="4">
        <f t="shared" si="8"/>
        <v>0</v>
      </c>
      <c r="W44" s="4">
        <f t="shared" si="9"/>
        <v>0</v>
      </c>
      <c r="X44" s="4">
        <f t="shared" si="10"/>
        <v>0</v>
      </c>
      <c r="Y44" s="4">
        <f t="shared" si="11"/>
        <v>0</v>
      </c>
      <c r="Z44" s="4">
        <f t="shared" si="12"/>
        <v>0</v>
      </c>
      <c r="AA44" s="4">
        <f t="shared" si="13"/>
        <v>1692.9509791633839</v>
      </c>
      <c r="AE44" s="101"/>
    </row>
    <row r="45" spans="1:31">
      <c r="A45" t="s">
        <v>126</v>
      </c>
      <c r="B45" s="9"/>
      <c r="C45" s="9"/>
      <c r="D45" s="26"/>
      <c r="E45" s="11"/>
      <c r="F45" s="24"/>
      <c r="G45" s="26"/>
      <c r="H45" s="26"/>
      <c r="I45" s="26"/>
      <c r="J45" s="26"/>
      <c r="K45" s="69"/>
      <c r="L45" s="5"/>
      <c r="M45" s="26"/>
      <c r="N45" s="11">
        <f t="shared" si="0"/>
        <v>0</v>
      </c>
      <c r="O45" s="4">
        <f t="shared" si="1"/>
        <v>0</v>
      </c>
      <c r="P45" s="4">
        <f t="shared" si="2"/>
        <v>0</v>
      </c>
      <c r="Q45" s="4">
        <f t="shared" si="3"/>
        <v>0</v>
      </c>
      <c r="R45" s="4">
        <f t="shared" si="4"/>
        <v>0</v>
      </c>
      <c r="S45" s="4">
        <f t="shared" si="5"/>
        <v>0</v>
      </c>
      <c r="T45" s="4">
        <f t="shared" si="6"/>
        <v>0</v>
      </c>
      <c r="U45" s="4">
        <f t="shared" si="7"/>
        <v>0</v>
      </c>
      <c r="V45" s="4">
        <f t="shared" si="8"/>
        <v>0</v>
      </c>
      <c r="W45" s="4">
        <f t="shared" si="9"/>
        <v>0</v>
      </c>
      <c r="X45" s="4">
        <f t="shared" si="10"/>
        <v>0</v>
      </c>
      <c r="Y45" s="4">
        <f t="shared" si="11"/>
        <v>0</v>
      </c>
      <c r="Z45" s="4">
        <f t="shared" si="12"/>
        <v>0</v>
      </c>
      <c r="AA45" s="4">
        <f t="shared" si="13"/>
        <v>0</v>
      </c>
      <c r="AE45" s="101"/>
    </row>
    <row r="46" spans="1:31">
      <c r="A46" t="s">
        <v>120</v>
      </c>
      <c r="B46" s="9"/>
      <c r="C46" s="9"/>
      <c r="D46" s="11"/>
      <c r="E46" s="11"/>
      <c r="F46" s="24"/>
      <c r="G46" s="26"/>
      <c r="H46" s="26"/>
      <c r="I46" s="26"/>
      <c r="J46" s="26"/>
      <c r="K46" s="22"/>
      <c r="L46" s="5"/>
      <c r="M46" s="26"/>
      <c r="N46" s="11">
        <f t="shared" si="0"/>
        <v>0</v>
      </c>
      <c r="O46" s="4">
        <f t="shared" si="1"/>
        <v>0</v>
      </c>
      <c r="P46" s="4">
        <f t="shared" si="2"/>
        <v>0</v>
      </c>
      <c r="Q46" s="4">
        <f t="shared" si="3"/>
        <v>0</v>
      </c>
      <c r="R46" s="4">
        <f t="shared" si="4"/>
        <v>0</v>
      </c>
      <c r="S46" s="4">
        <f t="shared" si="5"/>
        <v>0</v>
      </c>
      <c r="T46" s="4">
        <f t="shared" si="6"/>
        <v>0</v>
      </c>
      <c r="U46" s="4">
        <f t="shared" si="7"/>
        <v>0</v>
      </c>
      <c r="V46" s="4">
        <f t="shared" si="8"/>
        <v>0</v>
      </c>
      <c r="W46" s="4">
        <f t="shared" si="9"/>
        <v>0</v>
      </c>
      <c r="X46" s="4">
        <f t="shared" si="10"/>
        <v>0</v>
      </c>
      <c r="Y46" s="4">
        <f t="shared" si="11"/>
        <v>0</v>
      </c>
      <c r="Z46" s="4">
        <f t="shared" si="12"/>
        <v>0</v>
      </c>
      <c r="AA46" s="4">
        <f t="shared" si="13"/>
        <v>0</v>
      </c>
    </row>
    <row r="47" spans="1:31">
      <c r="A47" t="s">
        <v>48</v>
      </c>
      <c r="B47" s="9"/>
      <c r="C47" s="9"/>
      <c r="D47" s="11"/>
      <c r="E47" s="11"/>
      <c r="F47" s="24"/>
      <c r="G47" s="26"/>
      <c r="H47" s="26"/>
      <c r="I47" s="26"/>
      <c r="J47" s="26"/>
      <c r="K47" s="22"/>
      <c r="L47" s="5"/>
      <c r="M47" s="26"/>
      <c r="N47" s="11">
        <f t="shared" si="0"/>
        <v>0</v>
      </c>
      <c r="O47" s="4">
        <f t="shared" si="1"/>
        <v>0</v>
      </c>
      <c r="P47" s="4">
        <f t="shared" si="2"/>
        <v>0</v>
      </c>
      <c r="Q47" s="4">
        <f t="shared" si="3"/>
        <v>0</v>
      </c>
      <c r="R47" s="4">
        <f t="shared" si="4"/>
        <v>0</v>
      </c>
      <c r="S47" s="4">
        <f t="shared" si="5"/>
        <v>0</v>
      </c>
      <c r="T47" s="4">
        <f t="shared" si="6"/>
        <v>0</v>
      </c>
      <c r="U47" s="4">
        <f t="shared" si="7"/>
        <v>0</v>
      </c>
      <c r="V47" s="4">
        <f t="shared" si="8"/>
        <v>0</v>
      </c>
      <c r="W47" s="4">
        <f t="shared" si="9"/>
        <v>0</v>
      </c>
      <c r="X47" s="4">
        <f t="shared" si="10"/>
        <v>0</v>
      </c>
      <c r="Y47" s="4">
        <f t="shared" si="11"/>
        <v>0</v>
      </c>
      <c r="Z47" s="4">
        <f t="shared" si="12"/>
        <v>0</v>
      </c>
      <c r="AA47" s="4">
        <f t="shared" si="13"/>
        <v>0</v>
      </c>
    </row>
    <row r="48" spans="1:31">
      <c r="A48" t="s">
        <v>50</v>
      </c>
      <c r="B48" s="23"/>
      <c r="C48" s="9"/>
      <c r="E48" s="11"/>
      <c r="F48" s="24"/>
      <c r="G48" s="26"/>
      <c r="H48" s="26"/>
      <c r="I48" s="26"/>
      <c r="J48" s="26"/>
      <c r="L48" s="5"/>
      <c r="M48" s="26"/>
      <c r="N48" s="11">
        <f t="shared" si="0"/>
        <v>0</v>
      </c>
      <c r="O48" s="4">
        <f t="shared" si="1"/>
        <v>0</v>
      </c>
      <c r="P48" s="4">
        <f t="shared" si="2"/>
        <v>0</v>
      </c>
      <c r="Q48" s="4">
        <f t="shared" si="3"/>
        <v>0</v>
      </c>
      <c r="R48" s="4">
        <f t="shared" si="4"/>
        <v>0</v>
      </c>
      <c r="S48" s="4">
        <f t="shared" si="5"/>
        <v>0</v>
      </c>
      <c r="T48" s="4">
        <f t="shared" si="6"/>
        <v>0</v>
      </c>
      <c r="U48" s="4">
        <f t="shared" si="7"/>
        <v>0</v>
      </c>
      <c r="V48" s="4">
        <f t="shared" si="8"/>
        <v>0</v>
      </c>
      <c r="W48" s="4">
        <f t="shared" si="9"/>
        <v>0</v>
      </c>
      <c r="X48" s="4">
        <f t="shared" si="10"/>
        <v>0</v>
      </c>
      <c r="Y48" s="4">
        <f t="shared" si="11"/>
        <v>0</v>
      </c>
      <c r="Z48" s="4">
        <f t="shared" si="12"/>
        <v>0</v>
      </c>
      <c r="AA48" s="4">
        <f t="shared" si="13"/>
        <v>0</v>
      </c>
    </row>
    <row r="49" spans="1:27">
      <c r="A49" t="s">
        <v>98</v>
      </c>
      <c r="B49" s="23">
        <v>210</v>
      </c>
      <c r="C49">
        <v>63.35</v>
      </c>
      <c r="D49" s="8"/>
      <c r="E49" s="11">
        <v>665</v>
      </c>
      <c r="F49" s="24">
        <v>5880</v>
      </c>
      <c r="G49" s="26">
        <v>9100</v>
      </c>
      <c r="H49" s="26">
        <v>10080</v>
      </c>
      <c r="I49" s="26">
        <v>2870</v>
      </c>
      <c r="J49" s="26">
        <v>455</v>
      </c>
      <c r="K49" s="11">
        <v>350</v>
      </c>
      <c r="L49" s="5"/>
      <c r="M49" s="26"/>
      <c r="N49" s="11">
        <f t="shared" si="0"/>
        <v>29673.35</v>
      </c>
      <c r="O49" s="4">
        <f t="shared" si="1"/>
        <v>217.27209708958853</v>
      </c>
      <c r="P49" s="4">
        <f t="shared" si="2"/>
        <v>65.953171686464771</v>
      </c>
      <c r="Q49" s="4">
        <f t="shared" si="3"/>
        <v>0</v>
      </c>
      <c r="R49" s="4">
        <f t="shared" si="4"/>
        <v>747.04831661368053</v>
      </c>
      <c r="S49" s="4">
        <f t="shared" si="5"/>
        <v>6631.5540167142235</v>
      </c>
      <c r="T49" s="4">
        <f t="shared" si="6"/>
        <v>10483.025562454641</v>
      </c>
      <c r="U49" s="4">
        <f t="shared" si="7"/>
        <v>11779.829379455416</v>
      </c>
      <c r="V49" s="4">
        <f t="shared" si="8"/>
        <v>3342.767625237313</v>
      </c>
      <c r="W49" s="4">
        <f t="shared" si="9"/>
        <v>533.73686186186183</v>
      </c>
      <c r="X49" s="4">
        <f t="shared" si="10"/>
        <v>407.53592138049879</v>
      </c>
      <c r="Y49" s="4">
        <f t="shared" si="11"/>
        <v>0</v>
      </c>
      <c r="Z49" s="4">
        <f t="shared" si="12"/>
        <v>0</v>
      </c>
      <c r="AA49" s="4">
        <f t="shared" si="13"/>
        <v>34208.722952493692</v>
      </c>
    </row>
    <row r="50" spans="1:27">
      <c r="A50" t="s">
        <v>129</v>
      </c>
      <c r="B50" s="23">
        <v>1890</v>
      </c>
      <c r="D50" s="8"/>
      <c r="E50" s="11"/>
      <c r="F50" s="24"/>
      <c r="G50" s="26"/>
      <c r="H50" s="26"/>
      <c r="I50" s="26"/>
      <c r="J50" s="26"/>
      <c r="K50" s="11"/>
      <c r="L50" s="5"/>
      <c r="M50" s="26"/>
      <c r="N50" s="11">
        <f t="shared" si="0"/>
        <v>1890</v>
      </c>
      <c r="O50" s="4">
        <f t="shared" si="1"/>
        <v>1955.4488738062967</v>
      </c>
      <c r="P50" s="4">
        <f t="shared" si="2"/>
        <v>0</v>
      </c>
      <c r="Q50" s="4">
        <f t="shared" si="3"/>
        <v>0</v>
      </c>
      <c r="R50" s="4">
        <f t="shared" si="4"/>
        <v>0</v>
      </c>
      <c r="S50" s="4">
        <f t="shared" si="5"/>
        <v>0</v>
      </c>
      <c r="T50" s="4">
        <f t="shared" si="6"/>
        <v>0</v>
      </c>
      <c r="U50" s="4">
        <f t="shared" si="7"/>
        <v>0</v>
      </c>
      <c r="V50" s="4">
        <f t="shared" si="8"/>
        <v>0</v>
      </c>
      <c r="W50" s="4">
        <f t="shared" si="9"/>
        <v>0</v>
      </c>
      <c r="X50" s="4">
        <f t="shared" si="10"/>
        <v>0</v>
      </c>
      <c r="Y50" s="4">
        <f t="shared" si="11"/>
        <v>0</v>
      </c>
      <c r="Z50" s="4">
        <f t="shared" si="12"/>
        <v>0</v>
      </c>
      <c r="AA50" s="4">
        <f t="shared" si="13"/>
        <v>1955.4488738062967</v>
      </c>
    </row>
    <row r="51" spans="1:27">
      <c r="A51" t="s">
        <v>76</v>
      </c>
      <c r="B51" s="23"/>
      <c r="C51" s="9"/>
      <c r="D51" s="11"/>
      <c r="E51" s="11"/>
      <c r="F51" s="24"/>
      <c r="G51" s="24"/>
      <c r="H51" s="26"/>
      <c r="I51" s="26"/>
      <c r="J51" s="26"/>
      <c r="K51" s="26"/>
      <c r="L51" s="26"/>
      <c r="N51" s="11">
        <f t="shared" si="0"/>
        <v>0</v>
      </c>
      <c r="O51" s="4">
        <f t="shared" si="1"/>
        <v>0</v>
      </c>
      <c r="P51" s="4">
        <f t="shared" si="2"/>
        <v>0</v>
      </c>
      <c r="Q51" s="4">
        <f t="shared" si="3"/>
        <v>0</v>
      </c>
      <c r="R51" s="4">
        <f t="shared" si="4"/>
        <v>0</v>
      </c>
      <c r="S51" s="4">
        <f t="shared" si="5"/>
        <v>0</v>
      </c>
      <c r="T51" s="4">
        <f t="shared" si="6"/>
        <v>0</v>
      </c>
      <c r="U51" s="4">
        <f t="shared" si="7"/>
        <v>0</v>
      </c>
      <c r="V51" s="4">
        <f t="shared" si="8"/>
        <v>0</v>
      </c>
      <c r="W51" s="4">
        <f t="shared" si="9"/>
        <v>0</v>
      </c>
      <c r="X51" s="4">
        <f t="shared" si="10"/>
        <v>0</v>
      </c>
      <c r="Y51" s="4">
        <f t="shared" si="11"/>
        <v>0</v>
      </c>
      <c r="Z51" s="4">
        <f t="shared" si="12"/>
        <v>0</v>
      </c>
      <c r="AA51" s="4">
        <f t="shared" si="13"/>
        <v>0</v>
      </c>
    </row>
    <row r="52" spans="1:27">
      <c r="D52" s="11"/>
      <c r="F52" s="24"/>
      <c r="G52" s="26"/>
      <c r="H52" s="26"/>
      <c r="I52" s="26"/>
      <c r="J52" s="26"/>
      <c r="S52" s="4">
        <f t="shared" ref="S52" si="14">F52/$F$59</f>
        <v>0</v>
      </c>
      <c r="AA52" s="4">
        <f t="shared" si="13"/>
        <v>0</v>
      </c>
    </row>
    <row r="53" spans="1:27">
      <c r="B53" s="64">
        <f t="shared" ref="B53:I53" si="15">SUM(B2:B52)</f>
        <v>59055.590000000004</v>
      </c>
      <c r="C53" s="64">
        <f t="shared" si="15"/>
        <v>68997.27</v>
      </c>
      <c r="D53" s="66">
        <f t="shared" si="15"/>
        <v>79482.58</v>
      </c>
      <c r="E53" s="66">
        <f t="shared" si="15"/>
        <v>50099.42</v>
      </c>
      <c r="F53" s="66">
        <f t="shared" si="15"/>
        <v>50150.05</v>
      </c>
      <c r="G53" s="66">
        <f t="shared" si="15"/>
        <v>63461.5</v>
      </c>
      <c r="H53" s="66">
        <f t="shared" si="15"/>
        <v>34719.99</v>
      </c>
      <c r="I53" s="66">
        <f t="shared" si="15"/>
        <v>33294.680000000008</v>
      </c>
      <c r="J53" s="66">
        <f>SUM(J2:J51)</f>
        <v>23209.99</v>
      </c>
      <c r="K53" s="66">
        <f>SUM(K2:K51)</f>
        <v>37655.440000000002</v>
      </c>
      <c r="L53" s="66">
        <f>SUM(L2:L51)</f>
        <v>79077.94</v>
      </c>
      <c r="M53" s="68">
        <f>SUM(M2:M51)</f>
        <v>55189.179999999993</v>
      </c>
      <c r="N53" s="104">
        <f>SUM(B53:M53)</f>
        <v>634393.62999999989</v>
      </c>
      <c r="O53" s="4">
        <f t="shared" ref="O53:Z53" si="16">SUM(O2:O52)</f>
        <v>61100.628019823482</v>
      </c>
      <c r="P53" s="4">
        <f t="shared" si="16"/>
        <v>71832.498724662422</v>
      </c>
      <c r="Q53" s="4">
        <f t="shared" si="16"/>
        <v>85713.062514153848</v>
      </c>
      <c r="R53" s="4">
        <f t="shared" si="16"/>
        <v>56280.732893716922</v>
      </c>
      <c r="S53" s="4">
        <f t="shared" si="16"/>
        <v>56559.994135360408</v>
      </c>
      <c r="T53" s="4">
        <f t="shared" si="16"/>
        <v>73106.431508979702</v>
      </c>
      <c r="U53" s="4">
        <f t="shared" si="16"/>
        <v>40574.956176229985</v>
      </c>
      <c r="V53" s="4">
        <f t="shared" si="16"/>
        <v>38779.225922172918</v>
      </c>
      <c r="W53" s="4">
        <f t="shared" si="16"/>
        <v>27226.433464714712</v>
      </c>
      <c r="X53" s="100">
        <f t="shared" si="16"/>
        <v>43845.555529680263</v>
      </c>
      <c r="Y53" s="100">
        <f t="shared" si="16"/>
        <v>91417.470116297874</v>
      </c>
      <c r="Z53" s="100">
        <f t="shared" si="16"/>
        <v>64640.984797020319</v>
      </c>
      <c r="AA53" s="4">
        <f>SUM(O53:Z53)</f>
        <v>711077.97380281286</v>
      </c>
    </row>
    <row r="54" spans="1:27">
      <c r="M54" s="60"/>
    </row>
    <row r="55" spans="1:27" s="5" customFormat="1">
      <c r="A55" s="5" t="s">
        <v>200</v>
      </c>
      <c r="B55" s="64">
        <v>59055.590000000004</v>
      </c>
      <c r="C55" s="68">
        <v>68997.27</v>
      </c>
      <c r="D55" s="68">
        <v>79482.58</v>
      </c>
      <c r="E55" s="68">
        <v>50099.42</v>
      </c>
      <c r="F55" s="68">
        <v>50150.049999999996</v>
      </c>
      <c r="G55" s="68">
        <v>63461.5</v>
      </c>
      <c r="H55" s="68">
        <v>34719.99</v>
      </c>
      <c r="I55" s="66">
        <v>33294.680000000008</v>
      </c>
      <c r="J55" s="66">
        <v>23209.989999999998</v>
      </c>
      <c r="K55" s="68">
        <v>37655.440000000002</v>
      </c>
      <c r="L55" s="68">
        <v>79077.94</v>
      </c>
      <c r="M55" s="68">
        <v>55189.179999999993</v>
      </c>
    </row>
    <row r="56" spans="1:27">
      <c r="M56" s="26"/>
    </row>
    <row r="57" spans="1:27">
      <c r="A57" t="s">
        <v>3</v>
      </c>
      <c r="B57" s="11">
        <f>B53-B55</f>
        <v>0</v>
      </c>
      <c r="C57" s="11">
        <f t="shared" ref="C57:M57" si="17">C53-C55</f>
        <v>0</v>
      </c>
      <c r="D57" s="11">
        <f t="shared" si="17"/>
        <v>0</v>
      </c>
      <c r="E57" s="11">
        <f t="shared" si="17"/>
        <v>0</v>
      </c>
      <c r="F57" s="11">
        <f t="shared" si="17"/>
        <v>0</v>
      </c>
      <c r="G57" s="11">
        <f t="shared" si="17"/>
        <v>0</v>
      </c>
      <c r="H57" s="11">
        <f t="shared" si="17"/>
        <v>0</v>
      </c>
      <c r="I57" s="11">
        <f t="shared" si="17"/>
        <v>0</v>
      </c>
      <c r="J57" s="11">
        <f t="shared" si="17"/>
        <v>0</v>
      </c>
      <c r="K57" s="11">
        <f t="shared" si="17"/>
        <v>0</v>
      </c>
      <c r="L57" s="11">
        <f t="shared" si="17"/>
        <v>0</v>
      </c>
      <c r="M57" s="26">
        <f t="shared" si="17"/>
        <v>0</v>
      </c>
    </row>
    <row r="58" spans="1:27">
      <c r="M58" s="26"/>
    </row>
    <row r="59" spans="1:27">
      <c r="B59">
        <v>0.96653</v>
      </c>
      <c r="C59" s="15">
        <v>0.96052999999999999</v>
      </c>
      <c r="D59" s="15">
        <v>0.92730999999999997</v>
      </c>
      <c r="E59" s="15">
        <v>0.89017000000000002</v>
      </c>
      <c r="F59" s="15">
        <v>0.88666999999999996</v>
      </c>
      <c r="G59" s="15">
        <v>0.86807000000000001</v>
      </c>
      <c r="H59" s="15">
        <v>0.85570000000000002</v>
      </c>
      <c r="I59" s="15">
        <v>0.85857000000000006</v>
      </c>
      <c r="J59" s="15">
        <v>0.85248000000000002</v>
      </c>
      <c r="K59" s="15">
        <v>0.85882000000000003</v>
      </c>
      <c r="L59" s="15">
        <v>0.86502000000000001</v>
      </c>
      <c r="M59" s="15">
        <v>0.85377999999999998</v>
      </c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7">
      <c r="C60" s="15"/>
      <c r="D60" s="15"/>
      <c r="E60" s="15"/>
      <c r="F60" s="15"/>
      <c r="G60" s="15"/>
      <c r="H60" s="15"/>
      <c r="I60" s="15"/>
      <c r="J60" s="15"/>
      <c r="K60" s="15"/>
      <c r="L60" s="15"/>
      <c r="M60" t="s">
        <v>13</v>
      </c>
      <c r="N60" s="26">
        <f>N53</f>
        <v>634393.62999999989</v>
      </c>
      <c r="O60" s="4">
        <f>AA53</f>
        <v>711077.97380281286</v>
      </c>
    </row>
    <row r="61" spans="1:27">
      <c r="M61" t="s">
        <v>2</v>
      </c>
      <c r="N61" s="26"/>
      <c r="O61" s="26"/>
    </row>
    <row r="62" spans="1:27">
      <c r="G62" s="2"/>
      <c r="M62" t="s">
        <v>3</v>
      </c>
      <c r="N62" s="26">
        <f>N60-N61</f>
        <v>634393.62999999989</v>
      </c>
      <c r="O62" s="26">
        <f>O60-O61</f>
        <v>711077.97380281286</v>
      </c>
    </row>
    <row r="63" spans="1:27">
      <c r="N63" s="26"/>
    </row>
    <row r="64" spans="1:27">
      <c r="N64" s="26"/>
    </row>
    <row r="65" spans="4:14">
      <c r="N65" s="26"/>
    </row>
    <row r="68" spans="4:14">
      <c r="D68" s="5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DF227-FD5C-4754-9BE3-CC23219E2E0F}">
  <dimension ref="A1:AA64"/>
  <sheetViews>
    <sheetView topLeftCell="H1" zoomScale="80" zoomScaleNormal="80" workbookViewId="0">
      <pane ySplit="2" topLeftCell="A3" activePane="bottomLeft" state="frozen"/>
      <selection pane="bottomLeft" activeCell="AA4" sqref="AA4"/>
    </sheetView>
  </sheetViews>
  <sheetFormatPr defaultRowHeight="14.45"/>
  <cols>
    <col min="1" max="1" width="28.28515625" bestFit="1" customWidth="1"/>
    <col min="2" max="3" width="12.28515625" bestFit="1" customWidth="1"/>
    <col min="4" max="4" width="13.28515625" customWidth="1"/>
    <col min="5" max="5" width="17" customWidth="1"/>
    <col min="6" max="6" width="12.28515625" bestFit="1" customWidth="1"/>
    <col min="7" max="7" width="12.42578125" customWidth="1"/>
    <col min="8" max="8" width="14.42578125" customWidth="1"/>
    <col min="9" max="9" width="12.7109375" customWidth="1"/>
    <col min="10" max="10" width="15" customWidth="1"/>
    <col min="11" max="11" width="11.28515625" bestFit="1" customWidth="1"/>
    <col min="12" max="12" width="15.7109375" customWidth="1"/>
    <col min="13" max="13" width="12.28515625" customWidth="1"/>
    <col min="14" max="14" width="13.7109375" customWidth="1"/>
    <col min="15" max="15" width="13.28515625" bestFit="1" customWidth="1"/>
    <col min="16" max="16" width="12" bestFit="1" customWidth="1"/>
    <col min="17" max="17" width="13.28515625" bestFit="1" customWidth="1"/>
    <col min="18" max="20" width="12" bestFit="1" customWidth="1"/>
    <col min="21" max="21" width="11" bestFit="1" customWidth="1"/>
    <col min="22" max="26" width="12" bestFit="1" customWidth="1"/>
    <col min="27" max="27" width="13.42578125" bestFit="1" customWidth="1"/>
  </cols>
  <sheetData>
    <row r="1" spans="1:27">
      <c r="B1" s="9"/>
    </row>
    <row r="2" spans="1:27">
      <c r="A2" s="1" t="s">
        <v>14</v>
      </c>
      <c r="B2" s="1" t="s">
        <v>137</v>
      </c>
      <c r="C2" s="1" t="s">
        <v>138</v>
      </c>
      <c r="D2" s="1" t="s">
        <v>139</v>
      </c>
      <c r="E2" s="1" t="s">
        <v>140</v>
      </c>
      <c r="F2" s="1" t="s">
        <v>141</v>
      </c>
      <c r="G2" s="1" t="s">
        <v>142</v>
      </c>
      <c r="H2" s="1" t="s">
        <v>143</v>
      </c>
      <c r="I2" s="1" t="s">
        <v>144</v>
      </c>
      <c r="J2" s="1" t="s">
        <v>145</v>
      </c>
      <c r="K2" s="1" t="s">
        <v>146</v>
      </c>
      <c r="L2" s="1" t="s">
        <v>147</v>
      </c>
      <c r="M2" s="1" t="s">
        <v>148</v>
      </c>
      <c r="N2" s="1" t="s">
        <v>201</v>
      </c>
      <c r="O2" s="1" t="s">
        <v>202</v>
      </c>
      <c r="P2" s="1" t="s">
        <v>203</v>
      </c>
      <c r="Q2" s="1" t="s">
        <v>204</v>
      </c>
      <c r="R2" s="1" t="s">
        <v>205</v>
      </c>
      <c r="S2" s="1" t="s">
        <v>206</v>
      </c>
      <c r="T2" s="1" t="s">
        <v>207</v>
      </c>
      <c r="U2" s="1" t="s">
        <v>208</v>
      </c>
      <c r="V2" s="1" t="s">
        <v>209</v>
      </c>
      <c r="W2" s="1" t="s">
        <v>210</v>
      </c>
      <c r="X2" s="1" t="s">
        <v>211</v>
      </c>
      <c r="Y2" s="1" t="s">
        <v>212</v>
      </c>
      <c r="Z2" s="1" t="s">
        <v>213</v>
      </c>
      <c r="AA2" s="1" t="s">
        <v>214</v>
      </c>
    </row>
    <row r="3" spans="1:27">
      <c r="A3" t="s">
        <v>18</v>
      </c>
      <c r="B3" s="23"/>
      <c r="C3" s="23"/>
      <c r="D3" s="11"/>
      <c r="E3" s="11">
        <v>35160</v>
      </c>
      <c r="F3" s="78"/>
      <c r="G3">
        <v>5755</v>
      </c>
      <c r="H3" s="24"/>
      <c r="I3" s="24"/>
      <c r="J3" s="24"/>
      <c r="K3" s="24"/>
      <c r="L3" s="24">
        <v>10422.219999999999</v>
      </c>
      <c r="M3" s="24">
        <v>12077.78</v>
      </c>
      <c r="N3" s="24">
        <f>SUM(B3:M3)</f>
        <v>63415</v>
      </c>
      <c r="O3" s="4">
        <f>B3/$B$58</f>
        <v>0</v>
      </c>
      <c r="P3" s="6">
        <f>C3/$C$58</f>
        <v>0</v>
      </c>
      <c r="Q3" s="6">
        <f>D3/$D$58</f>
        <v>0</v>
      </c>
      <c r="R3" s="6">
        <f>E3/$E$58</f>
        <v>39498.073401709786</v>
      </c>
      <c r="S3" s="6">
        <f>F3/$F$58</f>
        <v>0</v>
      </c>
      <c r="T3" s="6">
        <f>G3/$G$58</f>
        <v>6629.6496826292814</v>
      </c>
      <c r="U3" s="6">
        <f>H3/$H$58</f>
        <v>0</v>
      </c>
      <c r="V3" s="6">
        <f>I3/$I$58</f>
        <v>0</v>
      </c>
      <c r="W3" s="6">
        <f>J3/$J$58</f>
        <v>0</v>
      </c>
      <c r="X3" s="6">
        <f>K3/$K$58</f>
        <v>0</v>
      </c>
      <c r="Y3" s="6">
        <f>L3/$L$58</f>
        <v>12048.530669811102</v>
      </c>
      <c r="Z3" s="6">
        <f>M3/$M$58</f>
        <v>14146.24376303029</v>
      </c>
      <c r="AA3" s="6">
        <f>SUM(O3:Z3)</f>
        <v>72322.497517180454</v>
      </c>
    </row>
    <row r="4" spans="1:27">
      <c r="A4" t="s">
        <v>112</v>
      </c>
      <c r="B4" s="23"/>
      <c r="C4" s="23"/>
      <c r="D4" s="11"/>
      <c r="E4" s="11"/>
      <c r="F4" s="78">
        <v>3000</v>
      </c>
      <c r="H4" s="24"/>
      <c r="I4" s="24"/>
      <c r="J4" s="24"/>
      <c r="K4" s="24"/>
      <c r="L4" s="24"/>
      <c r="M4" s="24"/>
      <c r="N4" s="24">
        <f t="shared" ref="N4:N49" si="0">SUM(B4:M4)</f>
        <v>3000</v>
      </c>
      <c r="O4" s="4">
        <f t="shared" ref="O4:O10" si="1">B4/$B$58</f>
        <v>0</v>
      </c>
      <c r="P4" s="6">
        <f t="shared" ref="P4:P10" si="2">C4/$C$58</f>
        <v>0</v>
      </c>
      <c r="Q4" s="6">
        <f t="shared" ref="Q4:Q10" si="3">D4/$D$58</f>
        <v>0</v>
      </c>
      <c r="R4" s="6">
        <f t="shared" ref="R4:R10" si="4">E4/$E$58</f>
        <v>0</v>
      </c>
      <c r="S4" s="6">
        <f t="shared" ref="S4:S10" si="5">F4/$F$58</f>
        <v>3383.4459268950118</v>
      </c>
      <c r="T4" s="6">
        <f t="shared" ref="T4:T10" si="6">G4/$G$58</f>
        <v>0</v>
      </c>
      <c r="U4" s="6">
        <f t="shared" ref="U4:U10" si="7">H4/$H$58</f>
        <v>0</v>
      </c>
      <c r="V4" s="6">
        <f t="shared" ref="V4:V10" si="8">I4/$I$58</f>
        <v>0</v>
      </c>
      <c r="W4" s="6">
        <f t="shared" ref="W4:W10" si="9">J4/$J$58</f>
        <v>0</v>
      </c>
      <c r="X4" s="6">
        <f t="shared" ref="X4:X10" si="10">K4/$K$58</f>
        <v>0</v>
      </c>
      <c r="Y4" s="6">
        <f t="shared" ref="Y4:Y10" si="11">L4/$L$58</f>
        <v>0</v>
      </c>
      <c r="Z4" s="6">
        <f t="shared" ref="Z4:Z10" si="12">M4/$M$58</f>
        <v>0</v>
      </c>
      <c r="AA4" s="6">
        <f t="shared" ref="AA4:AA10" si="13">SUM(O4:Z4)</f>
        <v>3383.4459268950118</v>
      </c>
    </row>
    <row r="5" spans="1:27">
      <c r="A5" s="73" t="s">
        <v>110</v>
      </c>
      <c r="B5">
        <f>11400+2100</f>
        <v>13500</v>
      </c>
      <c r="C5" s="23">
        <v>775</v>
      </c>
      <c r="D5" s="11"/>
      <c r="E5" s="11"/>
      <c r="F5" s="78"/>
      <c r="G5" s="78"/>
      <c r="H5" s="24"/>
      <c r="I5" s="24"/>
      <c r="J5" s="24"/>
      <c r="K5" s="24"/>
      <c r="L5" s="24"/>
      <c r="M5" s="24"/>
      <c r="N5" s="24">
        <f t="shared" si="0"/>
        <v>14275</v>
      </c>
      <c r="O5" s="4">
        <f t="shared" si="1"/>
        <v>13967.491955759262</v>
      </c>
      <c r="P5" s="6">
        <f t="shared" si="2"/>
        <v>806.8462203158673</v>
      </c>
      <c r="Q5" s="6">
        <f t="shared" si="3"/>
        <v>0</v>
      </c>
      <c r="R5" s="6">
        <f t="shared" si="4"/>
        <v>0</v>
      </c>
      <c r="S5" s="6">
        <f t="shared" si="5"/>
        <v>0</v>
      </c>
      <c r="T5" s="6">
        <f t="shared" si="6"/>
        <v>0</v>
      </c>
      <c r="U5" s="6">
        <f t="shared" si="7"/>
        <v>0</v>
      </c>
      <c r="V5" s="6">
        <f t="shared" si="8"/>
        <v>0</v>
      </c>
      <c r="W5" s="6">
        <f t="shared" si="9"/>
        <v>0</v>
      </c>
      <c r="X5" s="6">
        <f t="shared" si="10"/>
        <v>0</v>
      </c>
      <c r="Y5" s="6">
        <f t="shared" si="11"/>
        <v>0</v>
      </c>
      <c r="Z5" s="6">
        <f t="shared" si="12"/>
        <v>0</v>
      </c>
      <c r="AA5" s="6">
        <f t="shared" si="13"/>
        <v>14774.338176075129</v>
      </c>
    </row>
    <row r="6" spans="1:27">
      <c r="A6" t="s">
        <v>54</v>
      </c>
      <c r="B6" s="23"/>
      <c r="C6" s="23"/>
      <c r="D6" s="11"/>
      <c r="E6" s="11"/>
      <c r="F6" s="78"/>
      <c r="G6" s="78"/>
      <c r="H6" s="24"/>
      <c r="I6" s="24"/>
      <c r="J6" s="24"/>
      <c r="K6" s="24"/>
      <c r="L6" s="24"/>
      <c r="M6" s="24"/>
      <c r="N6" s="24">
        <f t="shared" si="0"/>
        <v>0</v>
      </c>
      <c r="O6" s="4">
        <f t="shared" si="1"/>
        <v>0</v>
      </c>
      <c r="P6" s="6">
        <f t="shared" si="2"/>
        <v>0</v>
      </c>
      <c r="Q6" s="6">
        <f t="shared" si="3"/>
        <v>0</v>
      </c>
      <c r="R6" s="6">
        <f t="shared" si="4"/>
        <v>0</v>
      </c>
      <c r="S6" s="6">
        <f t="shared" si="5"/>
        <v>0</v>
      </c>
      <c r="T6" s="6">
        <f t="shared" si="6"/>
        <v>0</v>
      </c>
      <c r="U6" s="6">
        <f t="shared" si="7"/>
        <v>0</v>
      </c>
      <c r="V6" s="6">
        <f t="shared" si="8"/>
        <v>0</v>
      </c>
      <c r="W6" s="6">
        <f t="shared" si="9"/>
        <v>0</v>
      </c>
      <c r="X6" s="6">
        <f t="shared" si="10"/>
        <v>0</v>
      </c>
      <c r="Y6" s="6">
        <f t="shared" si="11"/>
        <v>0</v>
      </c>
      <c r="Z6" s="6">
        <f t="shared" si="12"/>
        <v>0</v>
      </c>
      <c r="AA6" s="6">
        <f t="shared" si="13"/>
        <v>0</v>
      </c>
    </row>
    <row r="7" spans="1:27">
      <c r="A7" t="s">
        <v>23</v>
      </c>
      <c r="C7" s="23"/>
      <c r="D7" s="11"/>
      <c r="F7" s="78"/>
      <c r="G7" s="78"/>
      <c r="H7" s="24"/>
      <c r="I7" s="24"/>
      <c r="J7" s="24"/>
      <c r="K7" s="24"/>
      <c r="L7" s="24"/>
      <c r="M7" s="24"/>
      <c r="N7" s="24">
        <f t="shared" si="0"/>
        <v>0</v>
      </c>
      <c r="O7" s="4">
        <f t="shared" si="1"/>
        <v>0</v>
      </c>
      <c r="P7" s="6">
        <f t="shared" si="2"/>
        <v>0</v>
      </c>
      <c r="Q7" s="6">
        <f t="shared" si="3"/>
        <v>0</v>
      </c>
      <c r="R7" s="6">
        <f t="shared" si="4"/>
        <v>0</v>
      </c>
      <c r="S7" s="6">
        <f t="shared" si="5"/>
        <v>0</v>
      </c>
      <c r="T7" s="6">
        <f t="shared" si="6"/>
        <v>0</v>
      </c>
      <c r="U7" s="6">
        <f t="shared" si="7"/>
        <v>0</v>
      </c>
      <c r="V7" s="6">
        <f t="shared" si="8"/>
        <v>0</v>
      </c>
      <c r="W7" s="6">
        <f t="shared" si="9"/>
        <v>0</v>
      </c>
      <c r="X7" s="6">
        <f t="shared" si="10"/>
        <v>0</v>
      </c>
      <c r="Y7" s="6">
        <f t="shared" si="11"/>
        <v>0</v>
      </c>
      <c r="Z7" s="6">
        <f t="shared" si="12"/>
        <v>0</v>
      </c>
      <c r="AA7" s="6">
        <f t="shared" si="13"/>
        <v>0</v>
      </c>
    </row>
    <row r="8" spans="1:27">
      <c r="A8" t="s">
        <v>56</v>
      </c>
      <c r="C8" s="23"/>
      <c r="D8" s="11"/>
      <c r="F8" s="78"/>
      <c r="G8" s="78"/>
      <c r="H8" s="24"/>
      <c r="I8" s="24"/>
      <c r="J8" s="24"/>
      <c r="K8" s="24"/>
      <c r="L8" s="24"/>
      <c r="M8" s="24"/>
      <c r="N8" s="24">
        <f t="shared" si="0"/>
        <v>0</v>
      </c>
      <c r="O8" s="4">
        <f t="shared" si="1"/>
        <v>0</v>
      </c>
      <c r="P8" s="6">
        <f t="shared" si="2"/>
        <v>0</v>
      </c>
      <c r="Q8" s="6">
        <f t="shared" si="3"/>
        <v>0</v>
      </c>
      <c r="R8" s="6">
        <f t="shared" si="4"/>
        <v>0</v>
      </c>
      <c r="S8" s="6">
        <f t="shared" si="5"/>
        <v>0</v>
      </c>
      <c r="T8" s="6">
        <f t="shared" si="6"/>
        <v>0</v>
      </c>
      <c r="U8" s="6">
        <f t="shared" si="7"/>
        <v>0</v>
      </c>
      <c r="V8" s="6">
        <f t="shared" si="8"/>
        <v>0</v>
      </c>
      <c r="W8" s="6">
        <f t="shared" si="9"/>
        <v>0</v>
      </c>
      <c r="X8" s="6">
        <f t="shared" si="10"/>
        <v>0</v>
      </c>
      <c r="Y8" s="6">
        <f t="shared" si="11"/>
        <v>0</v>
      </c>
      <c r="Z8" s="6">
        <f t="shared" si="12"/>
        <v>0</v>
      </c>
      <c r="AA8" s="6">
        <f t="shared" si="13"/>
        <v>0</v>
      </c>
    </row>
    <row r="9" spans="1:27">
      <c r="A9" t="s">
        <v>27</v>
      </c>
      <c r="C9" s="23"/>
      <c r="D9" s="11"/>
      <c r="F9" s="78"/>
      <c r="G9" s="78"/>
      <c r="H9" s="24"/>
      <c r="I9" s="24"/>
      <c r="J9" s="24"/>
      <c r="K9" s="24"/>
      <c r="L9" s="24"/>
      <c r="M9" s="24"/>
      <c r="N9" s="24">
        <f t="shared" si="0"/>
        <v>0</v>
      </c>
      <c r="O9" s="4">
        <f t="shared" si="1"/>
        <v>0</v>
      </c>
      <c r="P9" s="6">
        <f t="shared" si="2"/>
        <v>0</v>
      </c>
      <c r="Q9" s="6">
        <f t="shared" si="3"/>
        <v>0</v>
      </c>
      <c r="R9" s="6">
        <f t="shared" si="4"/>
        <v>0</v>
      </c>
      <c r="S9" s="6">
        <f t="shared" si="5"/>
        <v>0</v>
      </c>
      <c r="T9" s="6">
        <f t="shared" si="6"/>
        <v>0</v>
      </c>
      <c r="U9" s="6">
        <f t="shared" si="7"/>
        <v>0</v>
      </c>
      <c r="V9" s="6">
        <f t="shared" si="8"/>
        <v>0</v>
      </c>
      <c r="W9" s="6">
        <f t="shared" si="9"/>
        <v>0</v>
      </c>
      <c r="X9" s="6">
        <f t="shared" si="10"/>
        <v>0</v>
      </c>
      <c r="Y9" s="6">
        <f t="shared" si="11"/>
        <v>0</v>
      </c>
      <c r="Z9" s="6">
        <f t="shared" si="12"/>
        <v>0</v>
      </c>
      <c r="AA9" s="6">
        <f t="shared" si="13"/>
        <v>0</v>
      </c>
    </row>
    <row r="10" spans="1:27">
      <c r="A10" t="s">
        <v>38</v>
      </c>
      <c r="B10" s="23">
        <v>8448</v>
      </c>
      <c r="C10" s="23">
        <v>800</v>
      </c>
      <c r="D10" s="11">
        <v>2080</v>
      </c>
      <c r="F10" s="78"/>
      <c r="G10" s="78"/>
      <c r="H10" s="24"/>
      <c r="I10" s="24"/>
      <c r="J10" s="25"/>
      <c r="K10" s="24"/>
      <c r="L10" s="24"/>
      <c r="M10" s="24"/>
      <c r="N10" s="24">
        <f t="shared" si="0"/>
        <v>11328</v>
      </c>
      <c r="O10" s="4">
        <f t="shared" si="1"/>
        <v>8740.5460772040187</v>
      </c>
      <c r="P10" s="6">
        <f t="shared" si="2"/>
        <v>832.87351774541139</v>
      </c>
      <c r="Q10" s="6">
        <f t="shared" si="3"/>
        <v>2243.0470932050771</v>
      </c>
      <c r="R10" s="6">
        <f t="shared" si="4"/>
        <v>0</v>
      </c>
      <c r="S10" s="6">
        <f t="shared" si="5"/>
        <v>0</v>
      </c>
      <c r="T10" s="6">
        <f t="shared" si="6"/>
        <v>0</v>
      </c>
      <c r="U10" s="6">
        <f t="shared" si="7"/>
        <v>0</v>
      </c>
      <c r="V10" s="6">
        <f t="shared" si="8"/>
        <v>0</v>
      </c>
      <c r="W10" s="6">
        <f t="shared" si="9"/>
        <v>0</v>
      </c>
      <c r="X10" s="6">
        <f t="shared" si="10"/>
        <v>0</v>
      </c>
      <c r="Y10" s="6">
        <f t="shared" si="11"/>
        <v>0</v>
      </c>
      <c r="Z10" s="6">
        <f t="shared" si="12"/>
        <v>0</v>
      </c>
      <c r="AA10" s="6">
        <f t="shared" si="13"/>
        <v>11816.466688154507</v>
      </c>
    </row>
    <row r="11" spans="1:27">
      <c r="A11" t="s">
        <v>49</v>
      </c>
      <c r="B11" s="23"/>
      <c r="C11" s="23">
        <v>9588.67</v>
      </c>
      <c r="D11" s="11">
        <v>8063.33</v>
      </c>
      <c r="E11">
        <v>3000</v>
      </c>
      <c r="F11" s="78">
        <v>180</v>
      </c>
      <c r="G11" s="78">
        <v>3060</v>
      </c>
      <c r="H11" s="24"/>
      <c r="I11" s="24"/>
      <c r="J11" s="24"/>
      <c r="K11" s="24">
        <v>180</v>
      </c>
      <c r="L11" s="24">
        <v>2430</v>
      </c>
      <c r="M11" s="24"/>
      <c r="N11" s="24">
        <f t="shared" si="0"/>
        <v>26502</v>
      </c>
      <c r="O11" s="4">
        <f t="shared" ref="O4:O49" si="14">B11/$B$58</f>
        <v>0</v>
      </c>
      <c r="P11" s="6">
        <f t="shared" ref="P4:P49" si="15">C11/$C$58</f>
        <v>9982.6866417498677</v>
      </c>
      <c r="Q11" s="6">
        <f t="shared" ref="Q4:Q49" si="16">D11/$D$58</f>
        <v>8695.3985182948527</v>
      </c>
      <c r="R11" s="6">
        <f t="shared" ref="R4:R49" si="17">E11/$E$58</f>
        <v>3370.1427817158519</v>
      </c>
      <c r="S11" s="6">
        <f t="shared" ref="S4:S49" si="18">F11/$F$58</f>
        <v>203.0067556137007</v>
      </c>
      <c r="T11" s="6">
        <f t="shared" ref="T4:T49" si="19">G11/$G$58</f>
        <v>3525.0613429792529</v>
      </c>
      <c r="U11" s="6">
        <f t="shared" ref="U4:U49" si="20">H11/$H$58</f>
        <v>0</v>
      </c>
      <c r="V11" s="6">
        <f t="shared" ref="V4:V49" si="21">I11/$I$58</f>
        <v>0</v>
      </c>
      <c r="W11" s="6">
        <f t="shared" ref="W4:W49" si="22">J11/$J$58</f>
        <v>0</v>
      </c>
      <c r="X11" s="6">
        <f t="shared" ref="X4:X49" si="23">K11/$K$58</f>
        <v>209.58990242425654</v>
      </c>
      <c r="Y11" s="6">
        <f t="shared" ref="Y4:Y49" si="24">L11/$L$58</f>
        <v>2809.1836026912674</v>
      </c>
      <c r="Z11" s="6">
        <f t="shared" ref="Z4:Z49" si="25">M11/$M$58</f>
        <v>0</v>
      </c>
      <c r="AA11" s="6">
        <f t="shared" ref="AA5:AA49" si="26">SUM(O11:Z11)</f>
        <v>28795.06954546905</v>
      </c>
    </row>
    <row r="12" spans="1:27">
      <c r="A12" t="s">
        <v>121</v>
      </c>
      <c r="C12" s="23"/>
      <c r="D12" s="11"/>
      <c r="F12" s="78"/>
      <c r="G12" s="78"/>
      <c r="H12" s="24"/>
      <c r="I12" s="24"/>
      <c r="J12" s="24"/>
      <c r="K12" s="24"/>
      <c r="L12" s="24"/>
      <c r="M12" s="24"/>
      <c r="N12" s="24">
        <f t="shared" si="0"/>
        <v>0</v>
      </c>
      <c r="O12" s="4">
        <f t="shared" si="14"/>
        <v>0</v>
      </c>
      <c r="P12" s="6">
        <f t="shared" si="15"/>
        <v>0</v>
      </c>
      <c r="Q12" s="6">
        <f t="shared" si="16"/>
        <v>0</v>
      </c>
      <c r="R12" s="6">
        <f t="shared" si="17"/>
        <v>0</v>
      </c>
      <c r="S12" s="6">
        <f t="shared" si="18"/>
        <v>0</v>
      </c>
      <c r="T12" s="6">
        <f t="shared" si="19"/>
        <v>0</v>
      </c>
      <c r="U12" s="6">
        <f t="shared" si="20"/>
        <v>0</v>
      </c>
      <c r="V12" s="6">
        <f t="shared" si="21"/>
        <v>0</v>
      </c>
      <c r="W12" s="6">
        <f t="shared" si="22"/>
        <v>0</v>
      </c>
      <c r="X12" s="6">
        <f t="shared" si="23"/>
        <v>0</v>
      </c>
      <c r="Y12" s="6">
        <f t="shared" si="24"/>
        <v>0</v>
      </c>
      <c r="Z12" s="6">
        <f t="shared" si="25"/>
        <v>0</v>
      </c>
      <c r="AA12" s="6">
        <f t="shared" si="26"/>
        <v>0</v>
      </c>
    </row>
    <row r="13" spans="1:27">
      <c r="A13" t="s">
        <v>58</v>
      </c>
      <c r="B13" s="23"/>
      <c r="C13" s="23"/>
      <c r="D13" s="11"/>
      <c r="F13" s="78"/>
      <c r="G13" s="78"/>
      <c r="H13" s="24"/>
      <c r="I13" s="24"/>
      <c r="J13" s="24"/>
      <c r="K13" s="24"/>
      <c r="L13" s="24"/>
      <c r="M13" s="24"/>
      <c r="N13" s="24">
        <f t="shared" si="0"/>
        <v>0</v>
      </c>
      <c r="O13" s="4">
        <f t="shared" si="14"/>
        <v>0</v>
      </c>
      <c r="P13" s="6">
        <f t="shared" si="15"/>
        <v>0</v>
      </c>
      <c r="Q13" s="6">
        <f t="shared" si="16"/>
        <v>0</v>
      </c>
      <c r="R13" s="6">
        <f t="shared" si="17"/>
        <v>0</v>
      </c>
      <c r="S13" s="6">
        <f t="shared" si="18"/>
        <v>0</v>
      </c>
      <c r="T13" s="6">
        <f t="shared" si="19"/>
        <v>0</v>
      </c>
      <c r="U13" s="6">
        <f t="shared" si="20"/>
        <v>0</v>
      </c>
      <c r="V13" s="6">
        <f t="shared" si="21"/>
        <v>0</v>
      </c>
      <c r="W13" s="6">
        <f t="shared" si="22"/>
        <v>0</v>
      </c>
      <c r="X13" s="6">
        <f t="shared" si="23"/>
        <v>0</v>
      </c>
      <c r="Y13" s="6">
        <f t="shared" si="24"/>
        <v>0</v>
      </c>
      <c r="Z13" s="6">
        <f t="shared" si="25"/>
        <v>0</v>
      </c>
      <c r="AA13" s="6">
        <f t="shared" si="26"/>
        <v>0</v>
      </c>
    </row>
    <row r="14" spans="1:27">
      <c r="A14" t="s">
        <v>37</v>
      </c>
      <c r="B14" s="23"/>
      <c r="C14" s="23"/>
      <c r="D14" s="11"/>
      <c r="F14" s="78"/>
      <c r="G14" s="78"/>
      <c r="H14" s="24"/>
      <c r="I14" s="24"/>
      <c r="J14" s="24"/>
      <c r="K14" s="24"/>
      <c r="L14" s="24"/>
      <c r="M14" s="24"/>
      <c r="N14" s="24">
        <f t="shared" si="0"/>
        <v>0</v>
      </c>
      <c r="O14" s="4">
        <f t="shared" si="14"/>
        <v>0</v>
      </c>
      <c r="P14" s="6">
        <f t="shared" si="15"/>
        <v>0</v>
      </c>
      <c r="Q14" s="6">
        <f t="shared" si="16"/>
        <v>0</v>
      </c>
      <c r="R14" s="6">
        <f t="shared" si="17"/>
        <v>0</v>
      </c>
      <c r="S14" s="6">
        <f t="shared" si="18"/>
        <v>0</v>
      </c>
      <c r="T14" s="6">
        <f t="shared" si="19"/>
        <v>0</v>
      </c>
      <c r="U14" s="6">
        <f t="shared" si="20"/>
        <v>0</v>
      </c>
      <c r="V14" s="6">
        <f t="shared" si="21"/>
        <v>0</v>
      </c>
      <c r="W14" s="6">
        <f t="shared" si="22"/>
        <v>0</v>
      </c>
      <c r="X14" s="6">
        <f t="shared" si="23"/>
        <v>0</v>
      </c>
      <c r="Y14" s="6">
        <f t="shared" si="24"/>
        <v>0</v>
      </c>
      <c r="Z14" s="6">
        <f t="shared" si="25"/>
        <v>0</v>
      </c>
      <c r="AA14" s="6">
        <f t="shared" si="26"/>
        <v>0</v>
      </c>
    </row>
    <row r="15" spans="1:27">
      <c r="A15" t="s">
        <v>36</v>
      </c>
      <c r="B15" s="23"/>
      <c r="C15" s="23"/>
      <c r="D15" s="11"/>
      <c r="F15" s="78"/>
      <c r="G15" s="78"/>
      <c r="H15" s="24"/>
      <c r="I15" s="24"/>
      <c r="J15" s="24"/>
      <c r="K15" s="24"/>
      <c r="L15" s="24"/>
      <c r="M15" s="24"/>
      <c r="N15" s="24">
        <f t="shared" si="0"/>
        <v>0</v>
      </c>
      <c r="O15" s="4">
        <f t="shared" si="14"/>
        <v>0</v>
      </c>
      <c r="P15" s="6">
        <f t="shared" si="15"/>
        <v>0</v>
      </c>
      <c r="Q15" s="6">
        <f t="shared" si="16"/>
        <v>0</v>
      </c>
      <c r="R15" s="6">
        <f t="shared" si="17"/>
        <v>0</v>
      </c>
      <c r="S15" s="6">
        <f t="shared" si="18"/>
        <v>0</v>
      </c>
      <c r="T15" s="6">
        <f t="shared" si="19"/>
        <v>0</v>
      </c>
      <c r="U15" s="6">
        <f t="shared" si="20"/>
        <v>0</v>
      </c>
      <c r="V15" s="6">
        <f t="shared" si="21"/>
        <v>0</v>
      </c>
      <c r="W15" s="6">
        <f t="shared" si="22"/>
        <v>0</v>
      </c>
      <c r="X15" s="6">
        <f t="shared" si="23"/>
        <v>0</v>
      </c>
      <c r="Y15" s="6">
        <f t="shared" si="24"/>
        <v>0</v>
      </c>
      <c r="Z15" s="6">
        <f t="shared" si="25"/>
        <v>0</v>
      </c>
      <c r="AA15" s="6">
        <f t="shared" si="26"/>
        <v>0</v>
      </c>
    </row>
    <row r="16" spans="1:27">
      <c r="A16" t="s">
        <v>55</v>
      </c>
      <c r="B16" s="23"/>
      <c r="C16" s="23"/>
      <c r="D16" s="11"/>
      <c r="F16" s="78"/>
      <c r="G16" s="78"/>
      <c r="H16" s="24"/>
      <c r="I16" s="24"/>
      <c r="J16" s="24"/>
      <c r="K16" s="24"/>
      <c r="L16" s="24"/>
      <c r="M16" s="24"/>
      <c r="N16" s="24">
        <f t="shared" si="0"/>
        <v>0</v>
      </c>
      <c r="O16" s="4">
        <f t="shared" si="14"/>
        <v>0</v>
      </c>
      <c r="P16" s="6">
        <f t="shared" si="15"/>
        <v>0</v>
      </c>
      <c r="Q16" s="6">
        <f t="shared" si="16"/>
        <v>0</v>
      </c>
      <c r="R16" s="6">
        <f t="shared" si="17"/>
        <v>0</v>
      </c>
      <c r="S16" s="6">
        <f t="shared" si="18"/>
        <v>0</v>
      </c>
      <c r="T16" s="6">
        <f t="shared" si="19"/>
        <v>0</v>
      </c>
      <c r="U16" s="6">
        <f t="shared" si="20"/>
        <v>0</v>
      </c>
      <c r="V16" s="6">
        <f t="shared" si="21"/>
        <v>0</v>
      </c>
      <c r="W16" s="6">
        <f t="shared" si="22"/>
        <v>0</v>
      </c>
      <c r="X16" s="6">
        <f t="shared" si="23"/>
        <v>0</v>
      </c>
      <c r="Y16" s="6">
        <f t="shared" si="24"/>
        <v>0</v>
      </c>
      <c r="Z16" s="6">
        <f t="shared" si="25"/>
        <v>0</v>
      </c>
      <c r="AA16" s="6">
        <f t="shared" si="26"/>
        <v>0</v>
      </c>
    </row>
    <row r="17" spans="1:27">
      <c r="A17" t="s">
        <v>44</v>
      </c>
      <c r="B17" s="23"/>
      <c r="C17" s="23"/>
      <c r="D17" s="11"/>
      <c r="F17" s="78"/>
      <c r="G17" s="78"/>
      <c r="H17" s="24"/>
      <c r="I17" s="24"/>
      <c r="J17" s="24"/>
      <c r="K17" s="24"/>
      <c r="L17" s="24"/>
      <c r="M17" s="24"/>
      <c r="N17" s="24">
        <f t="shared" si="0"/>
        <v>0</v>
      </c>
      <c r="O17" s="4">
        <f t="shared" si="14"/>
        <v>0</v>
      </c>
      <c r="P17" s="6">
        <f t="shared" si="15"/>
        <v>0</v>
      </c>
      <c r="Q17" s="6">
        <f t="shared" si="16"/>
        <v>0</v>
      </c>
      <c r="R17" s="6">
        <f t="shared" si="17"/>
        <v>0</v>
      </c>
      <c r="S17" s="6">
        <f t="shared" si="18"/>
        <v>0</v>
      </c>
      <c r="T17" s="6">
        <f t="shared" si="19"/>
        <v>0</v>
      </c>
      <c r="U17" s="6">
        <f t="shared" si="20"/>
        <v>0</v>
      </c>
      <c r="V17" s="6">
        <f t="shared" si="21"/>
        <v>0</v>
      </c>
      <c r="W17" s="6">
        <f t="shared" si="22"/>
        <v>0</v>
      </c>
      <c r="X17" s="6">
        <f t="shared" si="23"/>
        <v>0</v>
      </c>
      <c r="Y17" s="6">
        <f t="shared" si="24"/>
        <v>0</v>
      </c>
      <c r="Z17" s="6">
        <f t="shared" si="25"/>
        <v>0</v>
      </c>
      <c r="AA17" s="6">
        <f t="shared" si="26"/>
        <v>0</v>
      </c>
    </row>
    <row r="18" spans="1:27">
      <c r="A18" t="s">
        <v>111</v>
      </c>
      <c r="B18" s="23"/>
      <c r="C18" s="23"/>
      <c r="D18" s="11"/>
      <c r="F18" s="78"/>
      <c r="G18" s="78"/>
      <c r="H18" s="24"/>
      <c r="I18" s="24"/>
      <c r="J18" s="24"/>
      <c r="K18" s="24"/>
      <c r="L18" s="24"/>
      <c r="M18" s="24"/>
      <c r="N18" s="24">
        <f t="shared" si="0"/>
        <v>0</v>
      </c>
      <c r="O18" s="4">
        <f t="shared" si="14"/>
        <v>0</v>
      </c>
      <c r="P18" s="6">
        <f t="shared" si="15"/>
        <v>0</v>
      </c>
      <c r="Q18" s="6">
        <f t="shared" si="16"/>
        <v>0</v>
      </c>
      <c r="R18" s="6">
        <f t="shared" si="17"/>
        <v>0</v>
      </c>
      <c r="S18" s="6">
        <f t="shared" si="18"/>
        <v>0</v>
      </c>
      <c r="T18" s="6">
        <f t="shared" si="19"/>
        <v>0</v>
      </c>
      <c r="U18" s="6">
        <f t="shared" si="20"/>
        <v>0</v>
      </c>
      <c r="V18" s="6">
        <f t="shared" si="21"/>
        <v>0</v>
      </c>
      <c r="W18" s="6">
        <f t="shared" si="22"/>
        <v>0</v>
      </c>
      <c r="X18" s="6">
        <f t="shared" si="23"/>
        <v>0</v>
      </c>
      <c r="Y18" s="6">
        <f t="shared" si="24"/>
        <v>0</v>
      </c>
      <c r="Z18" s="6">
        <f t="shared" si="25"/>
        <v>0</v>
      </c>
      <c r="AA18" s="6">
        <f t="shared" si="26"/>
        <v>0</v>
      </c>
    </row>
    <row r="19" spans="1:27">
      <c r="A19" t="s">
        <v>22</v>
      </c>
      <c r="B19" s="23"/>
      <c r="C19" s="23"/>
      <c r="D19" s="11"/>
      <c r="F19" s="78"/>
      <c r="G19" s="78"/>
      <c r="H19" s="24"/>
      <c r="I19" s="24">
        <v>833.33</v>
      </c>
      <c r="J19" s="24">
        <v>944.44</v>
      </c>
      <c r="K19" s="24">
        <f>3082.22+0.01</f>
        <v>3082.23</v>
      </c>
      <c r="L19" s="24">
        <v>900</v>
      </c>
      <c r="M19" s="24">
        <v>2500</v>
      </c>
      <c r="N19" s="24">
        <f t="shared" si="0"/>
        <v>8260</v>
      </c>
      <c r="O19" s="4">
        <f t="shared" si="14"/>
        <v>0</v>
      </c>
      <c r="P19" s="6">
        <f t="shared" si="15"/>
        <v>0</v>
      </c>
      <c r="Q19" s="6">
        <f t="shared" si="16"/>
        <v>0</v>
      </c>
      <c r="R19" s="6">
        <f t="shared" si="17"/>
        <v>0</v>
      </c>
      <c r="S19" s="6">
        <f t="shared" si="18"/>
        <v>0</v>
      </c>
      <c r="T19" s="6">
        <f t="shared" si="19"/>
        <v>0</v>
      </c>
      <c r="U19" s="6">
        <f t="shared" si="20"/>
        <v>0</v>
      </c>
      <c r="V19" s="6">
        <f t="shared" si="21"/>
        <v>970.60228053624053</v>
      </c>
      <c r="W19" s="6">
        <f t="shared" si="22"/>
        <v>1107.8734984984985</v>
      </c>
      <c r="X19" s="6">
        <f t="shared" si="23"/>
        <v>3588.9126941617569</v>
      </c>
      <c r="Y19" s="6">
        <f t="shared" si="24"/>
        <v>1040.4383713671359</v>
      </c>
      <c r="Z19" s="6">
        <f t="shared" si="25"/>
        <v>2928.154793975029</v>
      </c>
      <c r="AA19" s="6">
        <f t="shared" si="26"/>
        <v>9635.9816385386603</v>
      </c>
    </row>
    <row r="20" spans="1:27">
      <c r="A20" t="s">
        <v>46</v>
      </c>
      <c r="B20" s="23"/>
      <c r="C20" s="23"/>
      <c r="D20" s="11"/>
      <c r="F20" s="78"/>
      <c r="G20" s="78"/>
      <c r="H20" s="24"/>
      <c r="I20" s="24"/>
      <c r="J20" s="24"/>
      <c r="K20" s="24"/>
      <c r="L20" s="24"/>
      <c r="M20" s="24"/>
      <c r="N20" s="24">
        <f t="shared" si="0"/>
        <v>0</v>
      </c>
      <c r="O20" s="4">
        <f t="shared" si="14"/>
        <v>0</v>
      </c>
      <c r="P20" s="6">
        <f t="shared" si="15"/>
        <v>0</v>
      </c>
      <c r="Q20" s="6">
        <f t="shared" si="16"/>
        <v>0</v>
      </c>
      <c r="R20" s="6">
        <f t="shared" si="17"/>
        <v>0</v>
      </c>
      <c r="S20" s="6">
        <f t="shared" si="18"/>
        <v>0</v>
      </c>
      <c r="T20" s="6">
        <f t="shared" si="19"/>
        <v>0</v>
      </c>
      <c r="U20" s="6">
        <f t="shared" si="20"/>
        <v>0</v>
      </c>
      <c r="V20" s="6">
        <f t="shared" si="21"/>
        <v>0</v>
      </c>
      <c r="W20" s="6">
        <f t="shared" si="22"/>
        <v>0</v>
      </c>
      <c r="X20" s="6">
        <f t="shared" si="23"/>
        <v>0</v>
      </c>
      <c r="Y20" s="6">
        <f t="shared" si="24"/>
        <v>0</v>
      </c>
      <c r="Z20" s="6">
        <f t="shared" si="25"/>
        <v>0</v>
      </c>
      <c r="AA20" s="6">
        <f t="shared" si="26"/>
        <v>0</v>
      </c>
    </row>
    <row r="21" spans="1:27">
      <c r="A21" t="s">
        <v>19</v>
      </c>
      <c r="B21" s="23">
        <v>900</v>
      </c>
      <c r="C21" s="23"/>
      <c r="F21" s="78"/>
      <c r="G21" s="78">
        <v>2100</v>
      </c>
      <c r="H21" s="24">
        <v>1110</v>
      </c>
      <c r="I21" s="24"/>
      <c r="J21" s="24"/>
      <c r="K21" s="24">
        <v>400</v>
      </c>
      <c r="L21" s="24"/>
      <c r="M21" s="24">
        <v>400</v>
      </c>
      <c r="N21" s="24">
        <f t="shared" si="0"/>
        <v>4910</v>
      </c>
      <c r="O21" s="4">
        <f t="shared" si="14"/>
        <v>931.16613038395087</v>
      </c>
      <c r="P21" s="6">
        <f t="shared" si="15"/>
        <v>0</v>
      </c>
      <c r="Q21" s="6">
        <f t="shared" si="16"/>
        <v>0</v>
      </c>
      <c r="R21" s="6">
        <f t="shared" si="17"/>
        <v>0</v>
      </c>
      <c r="S21" s="6">
        <f t="shared" si="18"/>
        <v>0</v>
      </c>
      <c r="T21" s="6">
        <f t="shared" si="19"/>
        <v>2419.1597451818402</v>
      </c>
      <c r="U21" s="6">
        <f t="shared" si="20"/>
        <v>1297.1835923805072</v>
      </c>
      <c r="V21" s="6">
        <f t="shared" si="21"/>
        <v>0</v>
      </c>
      <c r="W21" s="6">
        <f t="shared" si="22"/>
        <v>0</v>
      </c>
      <c r="X21" s="6">
        <f t="shared" si="23"/>
        <v>465.75533872057008</v>
      </c>
      <c r="Y21" s="6">
        <f t="shared" si="24"/>
        <v>0</v>
      </c>
      <c r="Z21" s="6">
        <f t="shared" si="25"/>
        <v>468.50476703600458</v>
      </c>
      <c r="AA21" s="6">
        <f t="shared" si="26"/>
        <v>5581.7695737028725</v>
      </c>
    </row>
    <row r="22" spans="1:27">
      <c r="A22" t="s">
        <v>97</v>
      </c>
      <c r="F22" s="78"/>
      <c r="G22" s="78"/>
      <c r="H22" s="24"/>
      <c r="I22" s="24"/>
      <c r="J22" s="24"/>
      <c r="K22" s="24"/>
      <c r="L22" s="24"/>
      <c r="M22" s="24"/>
      <c r="N22" s="24">
        <f t="shared" si="0"/>
        <v>0</v>
      </c>
      <c r="O22" s="4">
        <f t="shared" si="14"/>
        <v>0</v>
      </c>
      <c r="P22" s="6">
        <f t="shared" si="15"/>
        <v>0</v>
      </c>
      <c r="Q22" s="6">
        <f t="shared" si="16"/>
        <v>0</v>
      </c>
      <c r="R22" s="6">
        <f t="shared" si="17"/>
        <v>0</v>
      </c>
      <c r="S22" s="6">
        <f t="shared" si="18"/>
        <v>0</v>
      </c>
      <c r="T22" s="6">
        <f t="shared" si="19"/>
        <v>0</v>
      </c>
      <c r="U22" s="6">
        <f t="shared" si="20"/>
        <v>0</v>
      </c>
      <c r="V22" s="6">
        <f t="shared" si="21"/>
        <v>0</v>
      </c>
      <c r="W22" s="6">
        <f t="shared" si="22"/>
        <v>0</v>
      </c>
      <c r="X22" s="6">
        <f t="shared" si="23"/>
        <v>0</v>
      </c>
      <c r="Y22" s="6">
        <f t="shared" si="24"/>
        <v>0</v>
      </c>
      <c r="Z22" s="6">
        <f t="shared" si="25"/>
        <v>0</v>
      </c>
      <c r="AA22" s="6">
        <f t="shared" si="26"/>
        <v>0</v>
      </c>
    </row>
    <row r="23" spans="1:27">
      <c r="A23" t="s">
        <v>114</v>
      </c>
      <c r="F23" s="78"/>
      <c r="G23" s="78"/>
      <c r="H23" s="24"/>
      <c r="I23" s="24"/>
      <c r="J23" s="24"/>
      <c r="K23" s="24"/>
      <c r="L23" s="24"/>
      <c r="M23" s="24"/>
      <c r="N23" s="24">
        <f t="shared" si="0"/>
        <v>0</v>
      </c>
      <c r="O23" s="4">
        <f t="shared" si="14"/>
        <v>0</v>
      </c>
      <c r="P23" s="6">
        <f t="shared" si="15"/>
        <v>0</v>
      </c>
      <c r="Q23" s="6">
        <f t="shared" si="16"/>
        <v>0</v>
      </c>
      <c r="R23" s="6">
        <f t="shared" si="17"/>
        <v>0</v>
      </c>
      <c r="S23" s="6">
        <f t="shared" si="18"/>
        <v>0</v>
      </c>
      <c r="T23" s="6">
        <f t="shared" si="19"/>
        <v>0</v>
      </c>
      <c r="U23" s="6">
        <f t="shared" si="20"/>
        <v>0</v>
      </c>
      <c r="V23" s="6">
        <f t="shared" si="21"/>
        <v>0</v>
      </c>
      <c r="W23" s="6">
        <f t="shared" si="22"/>
        <v>0</v>
      </c>
      <c r="X23" s="6">
        <f t="shared" si="23"/>
        <v>0</v>
      </c>
      <c r="Y23" s="6">
        <f t="shared" si="24"/>
        <v>0</v>
      </c>
      <c r="Z23" s="6">
        <f t="shared" si="25"/>
        <v>0</v>
      </c>
      <c r="AA23" s="6">
        <f t="shared" si="26"/>
        <v>0</v>
      </c>
    </row>
    <row r="24" spans="1:27">
      <c r="A24" t="s">
        <v>123</v>
      </c>
      <c r="B24" s="23"/>
      <c r="D24" s="11"/>
      <c r="F24" s="78"/>
      <c r="G24" s="78"/>
      <c r="H24" s="24"/>
      <c r="I24" s="24"/>
      <c r="J24" s="24"/>
      <c r="K24" s="24"/>
      <c r="L24" s="24"/>
      <c r="M24" s="24"/>
      <c r="N24" s="24">
        <f t="shared" si="0"/>
        <v>0</v>
      </c>
      <c r="O24" s="4">
        <f t="shared" si="14"/>
        <v>0</v>
      </c>
      <c r="P24" s="6">
        <f t="shared" si="15"/>
        <v>0</v>
      </c>
      <c r="Q24" s="6">
        <f t="shared" si="16"/>
        <v>0</v>
      </c>
      <c r="R24" s="6">
        <f t="shared" si="17"/>
        <v>0</v>
      </c>
      <c r="S24" s="6">
        <f t="shared" si="18"/>
        <v>0</v>
      </c>
      <c r="T24" s="6">
        <f t="shared" si="19"/>
        <v>0</v>
      </c>
      <c r="U24" s="6">
        <f t="shared" si="20"/>
        <v>0</v>
      </c>
      <c r="V24" s="6">
        <f t="shared" si="21"/>
        <v>0</v>
      </c>
      <c r="W24" s="6">
        <f t="shared" si="22"/>
        <v>0</v>
      </c>
      <c r="X24" s="6">
        <f t="shared" si="23"/>
        <v>0</v>
      </c>
      <c r="Y24" s="6">
        <f t="shared" si="24"/>
        <v>0</v>
      </c>
      <c r="Z24" s="6">
        <f t="shared" si="25"/>
        <v>0</v>
      </c>
      <c r="AA24" s="6">
        <f t="shared" si="26"/>
        <v>0</v>
      </c>
    </row>
    <row r="25" spans="1:27">
      <c r="A25" t="s">
        <v>45</v>
      </c>
      <c r="B25" s="23"/>
      <c r="D25" s="11"/>
      <c r="F25" s="78"/>
      <c r="G25" s="78"/>
      <c r="H25" s="24"/>
      <c r="I25" s="24"/>
      <c r="J25" s="24"/>
      <c r="K25" s="24"/>
      <c r="L25" s="24"/>
      <c r="M25" s="24"/>
      <c r="N25" s="24">
        <f t="shared" si="0"/>
        <v>0</v>
      </c>
      <c r="O25" s="4">
        <f t="shared" si="14"/>
        <v>0</v>
      </c>
      <c r="P25" s="6">
        <f t="shared" si="15"/>
        <v>0</v>
      </c>
      <c r="Q25" s="6">
        <f t="shared" si="16"/>
        <v>0</v>
      </c>
      <c r="R25" s="6">
        <f t="shared" si="17"/>
        <v>0</v>
      </c>
      <c r="S25" s="6">
        <f t="shared" si="18"/>
        <v>0</v>
      </c>
      <c r="T25" s="6">
        <f t="shared" si="19"/>
        <v>0</v>
      </c>
      <c r="U25" s="6">
        <f t="shared" si="20"/>
        <v>0</v>
      </c>
      <c r="V25" s="6">
        <f t="shared" si="21"/>
        <v>0</v>
      </c>
      <c r="W25" s="6">
        <f t="shared" si="22"/>
        <v>0</v>
      </c>
      <c r="X25" s="6">
        <f t="shared" si="23"/>
        <v>0</v>
      </c>
      <c r="Y25" s="6">
        <f t="shared" si="24"/>
        <v>0</v>
      </c>
      <c r="Z25" s="6">
        <f t="shared" si="25"/>
        <v>0</v>
      </c>
      <c r="AA25" s="6">
        <f t="shared" si="26"/>
        <v>0</v>
      </c>
    </row>
    <row r="26" spans="1:27">
      <c r="A26" t="s">
        <v>29</v>
      </c>
      <c r="B26" s="23"/>
      <c r="D26" s="11"/>
      <c r="F26" s="78"/>
      <c r="G26" s="78"/>
      <c r="H26" s="24"/>
      <c r="I26" s="24"/>
      <c r="J26" s="24"/>
      <c r="K26" s="24"/>
      <c r="L26" s="24"/>
      <c r="M26" s="24"/>
      <c r="N26" s="24">
        <f t="shared" si="0"/>
        <v>0</v>
      </c>
      <c r="O26" s="4">
        <f t="shared" si="14"/>
        <v>0</v>
      </c>
      <c r="P26" s="6">
        <f t="shared" si="15"/>
        <v>0</v>
      </c>
      <c r="Q26" s="6">
        <f t="shared" si="16"/>
        <v>0</v>
      </c>
      <c r="R26" s="6">
        <f t="shared" si="17"/>
        <v>0</v>
      </c>
      <c r="S26" s="6">
        <f t="shared" si="18"/>
        <v>0</v>
      </c>
      <c r="T26" s="6">
        <f t="shared" si="19"/>
        <v>0</v>
      </c>
      <c r="U26" s="6">
        <f t="shared" si="20"/>
        <v>0</v>
      </c>
      <c r="V26" s="6">
        <f t="shared" si="21"/>
        <v>0</v>
      </c>
      <c r="W26" s="6">
        <f t="shared" si="22"/>
        <v>0</v>
      </c>
      <c r="X26" s="6">
        <f t="shared" si="23"/>
        <v>0</v>
      </c>
      <c r="Y26" s="6">
        <f t="shared" si="24"/>
        <v>0</v>
      </c>
      <c r="Z26" s="6">
        <f t="shared" si="25"/>
        <v>0</v>
      </c>
      <c r="AA26" s="6">
        <f t="shared" si="26"/>
        <v>0</v>
      </c>
    </row>
    <row r="27" spans="1:27">
      <c r="A27" t="s">
        <v>116</v>
      </c>
      <c r="B27" s="23"/>
      <c r="D27" s="11"/>
      <c r="F27" s="78"/>
      <c r="G27" s="78"/>
      <c r="H27" s="24"/>
      <c r="I27" s="24"/>
      <c r="J27" s="24"/>
      <c r="K27" s="24"/>
      <c r="L27" s="24"/>
      <c r="M27" s="24"/>
      <c r="N27" s="24">
        <f t="shared" si="0"/>
        <v>0</v>
      </c>
      <c r="O27" s="4">
        <f t="shared" si="14"/>
        <v>0</v>
      </c>
      <c r="P27" s="6">
        <f t="shared" si="15"/>
        <v>0</v>
      </c>
      <c r="Q27" s="6">
        <f t="shared" si="16"/>
        <v>0</v>
      </c>
      <c r="R27" s="6">
        <f t="shared" si="17"/>
        <v>0</v>
      </c>
      <c r="S27" s="6">
        <f t="shared" si="18"/>
        <v>0</v>
      </c>
      <c r="T27" s="6">
        <f t="shared" si="19"/>
        <v>0</v>
      </c>
      <c r="U27" s="6">
        <f t="shared" si="20"/>
        <v>0</v>
      </c>
      <c r="V27" s="6">
        <f t="shared" si="21"/>
        <v>0</v>
      </c>
      <c r="W27" s="6">
        <f t="shared" si="22"/>
        <v>0</v>
      </c>
      <c r="X27" s="6">
        <f t="shared" si="23"/>
        <v>0</v>
      </c>
      <c r="Y27" s="6">
        <f t="shared" si="24"/>
        <v>0</v>
      </c>
      <c r="Z27" s="6">
        <f t="shared" si="25"/>
        <v>0</v>
      </c>
      <c r="AA27" s="6">
        <f t="shared" si="26"/>
        <v>0</v>
      </c>
    </row>
    <row r="28" spans="1:27">
      <c r="A28" t="s">
        <v>115</v>
      </c>
      <c r="B28" s="23"/>
      <c r="D28" s="11"/>
      <c r="F28" s="78"/>
      <c r="G28" s="78"/>
      <c r="H28" s="24"/>
      <c r="I28" s="24"/>
      <c r="J28" s="24"/>
      <c r="K28" s="24"/>
      <c r="L28" s="24"/>
      <c r="M28" s="24"/>
      <c r="N28" s="24">
        <f t="shared" si="0"/>
        <v>0</v>
      </c>
      <c r="O28" s="4">
        <f t="shared" si="14"/>
        <v>0</v>
      </c>
      <c r="P28" s="6">
        <f t="shared" si="15"/>
        <v>0</v>
      </c>
      <c r="Q28" s="6">
        <f t="shared" si="16"/>
        <v>0</v>
      </c>
      <c r="R28" s="6">
        <f t="shared" si="17"/>
        <v>0</v>
      </c>
      <c r="S28" s="6">
        <f t="shared" si="18"/>
        <v>0</v>
      </c>
      <c r="T28" s="6">
        <f t="shared" si="19"/>
        <v>0</v>
      </c>
      <c r="U28" s="6">
        <f t="shared" si="20"/>
        <v>0</v>
      </c>
      <c r="V28" s="6">
        <f t="shared" si="21"/>
        <v>0</v>
      </c>
      <c r="W28" s="6">
        <f t="shared" si="22"/>
        <v>0</v>
      </c>
      <c r="X28" s="6">
        <f t="shared" si="23"/>
        <v>0</v>
      </c>
      <c r="Y28" s="6">
        <f t="shared" si="24"/>
        <v>0</v>
      </c>
      <c r="Z28" s="6">
        <f t="shared" si="25"/>
        <v>0</v>
      </c>
      <c r="AA28" s="6">
        <f t="shared" si="26"/>
        <v>0</v>
      </c>
    </row>
    <row r="29" spans="1:27">
      <c r="A29" t="s">
        <v>57</v>
      </c>
      <c r="B29" s="23"/>
      <c r="D29" s="11"/>
      <c r="F29" s="78"/>
      <c r="G29" s="78"/>
      <c r="H29" s="24"/>
      <c r="I29" s="24"/>
      <c r="J29" s="24"/>
      <c r="K29" s="24"/>
      <c r="L29" s="24"/>
      <c r="M29" s="24"/>
      <c r="N29" s="24">
        <f t="shared" si="0"/>
        <v>0</v>
      </c>
      <c r="O29" s="4">
        <f t="shared" si="14"/>
        <v>0</v>
      </c>
      <c r="P29" s="6">
        <f t="shared" si="15"/>
        <v>0</v>
      </c>
      <c r="Q29" s="6">
        <f t="shared" si="16"/>
        <v>0</v>
      </c>
      <c r="R29" s="6">
        <f t="shared" si="17"/>
        <v>0</v>
      </c>
      <c r="S29" s="6">
        <f t="shared" si="18"/>
        <v>0</v>
      </c>
      <c r="T29" s="6">
        <f t="shared" si="19"/>
        <v>0</v>
      </c>
      <c r="U29" s="6">
        <f t="shared" si="20"/>
        <v>0</v>
      </c>
      <c r="V29" s="6">
        <f t="shared" si="21"/>
        <v>0</v>
      </c>
      <c r="W29" s="6">
        <f t="shared" si="22"/>
        <v>0</v>
      </c>
      <c r="X29" s="6">
        <f t="shared" si="23"/>
        <v>0</v>
      </c>
      <c r="Y29" s="6">
        <f t="shared" si="24"/>
        <v>0</v>
      </c>
      <c r="Z29" s="6">
        <f t="shared" si="25"/>
        <v>0</v>
      </c>
      <c r="AA29" s="6">
        <f t="shared" si="26"/>
        <v>0</v>
      </c>
    </row>
    <row r="30" spans="1:27">
      <c r="A30" t="s">
        <v>31</v>
      </c>
      <c r="B30" s="23"/>
      <c r="D30" s="11"/>
      <c r="F30" s="78"/>
      <c r="G30" s="78"/>
      <c r="H30" s="24"/>
      <c r="I30" s="24"/>
      <c r="J30" s="24"/>
      <c r="K30" s="24"/>
      <c r="L30" s="24"/>
      <c r="M30" s="24"/>
      <c r="N30" s="24">
        <f t="shared" si="0"/>
        <v>0</v>
      </c>
      <c r="O30" s="4">
        <f t="shared" si="14"/>
        <v>0</v>
      </c>
      <c r="P30" s="6">
        <f t="shared" si="15"/>
        <v>0</v>
      </c>
      <c r="Q30" s="6">
        <f t="shared" si="16"/>
        <v>0</v>
      </c>
      <c r="R30" s="6">
        <f t="shared" si="17"/>
        <v>0</v>
      </c>
      <c r="S30" s="6">
        <f t="shared" si="18"/>
        <v>0</v>
      </c>
      <c r="T30" s="6">
        <f t="shared" si="19"/>
        <v>0</v>
      </c>
      <c r="U30" s="6">
        <f t="shared" si="20"/>
        <v>0</v>
      </c>
      <c r="V30" s="6">
        <f t="shared" si="21"/>
        <v>0</v>
      </c>
      <c r="W30" s="6">
        <f t="shared" si="22"/>
        <v>0</v>
      </c>
      <c r="X30" s="6">
        <f t="shared" si="23"/>
        <v>0</v>
      </c>
      <c r="Y30" s="6">
        <f t="shared" si="24"/>
        <v>0</v>
      </c>
      <c r="Z30" s="6">
        <f t="shared" si="25"/>
        <v>0</v>
      </c>
      <c r="AA30" s="6">
        <f t="shared" si="26"/>
        <v>0</v>
      </c>
    </row>
    <row r="31" spans="1:27">
      <c r="A31" t="s">
        <v>133</v>
      </c>
      <c r="B31" s="23"/>
      <c r="D31" s="11"/>
      <c r="F31" s="78"/>
      <c r="G31" s="78"/>
      <c r="H31" s="24"/>
      <c r="I31" s="24"/>
      <c r="J31" s="24">
        <v>30070</v>
      </c>
      <c r="K31" s="24"/>
      <c r="L31" s="24">
        <v>2040</v>
      </c>
      <c r="M31" s="24"/>
      <c r="N31" s="24">
        <f t="shared" si="0"/>
        <v>32110</v>
      </c>
      <c r="O31" s="4">
        <f t="shared" si="14"/>
        <v>0</v>
      </c>
      <c r="P31" s="6">
        <f t="shared" si="15"/>
        <v>0</v>
      </c>
      <c r="Q31" s="6">
        <f t="shared" si="16"/>
        <v>0</v>
      </c>
      <c r="R31" s="6">
        <f t="shared" si="17"/>
        <v>0</v>
      </c>
      <c r="S31" s="6">
        <f t="shared" si="18"/>
        <v>0</v>
      </c>
      <c r="T31" s="6">
        <f t="shared" si="19"/>
        <v>0</v>
      </c>
      <c r="U31" s="6">
        <f t="shared" si="20"/>
        <v>0</v>
      </c>
      <c r="V31" s="6">
        <f t="shared" si="21"/>
        <v>0</v>
      </c>
      <c r="W31" s="6">
        <f t="shared" si="22"/>
        <v>35273.554804804808</v>
      </c>
      <c r="X31" s="6">
        <f t="shared" si="23"/>
        <v>0</v>
      </c>
      <c r="Y31" s="6">
        <f t="shared" si="24"/>
        <v>2358.3269750988416</v>
      </c>
      <c r="Z31" s="6">
        <f t="shared" si="25"/>
        <v>0</v>
      </c>
      <c r="AA31" s="6">
        <f t="shared" si="26"/>
        <v>37631.881779903648</v>
      </c>
    </row>
    <row r="32" spans="1:27">
      <c r="A32" t="s">
        <v>134</v>
      </c>
      <c r="D32" s="11"/>
      <c r="F32" s="78"/>
      <c r="G32" s="78"/>
      <c r="H32" s="24"/>
      <c r="I32" s="24"/>
      <c r="J32" s="24"/>
      <c r="K32" s="24"/>
      <c r="L32" s="24"/>
      <c r="M32" s="24"/>
      <c r="N32" s="24">
        <f t="shared" si="0"/>
        <v>0</v>
      </c>
      <c r="O32" s="4">
        <f t="shared" si="14"/>
        <v>0</v>
      </c>
      <c r="P32" s="6">
        <f t="shared" si="15"/>
        <v>0</v>
      </c>
      <c r="Q32" s="6">
        <f t="shared" si="16"/>
        <v>0</v>
      </c>
      <c r="R32" s="6">
        <f t="shared" si="17"/>
        <v>0</v>
      </c>
      <c r="S32" s="6">
        <f t="shared" si="18"/>
        <v>0</v>
      </c>
      <c r="T32" s="6">
        <f t="shared" si="19"/>
        <v>0</v>
      </c>
      <c r="U32" s="6">
        <f t="shared" si="20"/>
        <v>0</v>
      </c>
      <c r="V32" s="6">
        <f t="shared" si="21"/>
        <v>0</v>
      </c>
      <c r="W32" s="6">
        <f t="shared" si="22"/>
        <v>0</v>
      </c>
      <c r="X32" s="6">
        <f t="shared" si="23"/>
        <v>0</v>
      </c>
      <c r="Y32" s="6">
        <f t="shared" si="24"/>
        <v>0</v>
      </c>
      <c r="Z32" s="6">
        <f t="shared" si="25"/>
        <v>0</v>
      </c>
      <c r="AA32" s="6">
        <f t="shared" si="26"/>
        <v>0</v>
      </c>
    </row>
    <row r="33" spans="1:27">
      <c r="A33" t="s">
        <v>135</v>
      </c>
      <c r="D33" s="11"/>
      <c r="F33" s="78"/>
      <c r="G33" s="78"/>
      <c r="H33" s="24"/>
      <c r="I33" s="24"/>
      <c r="J33" s="24"/>
      <c r="K33" s="24"/>
      <c r="L33" s="24"/>
      <c r="M33" s="24"/>
      <c r="N33" s="24">
        <f t="shared" si="0"/>
        <v>0</v>
      </c>
      <c r="O33" s="4">
        <f t="shared" si="14"/>
        <v>0</v>
      </c>
      <c r="P33" s="6">
        <f t="shared" si="15"/>
        <v>0</v>
      </c>
      <c r="Q33" s="6">
        <f t="shared" si="16"/>
        <v>0</v>
      </c>
      <c r="R33" s="6">
        <f t="shared" si="17"/>
        <v>0</v>
      </c>
      <c r="S33" s="6">
        <f t="shared" si="18"/>
        <v>0</v>
      </c>
      <c r="T33" s="6">
        <f t="shared" si="19"/>
        <v>0</v>
      </c>
      <c r="U33" s="6">
        <f t="shared" si="20"/>
        <v>0</v>
      </c>
      <c r="V33" s="6">
        <f t="shared" si="21"/>
        <v>0</v>
      </c>
      <c r="W33" s="6">
        <f t="shared" si="22"/>
        <v>0</v>
      </c>
      <c r="X33" s="6">
        <f t="shared" si="23"/>
        <v>0</v>
      </c>
      <c r="Y33" s="6">
        <f t="shared" si="24"/>
        <v>0</v>
      </c>
      <c r="Z33" s="6">
        <f t="shared" si="25"/>
        <v>0</v>
      </c>
      <c r="AA33" s="6">
        <f t="shared" si="26"/>
        <v>0</v>
      </c>
    </row>
    <row r="34" spans="1:27">
      <c r="A34" t="s">
        <v>35</v>
      </c>
      <c r="F34" s="78"/>
      <c r="G34" s="78"/>
      <c r="H34" s="24"/>
      <c r="I34" s="24"/>
      <c r="J34" s="24"/>
      <c r="K34" s="24"/>
      <c r="L34" s="24"/>
      <c r="M34" s="24"/>
      <c r="N34" s="24">
        <f t="shared" si="0"/>
        <v>0</v>
      </c>
      <c r="O34" s="4">
        <f t="shared" si="14"/>
        <v>0</v>
      </c>
      <c r="P34" s="6">
        <f t="shared" si="15"/>
        <v>0</v>
      </c>
      <c r="Q34" s="6">
        <f t="shared" si="16"/>
        <v>0</v>
      </c>
      <c r="R34" s="6">
        <f t="shared" si="17"/>
        <v>0</v>
      </c>
      <c r="S34" s="6">
        <f t="shared" si="18"/>
        <v>0</v>
      </c>
      <c r="T34" s="6">
        <f t="shared" si="19"/>
        <v>0</v>
      </c>
      <c r="U34" s="6">
        <f t="shared" si="20"/>
        <v>0</v>
      </c>
      <c r="V34" s="6">
        <f t="shared" si="21"/>
        <v>0</v>
      </c>
      <c r="W34" s="6">
        <f t="shared" si="22"/>
        <v>0</v>
      </c>
      <c r="X34" s="6">
        <f t="shared" si="23"/>
        <v>0</v>
      </c>
      <c r="Y34" s="6">
        <f t="shared" si="24"/>
        <v>0</v>
      </c>
      <c r="Z34" s="6">
        <f t="shared" si="25"/>
        <v>0</v>
      </c>
      <c r="AA34" s="6">
        <f t="shared" si="26"/>
        <v>0</v>
      </c>
    </row>
    <row r="35" spans="1:27">
      <c r="A35" t="s">
        <v>24</v>
      </c>
      <c r="D35" s="11">
        <v>2550</v>
      </c>
      <c r="F35" s="78">
        <v>2550</v>
      </c>
      <c r="G35" s="78"/>
      <c r="H35" s="24"/>
      <c r="I35" s="24">
        <v>666.67</v>
      </c>
      <c r="J35" s="25"/>
      <c r="K35" s="24"/>
      <c r="L35" s="24">
        <v>8400</v>
      </c>
      <c r="M35" s="24">
        <v>-66.67</v>
      </c>
      <c r="N35" s="24">
        <f t="shared" si="0"/>
        <v>14100</v>
      </c>
      <c r="O35" s="4">
        <f t="shared" si="14"/>
        <v>0</v>
      </c>
      <c r="P35" s="6">
        <f t="shared" si="15"/>
        <v>0</v>
      </c>
      <c r="Q35" s="6">
        <f t="shared" si="16"/>
        <v>2749.8894652273784</v>
      </c>
      <c r="R35" s="6">
        <f t="shared" si="17"/>
        <v>0</v>
      </c>
      <c r="S35" s="6">
        <f t="shared" si="18"/>
        <v>2875.9290378607602</v>
      </c>
      <c r="T35" s="6">
        <f t="shared" si="19"/>
        <v>0</v>
      </c>
      <c r="U35" s="6">
        <f t="shared" si="20"/>
        <v>0</v>
      </c>
      <c r="V35" s="6">
        <f t="shared" si="21"/>
        <v>776.48881279336558</v>
      </c>
      <c r="W35" s="6">
        <f t="shared" si="22"/>
        <v>0</v>
      </c>
      <c r="X35" s="6">
        <f t="shared" si="23"/>
        <v>0</v>
      </c>
      <c r="Y35" s="6">
        <f t="shared" si="24"/>
        <v>9710.7581327599364</v>
      </c>
      <c r="Z35" s="6">
        <f t="shared" si="25"/>
        <v>-78.088032045726067</v>
      </c>
      <c r="AA35" s="6">
        <f t="shared" si="26"/>
        <v>16034.977416595715</v>
      </c>
    </row>
    <row r="36" spans="1:27">
      <c r="A36" t="s">
        <v>118</v>
      </c>
      <c r="D36" s="11"/>
      <c r="F36" s="78"/>
      <c r="G36" s="78"/>
      <c r="H36" s="24"/>
      <c r="I36" s="24">
        <v>2850</v>
      </c>
      <c r="J36" s="24"/>
      <c r="K36" s="24"/>
      <c r="L36" s="24"/>
      <c r="M36" s="24"/>
      <c r="N36" s="24">
        <f t="shared" si="0"/>
        <v>2850</v>
      </c>
      <c r="O36" s="4">
        <f t="shared" si="14"/>
        <v>0</v>
      </c>
      <c r="P36" s="6">
        <f t="shared" si="15"/>
        <v>0</v>
      </c>
      <c r="Q36" s="6">
        <f t="shared" si="16"/>
        <v>0</v>
      </c>
      <c r="R36" s="6">
        <f t="shared" si="17"/>
        <v>0</v>
      </c>
      <c r="S36" s="6">
        <f t="shared" si="18"/>
        <v>0</v>
      </c>
      <c r="T36" s="6">
        <f t="shared" si="19"/>
        <v>0</v>
      </c>
      <c r="U36" s="6">
        <f t="shared" si="20"/>
        <v>0</v>
      </c>
      <c r="V36" s="6">
        <f t="shared" si="21"/>
        <v>3319.4730773262518</v>
      </c>
      <c r="W36" s="6">
        <f t="shared" si="22"/>
        <v>0</v>
      </c>
      <c r="X36" s="6">
        <f t="shared" si="23"/>
        <v>0</v>
      </c>
      <c r="Y36" s="6">
        <f t="shared" si="24"/>
        <v>0</v>
      </c>
      <c r="Z36" s="6">
        <f t="shared" si="25"/>
        <v>0</v>
      </c>
      <c r="AA36" s="6">
        <f t="shared" si="26"/>
        <v>3319.4730773262518</v>
      </c>
    </row>
    <row r="37" spans="1:27">
      <c r="A37" t="s">
        <v>125</v>
      </c>
      <c r="D37" s="11"/>
      <c r="F37" s="78"/>
      <c r="G37" s="78"/>
      <c r="H37" s="24"/>
      <c r="I37" s="24"/>
      <c r="J37" s="24"/>
      <c r="K37" s="24"/>
      <c r="L37" s="24"/>
      <c r="M37" s="24"/>
      <c r="N37" s="24">
        <f t="shared" si="0"/>
        <v>0</v>
      </c>
      <c r="O37" s="4">
        <f t="shared" si="14"/>
        <v>0</v>
      </c>
      <c r="P37" s="6">
        <f t="shared" si="15"/>
        <v>0</v>
      </c>
      <c r="Q37" s="6">
        <f t="shared" si="16"/>
        <v>0</v>
      </c>
      <c r="R37" s="6">
        <f t="shared" si="17"/>
        <v>0</v>
      </c>
      <c r="S37" s="6">
        <f t="shared" si="18"/>
        <v>0</v>
      </c>
      <c r="T37" s="6">
        <f t="shared" si="19"/>
        <v>0</v>
      </c>
      <c r="U37" s="6">
        <f t="shared" si="20"/>
        <v>0</v>
      </c>
      <c r="V37" s="6">
        <f t="shared" si="21"/>
        <v>0</v>
      </c>
      <c r="W37" s="6">
        <f t="shared" si="22"/>
        <v>0</v>
      </c>
      <c r="X37" s="6">
        <f t="shared" si="23"/>
        <v>0</v>
      </c>
      <c r="Y37" s="6">
        <f t="shared" si="24"/>
        <v>0</v>
      </c>
      <c r="Z37" s="6">
        <f t="shared" si="25"/>
        <v>0</v>
      </c>
      <c r="AA37" s="6">
        <f t="shared" si="26"/>
        <v>0</v>
      </c>
    </row>
    <row r="38" spans="1:27">
      <c r="A38" t="s">
        <v>117</v>
      </c>
      <c r="B38">
        <v>149.11000000000001</v>
      </c>
      <c r="C38">
        <v>139.78</v>
      </c>
      <c r="D38" s="11">
        <v>-0.79</v>
      </c>
      <c r="F38" s="78">
        <v>4550</v>
      </c>
      <c r="G38" s="78">
        <v>14800</v>
      </c>
      <c r="H38" s="82">
        <v>-0.31</v>
      </c>
      <c r="I38" s="24"/>
      <c r="J38" s="24"/>
      <c r="K38" s="24"/>
      <c r="L38" s="24"/>
      <c r="M38" s="24">
        <v>1900</v>
      </c>
      <c r="N38" s="24">
        <f t="shared" si="0"/>
        <v>21537.789999999997</v>
      </c>
      <c r="O38" s="4">
        <f t="shared" si="14"/>
        <v>154.27353522394546</v>
      </c>
      <c r="P38" s="6">
        <f t="shared" si="15"/>
        <v>145.523825388067</v>
      </c>
      <c r="Q38" s="6">
        <f t="shared" si="16"/>
        <v>-0.85192654020769765</v>
      </c>
      <c r="R38" s="6">
        <f t="shared" si="17"/>
        <v>0</v>
      </c>
      <c r="S38" s="6">
        <f t="shared" si="18"/>
        <v>5131.5596557907684</v>
      </c>
      <c r="T38" s="6">
        <f t="shared" si="19"/>
        <v>17049.316299376776</v>
      </c>
      <c r="U38" s="6">
        <f t="shared" si="20"/>
        <v>-0.36227649877293444</v>
      </c>
      <c r="V38" s="6">
        <f t="shared" si="21"/>
        <v>0</v>
      </c>
      <c r="W38" s="6">
        <f t="shared" si="22"/>
        <v>0</v>
      </c>
      <c r="X38" s="6">
        <f t="shared" si="23"/>
        <v>0</v>
      </c>
      <c r="Y38" s="6">
        <f t="shared" si="24"/>
        <v>0</v>
      </c>
      <c r="Z38" s="6">
        <f t="shared" si="25"/>
        <v>2225.3976434210217</v>
      </c>
      <c r="AA38" s="6">
        <f t="shared" si="26"/>
        <v>24704.8567561616</v>
      </c>
    </row>
    <row r="39" spans="1:27">
      <c r="A39" t="s">
        <v>124</v>
      </c>
      <c r="D39" s="11"/>
      <c r="F39" s="78"/>
      <c r="G39" s="78"/>
      <c r="H39" s="24"/>
      <c r="I39" s="24">
        <v>900</v>
      </c>
      <c r="J39" s="24"/>
      <c r="K39" s="24"/>
      <c r="L39" s="24"/>
      <c r="M39" s="24">
        <v>1350</v>
      </c>
      <c r="N39" s="24">
        <f t="shared" si="0"/>
        <v>2250</v>
      </c>
      <c r="O39" s="4">
        <f t="shared" si="14"/>
        <v>0</v>
      </c>
      <c r="P39" s="6">
        <f t="shared" si="15"/>
        <v>0</v>
      </c>
      <c r="Q39" s="6">
        <f t="shared" si="16"/>
        <v>0</v>
      </c>
      <c r="R39" s="6">
        <f t="shared" si="17"/>
        <v>0</v>
      </c>
      <c r="S39" s="6">
        <f t="shared" si="18"/>
        <v>0</v>
      </c>
      <c r="T39" s="6">
        <f t="shared" si="19"/>
        <v>0</v>
      </c>
      <c r="U39" s="6">
        <f t="shared" si="20"/>
        <v>0</v>
      </c>
      <c r="V39" s="6">
        <f t="shared" si="21"/>
        <v>1048.2546559977636</v>
      </c>
      <c r="W39" s="6">
        <f t="shared" si="22"/>
        <v>0</v>
      </c>
      <c r="X39" s="6">
        <f t="shared" si="23"/>
        <v>0</v>
      </c>
      <c r="Y39" s="6">
        <f t="shared" si="24"/>
        <v>0</v>
      </c>
      <c r="Z39" s="6">
        <f t="shared" si="25"/>
        <v>1581.2035887465156</v>
      </c>
      <c r="AA39" s="6">
        <f t="shared" si="26"/>
        <v>2629.458244744279</v>
      </c>
    </row>
    <row r="40" spans="1:27">
      <c r="A40" t="s">
        <v>128</v>
      </c>
      <c r="B40" s="23"/>
      <c r="D40" s="11"/>
      <c r="F40" s="78"/>
      <c r="G40" s="78"/>
      <c r="H40" s="24"/>
      <c r="I40" s="24"/>
      <c r="J40" s="24"/>
      <c r="K40" s="24"/>
      <c r="L40" s="24"/>
      <c r="M40" s="24"/>
      <c r="N40" s="24">
        <f t="shared" si="0"/>
        <v>0</v>
      </c>
      <c r="O40" s="4">
        <f t="shared" si="14"/>
        <v>0</v>
      </c>
      <c r="P40" s="6">
        <f t="shared" si="15"/>
        <v>0</v>
      </c>
      <c r="Q40" s="6">
        <f t="shared" si="16"/>
        <v>0</v>
      </c>
      <c r="R40" s="6">
        <f t="shared" si="17"/>
        <v>0</v>
      </c>
      <c r="S40" s="6">
        <f t="shared" si="18"/>
        <v>0</v>
      </c>
      <c r="T40" s="6">
        <f t="shared" si="19"/>
        <v>0</v>
      </c>
      <c r="U40" s="6">
        <f t="shared" si="20"/>
        <v>0</v>
      </c>
      <c r="V40" s="6">
        <f t="shared" si="21"/>
        <v>0</v>
      </c>
      <c r="W40" s="6">
        <f t="shared" si="22"/>
        <v>0</v>
      </c>
      <c r="X40" s="6">
        <f t="shared" si="23"/>
        <v>0</v>
      </c>
      <c r="Y40" s="6">
        <f t="shared" si="24"/>
        <v>0</v>
      </c>
      <c r="Z40" s="6">
        <f t="shared" si="25"/>
        <v>0</v>
      </c>
      <c r="AA40" s="6">
        <f t="shared" si="26"/>
        <v>0</v>
      </c>
    </row>
    <row r="41" spans="1:27">
      <c r="A41" t="s">
        <v>25</v>
      </c>
      <c r="B41" s="23"/>
      <c r="D41" s="11"/>
      <c r="G41" s="78"/>
      <c r="H41" s="24"/>
      <c r="I41" s="24"/>
      <c r="J41" s="24"/>
      <c r="K41" s="24"/>
      <c r="L41" s="24"/>
      <c r="M41" s="24"/>
      <c r="N41" s="24">
        <f t="shared" si="0"/>
        <v>0</v>
      </c>
      <c r="O41" s="4">
        <f t="shared" si="14"/>
        <v>0</v>
      </c>
      <c r="P41" s="6">
        <f t="shared" si="15"/>
        <v>0</v>
      </c>
      <c r="Q41" s="6">
        <f t="shared" si="16"/>
        <v>0</v>
      </c>
      <c r="R41" s="6">
        <f t="shared" si="17"/>
        <v>0</v>
      </c>
      <c r="S41" s="6">
        <f t="shared" si="18"/>
        <v>0</v>
      </c>
      <c r="T41" s="6">
        <f t="shared" si="19"/>
        <v>0</v>
      </c>
      <c r="U41" s="6">
        <f t="shared" si="20"/>
        <v>0</v>
      </c>
      <c r="V41" s="6">
        <f t="shared" si="21"/>
        <v>0</v>
      </c>
      <c r="W41" s="6">
        <f t="shared" si="22"/>
        <v>0</v>
      </c>
      <c r="X41" s="6">
        <f t="shared" si="23"/>
        <v>0</v>
      </c>
      <c r="Y41" s="6">
        <f t="shared" si="24"/>
        <v>0</v>
      </c>
      <c r="Z41" s="6">
        <f t="shared" si="25"/>
        <v>0</v>
      </c>
      <c r="AA41" s="6">
        <f t="shared" si="26"/>
        <v>0</v>
      </c>
    </row>
    <row r="42" spans="1:27">
      <c r="A42" t="s">
        <v>92</v>
      </c>
      <c r="B42" s="23"/>
      <c r="D42" s="11"/>
      <c r="F42" s="78"/>
      <c r="G42" s="78"/>
      <c r="H42" s="24"/>
      <c r="I42" s="24"/>
      <c r="J42" s="24"/>
      <c r="K42" s="24"/>
      <c r="L42" s="24"/>
      <c r="M42" s="24"/>
      <c r="N42" s="24">
        <f t="shared" si="0"/>
        <v>0</v>
      </c>
      <c r="O42" s="4">
        <f t="shared" si="14"/>
        <v>0</v>
      </c>
      <c r="P42" s="6">
        <f t="shared" si="15"/>
        <v>0</v>
      </c>
      <c r="Q42" s="6">
        <f t="shared" si="16"/>
        <v>0</v>
      </c>
      <c r="R42" s="6">
        <f t="shared" si="17"/>
        <v>0</v>
      </c>
      <c r="S42" s="6">
        <f t="shared" si="18"/>
        <v>0</v>
      </c>
      <c r="T42" s="6">
        <f t="shared" si="19"/>
        <v>0</v>
      </c>
      <c r="U42" s="6">
        <f t="shared" si="20"/>
        <v>0</v>
      </c>
      <c r="V42" s="6">
        <f t="shared" si="21"/>
        <v>0</v>
      </c>
      <c r="W42" s="6">
        <f t="shared" si="22"/>
        <v>0</v>
      </c>
      <c r="X42" s="6">
        <f t="shared" si="23"/>
        <v>0</v>
      </c>
      <c r="Y42" s="6">
        <f t="shared" si="24"/>
        <v>0</v>
      </c>
      <c r="Z42" s="6">
        <f t="shared" si="25"/>
        <v>0</v>
      </c>
      <c r="AA42" s="6">
        <f t="shared" si="26"/>
        <v>0</v>
      </c>
    </row>
    <row r="43" spans="1:27">
      <c r="A43" t="s">
        <v>119</v>
      </c>
      <c r="B43" s="23"/>
      <c r="D43" s="11"/>
      <c r="F43" s="78"/>
      <c r="G43" s="78"/>
      <c r="H43" s="24"/>
      <c r="I43" s="24"/>
      <c r="J43" s="24"/>
      <c r="K43" s="24"/>
      <c r="L43" s="24"/>
      <c r="M43" s="24"/>
      <c r="N43" s="24">
        <f t="shared" si="0"/>
        <v>0</v>
      </c>
      <c r="O43" s="4">
        <f t="shared" si="14"/>
        <v>0</v>
      </c>
      <c r="P43" s="6">
        <f t="shared" si="15"/>
        <v>0</v>
      </c>
      <c r="Q43" s="6">
        <f t="shared" si="16"/>
        <v>0</v>
      </c>
      <c r="R43" s="6">
        <f t="shared" si="17"/>
        <v>0</v>
      </c>
      <c r="S43" s="6">
        <f t="shared" si="18"/>
        <v>0</v>
      </c>
      <c r="T43" s="6">
        <f t="shared" si="19"/>
        <v>0</v>
      </c>
      <c r="U43" s="6">
        <f t="shared" si="20"/>
        <v>0</v>
      </c>
      <c r="V43" s="6">
        <f t="shared" si="21"/>
        <v>0</v>
      </c>
      <c r="W43" s="6">
        <f t="shared" si="22"/>
        <v>0</v>
      </c>
      <c r="X43" s="6">
        <f t="shared" si="23"/>
        <v>0</v>
      </c>
      <c r="Y43" s="6">
        <f t="shared" si="24"/>
        <v>0</v>
      </c>
      <c r="Z43" s="6">
        <f t="shared" si="25"/>
        <v>0</v>
      </c>
      <c r="AA43" s="6">
        <f t="shared" si="26"/>
        <v>0</v>
      </c>
    </row>
    <row r="44" spans="1:27">
      <c r="A44" t="s">
        <v>122</v>
      </c>
      <c r="D44" s="11"/>
      <c r="F44" s="78"/>
      <c r="G44" s="78"/>
      <c r="H44" s="24"/>
      <c r="I44" s="24"/>
      <c r="J44" s="25"/>
      <c r="K44" s="24"/>
      <c r="L44" s="24"/>
      <c r="M44" s="24"/>
      <c r="N44" s="24">
        <f t="shared" si="0"/>
        <v>0</v>
      </c>
      <c r="O44" s="4">
        <f t="shared" si="14"/>
        <v>0</v>
      </c>
      <c r="P44" s="6">
        <f t="shared" si="15"/>
        <v>0</v>
      </c>
      <c r="Q44" s="6">
        <f t="shared" si="16"/>
        <v>0</v>
      </c>
      <c r="R44" s="6">
        <f t="shared" si="17"/>
        <v>0</v>
      </c>
      <c r="S44" s="6">
        <f t="shared" si="18"/>
        <v>0</v>
      </c>
      <c r="T44" s="6">
        <f t="shared" si="19"/>
        <v>0</v>
      </c>
      <c r="U44" s="6">
        <f t="shared" si="20"/>
        <v>0</v>
      </c>
      <c r="V44" s="6">
        <f t="shared" si="21"/>
        <v>0</v>
      </c>
      <c r="W44" s="6">
        <f t="shared" si="22"/>
        <v>0</v>
      </c>
      <c r="X44" s="6">
        <f t="shared" si="23"/>
        <v>0</v>
      </c>
      <c r="Y44" s="6">
        <f t="shared" si="24"/>
        <v>0</v>
      </c>
      <c r="Z44" s="6">
        <f t="shared" si="25"/>
        <v>0</v>
      </c>
      <c r="AA44" s="6">
        <f t="shared" si="26"/>
        <v>0</v>
      </c>
    </row>
    <row r="45" spans="1:27">
      <c r="A45" t="s">
        <v>126</v>
      </c>
      <c r="D45" s="11"/>
      <c r="F45" s="78"/>
      <c r="G45" s="78"/>
      <c r="H45" s="24"/>
      <c r="I45" s="24"/>
      <c r="J45" s="24"/>
      <c r="K45" s="24"/>
      <c r="L45" s="24"/>
      <c r="M45" s="24"/>
      <c r="N45" s="24">
        <f t="shared" si="0"/>
        <v>0</v>
      </c>
      <c r="O45" s="4">
        <f t="shared" si="14"/>
        <v>0</v>
      </c>
      <c r="P45" s="6">
        <f t="shared" si="15"/>
        <v>0</v>
      </c>
      <c r="Q45" s="6">
        <f t="shared" si="16"/>
        <v>0</v>
      </c>
      <c r="R45" s="6">
        <f t="shared" si="17"/>
        <v>0</v>
      </c>
      <c r="S45" s="6">
        <f t="shared" si="18"/>
        <v>0</v>
      </c>
      <c r="T45" s="6">
        <f t="shared" si="19"/>
        <v>0</v>
      </c>
      <c r="U45" s="6">
        <f t="shared" si="20"/>
        <v>0</v>
      </c>
      <c r="V45" s="6">
        <f t="shared" si="21"/>
        <v>0</v>
      </c>
      <c r="W45" s="6">
        <f t="shared" si="22"/>
        <v>0</v>
      </c>
      <c r="X45" s="6">
        <f t="shared" si="23"/>
        <v>0</v>
      </c>
      <c r="Y45" s="6">
        <f t="shared" si="24"/>
        <v>0</v>
      </c>
      <c r="Z45" s="6">
        <f t="shared" si="25"/>
        <v>0</v>
      </c>
      <c r="AA45" s="6">
        <f t="shared" si="26"/>
        <v>0</v>
      </c>
    </row>
    <row r="46" spans="1:27">
      <c r="A46" t="s">
        <v>120</v>
      </c>
      <c r="D46" s="11"/>
      <c r="F46" s="78"/>
      <c r="G46" s="78"/>
      <c r="H46" s="24"/>
      <c r="I46" s="24"/>
      <c r="J46" s="24"/>
      <c r="K46" s="24"/>
      <c r="L46" s="24"/>
      <c r="M46" s="24"/>
      <c r="N46" s="24">
        <f t="shared" si="0"/>
        <v>0</v>
      </c>
      <c r="O46" s="4">
        <f t="shared" si="14"/>
        <v>0</v>
      </c>
      <c r="P46" s="6">
        <f t="shared" si="15"/>
        <v>0</v>
      </c>
      <c r="Q46" s="6">
        <f t="shared" si="16"/>
        <v>0</v>
      </c>
      <c r="R46" s="6">
        <f t="shared" si="17"/>
        <v>0</v>
      </c>
      <c r="S46" s="6">
        <f t="shared" si="18"/>
        <v>0</v>
      </c>
      <c r="T46" s="6">
        <f t="shared" si="19"/>
        <v>0</v>
      </c>
      <c r="U46" s="6">
        <f t="shared" si="20"/>
        <v>0</v>
      </c>
      <c r="V46" s="6">
        <f t="shared" si="21"/>
        <v>0</v>
      </c>
      <c r="W46" s="6">
        <f t="shared" si="22"/>
        <v>0</v>
      </c>
      <c r="X46" s="6">
        <f t="shared" si="23"/>
        <v>0</v>
      </c>
      <c r="Y46" s="6">
        <f t="shared" si="24"/>
        <v>0</v>
      </c>
      <c r="Z46" s="6">
        <f t="shared" si="25"/>
        <v>0</v>
      </c>
      <c r="AA46" s="6">
        <f t="shared" si="26"/>
        <v>0</v>
      </c>
    </row>
    <row r="47" spans="1:27">
      <c r="A47" t="s">
        <v>48</v>
      </c>
      <c r="D47" s="11"/>
      <c r="F47" s="78"/>
      <c r="G47" s="78"/>
      <c r="H47" s="24"/>
      <c r="I47" s="24"/>
      <c r="J47" s="24"/>
      <c r="K47" s="24"/>
      <c r="L47" s="24"/>
      <c r="M47" s="24"/>
      <c r="N47" s="24">
        <f t="shared" si="0"/>
        <v>0</v>
      </c>
      <c r="O47" s="4">
        <f t="shared" si="14"/>
        <v>0</v>
      </c>
      <c r="P47" s="6">
        <f t="shared" si="15"/>
        <v>0</v>
      </c>
      <c r="Q47" s="6">
        <f t="shared" si="16"/>
        <v>0</v>
      </c>
      <c r="R47" s="6">
        <f t="shared" si="17"/>
        <v>0</v>
      </c>
      <c r="S47" s="6">
        <f t="shared" si="18"/>
        <v>0</v>
      </c>
      <c r="T47" s="6">
        <f t="shared" si="19"/>
        <v>0</v>
      </c>
      <c r="U47" s="6">
        <f t="shared" si="20"/>
        <v>0</v>
      </c>
      <c r="V47" s="6">
        <f t="shared" si="21"/>
        <v>0</v>
      </c>
      <c r="W47" s="6">
        <f t="shared" si="22"/>
        <v>0</v>
      </c>
      <c r="X47" s="6">
        <f t="shared" si="23"/>
        <v>0</v>
      </c>
      <c r="Y47" s="6">
        <f t="shared" si="24"/>
        <v>0</v>
      </c>
      <c r="Z47" s="6">
        <f t="shared" si="25"/>
        <v>0</v>
      </c>
      <c r="AA47" s="6">
        <f t="shared" si="26"/>
        <v>0</v>
      </c>
    </row>
    <row r="48" spans="1:27">
      <c r="A48" t="s">
        <v>50</v>
      </c>
      <c r="B48" s="23"/>
      <c r="D48" s="11"/>
      <c r="F48" s="78"/>
      <c r="G48" s="78"/>
      <c r="H48" s="24"/>
      <c r="I48" s="24"/>
      <c r="J48" s="24"/>
      <c r="K48" s="24"/>
      <c r="L48" s="24"/>
      <c r="M48" s="24"/>
      <c r="N48" s="24">
        <f t="shared" si="0"/>
        <v>0</v>
      </c>
      <c r="O48" s="4">
        <f t="shared" si="14"/>
        <v>0</v>
      </c>
      <c r="P48" s="6">
        <f t="shared" si="15"/>
        <v>0</v>
      </c>
      <c r="Q48" s="6">
        <f t="shared" si="16"/>
        <v>0</v>
      </c>
      <c r="R48" s="6">
        <f t="shared" si="17"/>
        <v>0</v>
      </c>
      <c r="S48" s="6">
        <f t="shared" si="18"/>
        <v>0</v>
      </c>
      <c r="T48" s="6">
        <f t="shared" si="19"/>
        <v>0</v>
      </c>
      <c r="U48" s="6">
        <f t="shared" si="20"/>
        <v>0</v>
      </c>
      <c r="V48" s="6">
        <f t="shared" si="21"/>
        <v>0</v>
      </c>
      <c r="W48" s="6">
        <f t="shared" si="22"/>
        <v>0</v>
      </c>
      <c r="X48" s="6">
        <f t="shared" si="23"/>
        <v>0</v>
      </c>
      <c r="Y48" s="6">
        <f t="shared" si="24"/>
        <v>0</v>
      </c>
      <c r="Z48" s="6">
        <f t="shared" si="25"/>
        <v>0</v>
      </c>
      <c r="AA48" s="6">
        <f t="shared" si="26"/>
        <v>0</v>
      </c>
    </row>
    <row r="49" spans="1:27">
      <c r="A49" t="s">
        <v>98</v>
      </c>
      <c r="D49" s="11"/>
      <c r="E49">
        <v>471.54</v>
      </c>
      <c r="F49">
        <v>4039.32</v>
      </c>
      <c r="G49" s="78">
        <v>2910.92</v>
      </c>
      <c r="H49" s="24">
        <v>1552.03</v>
      </c>
      <c r="I49" s="24"/>
      <c r="J49" s="24">
        <v>157.49</v>
      </c>
      <c r="K49" s="24">
        <v>384</v>
      </c>
      <c r="L49" s="24">
        <v>84.71</v>
      </c>
      <c r="M49" s="24"/>
      <c r="N49" s="24">
        <f t="shared" si="0"/>
        <v>9600.01</v>
      </c>
      <c r="O49" s="4">
        <f t="shared" si="14"/>
        <v>0</v>
      </c>
      <c r="P49" s="6">
        <f t="shared" si="15"/>
        <v>0</v>
      </c>
      <c r="Q49" s="6">
        <f t="shared" si="16"/>
        <v>0</v>
      </c>
      <c r="R49" s="6">
        <f t="shared" si="17"/>
        <v>529.7190424300976</v>
      </c>
      <c r="S49" s="6">
        <f t="shared" si="18"/>
        <v>4555.6069338085199</v>
      </c>
      <c r="T49" s="6">
        <f t="shared" si="19"/>
        <v>3353.3240406879631</v>
      </c>
      <c r="U49" s="6">
        <f t="shared" si="20"/>
        <v>1813.7548206147014</v>
      </c>
      <c r="V49" s="6">
        <f t="shared" si="21"/>
        <v>0</v>
      </c>
      <c r="W49" s="6">
        <f t="shared" si="22"/>
        <v>184.7433370870871</v>
      </c>
      <c r="X49" s="6">
        <f t="shared" si="23"/>
        <v>447.12512517174724</v>
      </c>
      <c r="Y49" s="6">
        <f t="shared" si="24"/>
        <v>97.92837159834454</v>
      </c>
      <c r="Z49" s="6">
        <f t="shared" si="25"/>
        <v>0</v>
      </c>
      <c r="AA49" s="6">
        <f t="shared" si="26"/>
        <v>10982.201671398463</v>
      </c>
    </row>
    <row r="50" spans="1:27">
      <c r="A50" t="s">
        <v>136</v>
      </c>
      <c r="H50" s="24"/>
      <c r="I50" s="24"/>
      <c r="J50" s="24"/>
      <c r="K50" s="24"/>
      <c r="L50" s="24"/>
      <c r="M50" s="24"/>
      <c r="N50" s="24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>
      <c r="C51" s="9"/>
      <c r="E51" s="11"/>
      <c r="F51" s="24"/>
      <c r="G51" s="24"/>
      <c r="H51" s="24"/>
      <c r="I51" s="24"/>
      <c r="J51" s="24"/>
      <c r="K51" s="24"/>
      <c r="L51" s="24"/>
      <c r="M51" s="24"/>
      <c r="N51" s="24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>
      <c r="B52" s="64">
        <f>SUM(B3:B50)</f>
        <v>22997.11</v>
      </c>
      <c r="C52" s="65">
        <f>SUM(C3:C51)</f>
        <v>11303.45</v>
      </c>
      <c r="D52" s="66">
        <f>SUM(D3:D49)</f>
        <v>12692.539999999999</v>
      </c>
      <c r="E52" s="66">
        <f>SUM(E3:E51)</f>
        <v>38631.54</v>
      </c>
      <c r="F52" s="66">
        <f>SUM(F3:F50)</f>
        <v>14319.32</v>
      </c>
      <c r="G52" s="67">
        <f>SUM(G3:G49)</f>
        <v>28625.919999999998</v>
      </c>
      <c r="H52" s="67">
        <f>SUM(H3:H50)</f>
        <v>2661.7200000000003</v>
      </c>
      <c r="I52" s="67">
        <f>SUM(I3:I49)</f>
        <v>5250</v>
      </c>
      <c r="J52" s="67">
        <f>SUM(J3:J49)</f>
        <v>31171.93</v>
      </c>
      <c r="K52" s="67">
        <f>SUM(K3:K50)</f>
        <v>4046.23</v>
      </c>
      <c r="L52" s="67">
        <f>SUM(L3:L49)</f>
        <v>24276.93</v>
      </c>
      <c r="M52" s="67">
        <f>SUM(M3:M49)</f>
        <v>18161.11</v>
      </c>
      <c r="N52" s="104">
        <f>SUM(B52:M52)</f>
        <v>214137.8</v>
      </c>
      <c r="O52" s="6">
        <f>SUM(O3:O50)</f>
        <v>23793.47769857118</v>
      </c>
      <c r="P52" s="6">
        <f>C52/$C$58</f>
        <v>11767.930205199214</v>
      </c>
      <c r="Q52" s="4">
        <f t="shared" ref="Q52:AA52" si="27">SUM(Q3:Q50)</f>
        <v>13687.483150187099</v>
      </c>
      <c r="R52" s="4">
        <f t="shared" si="27"/>
        <v>43397.935225855741</v>
      </c>
      <c r="S52" s="4">
        <f t="shared" si="27"/>
        <v>16149.548309968761</v>
      </c>
      <c r="T52" s="4">
        <f t="shared" si="27"/>
        <v>32976.511110855114</v>
      </c>
      <c r="U52" s="4">
        <f t="shared" si="27"/>
        <v>3110.5761364964355</v>
      </c>
      <c r="V52" s="4">
        <f t="shared" si="27"/>
        <v>6114.8188266536217</v>
      </c>
      <c r="W52" s="4">
        <f t="shared" si="27"/>
        <v>36566.171640390392</v>
      </c>
      <c r="X52" s="100">
        <f t="shared" si="27"/>
        <v>4711.3830604783316</v>
      </c>
      <c r="Y52" s="100">
        <f t="shared" si="27"/>
        <v>28065.166123326628</v>
      </c>
      <c r="Z52" s="100">
        <f t="shared" si="27"/>
        <v>21271.416524163134</v>
      </c>
      <c r="AA52" s="4">
        <f>SUM(AA3:AA50)</f>
        <v>241612.41801214567</v>
      </c>
    </row>
    <row r="54" spans="1:27">
      <c r="A54" t="s">
        <v>200</v>
      </c>
      <c r="B54" s="68">
        <v>22997.11</v>
      </c>
      <c r="C54" s="68">
        <v>11303.45</v>
      </c>
      <c r="D54" s="68">
        <v>12692.539999999999</v>
      </c>
      <c r="E54" s="68">
        <v>38631.54</v>
      </c>
      <c r="F54" s="68">
        <v>14319.32</v>
      </c>
      <c r="G54" s="68">
        <v>28625.919999999998</v>
      </c>
      <c r="H54" s="68">
        <v>2661.72</v>
      </c>
      <c r="I54" s="68">
        <v>5250</v>
      </c>
      <c r="J54" s="68">
        <v>31171.93</v>
      </c>
      <c r="K54" s="68">
        <v>4046.23</v>
      </c>
      <c r="L54" s="68">
        <v>24276.93</v>
      </c>
      <c r="M54" s="68">
        <v>18161.11</v>
      </c>
      <c r="O54" s="67">
        <f>B52/B58</f>
        <v>23793.47769857118</v>
      </c>
      <c r="P54" s="67">
        <f t="shared" ref="P54:Z54" si="28">C52/C58</f>
        <v>11767.930205199214</v>
      </c>
      <c r="Q54" s="67">
        <f t="shared" si="28"/>
        <v>13687.483150187099</v>
      </c>
      <c r="R54" s="67">
        <f t="shared" si="28"/>
        <v>43397.935225855734</v>
      </c>
      <c r="S54" s="67">
        <f t="shared" si="28"/>
        <v>16149.548309968761</v>
      </c>
      <c r="T54" s="67">
        <f t="shared" si="28"/>
        <v>32976.511110855114</v>
      </c>
      <c r="U54" s="67">
        <f t="shared" si="28"/>
        <v>3110.576136496436</v>
      </c>
      <c r="V54" s="67">
        <f t="shared" si="28"/>
        <v>6114.8188266536217</v>
      </c>
      <c r="W54" s="67">
        <f t="shared" si="28"/>
        <v>36566.171640390392</v>
      </c>
      <c r="X54" s="67">
        <f t="shared" si="28"/>
        <v>4711.3830604783307</v>
      </c>
      <c r="Y54" s="67">
        <f t="shared" si="28"/>
        <v>28065.166123326628</v>
      </c>
      <c r="Z54" s="67">
        <f t="shared" si="28"/>
        <v>21271.416524163134</v>
      </c>
      <c r="AA54" s="67"/>
    </row>
    <row r="55" spans="1:27"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27">
      <c r="A56" t="s">
        <v>3</v>
      </c>
      <c r="B56" s="5">
        <f t="shared" ref="B56:J56" si="29">B52-B54</f>
        <v>0</v>
      </c>
      <c r="C56" s="5">
        <f t="shared" si="29"/>
        <v>0</v>
      </c>
      <c r="D56" s="5">
        <f t="shared" si="29"/>
        <v>0</v>
      </c>
      <c r="E56" s="5">
        <f t="shared" si="29"/>
        <v>0</v>
      </c>
      <c r="F56" s="5">
        <f t="shared" si="29"/>
        <v>0</v>
      </c>
      <c r="G56" s="5">
        <f t="shared" si="29"/>
        <v>0</v>
      </c>
      <c r="H56" s="5">
        <f t="shared" si="29"/>
        <v>0</v>
      </c>
      <c r="I56" s="5">
        <f t="shared" si="29"/>
        <v>0</v>
      </c>
      <c r="J56" s="5">
        <f t="shared" si="29"/>
        <v>0</v>
      </c>
      <c r="K56" s="5">
        <f>K52-K54</f>
        <v>0</v>
      </c>
      <c r="L56" s="5">
        <f t="shared" ref="L56:M56" si="30">L52-L54</f>
        <v>0</v>
      </c>
      <c r="M56" s="5">
        <f t="shared" si="30"/>
        <v>0</v>
      </c>
    </row>
    <row r="58" spans="1:27">
      <c r="B58">
        <v>0.96653</v>
      </c>
      <c r="C58" s="15">
        <v>0.96052999999999999</v>
      </c>
      <c r="D58" s="15">
        <v>0.92730999999999997</v>
      </c>
      <c r="E58" s="15">
        <v>0.89017000000000002</v>
      </c>
      <c r="F58" s="15">
        <v>0.88666999999999996</v>
      </c>
      <c r="G58" s="15">
        <v>0.86807000000000001</v>
      </c>
      <c r="H58" s="15">
        <v>0.85570000000000002</v>
      </c>
      <c r="I58" s="15">
        <v>0.85857000000000006</v>
      </c>
      <c r="J58" s="15">
        <v>0.85248000000000002</v>
      </c>
      <c r="K58" s="15">
        <v>0.85882000000000003</v>
      </c>
      <c r="L58" s="38">
        <v>0.86502000000000001</v>
      </c>
      <c r="M58" s="39">
        <v>0.85377999999999998</v>
      </c>
      <c r="O58" s="3"/>
      <c r="P58" s="3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60" spans="1:27"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t="s">
        <v>13</v>
      </c>
      <c r="N60" s="26">
        <f>N52</f>
        <v>214137.8</v>
      </c>
      <c r="O60" s="4">
        <f>AA52</f>
        <v>241612.41801214567</v>
      </c>
    </row>
    <row r="61" spans="1:27">
      <c r="M61" t="s">
        <v>2</v>
      </c>
      <c r="N61" s="26"/>
      <c r="O61" s="26"/>
    </row>
    <row r="62" spans="1:27">
      <c r="M62" t="s">
        <v>3</v>
      </c>
      <c r="N62" s="26">
        <f>N60-N61</f>
        <v>214137.8</v>
      </c>
      <c r="O62" s="26">
        <f>O60-O61</f>
        <v>241612.41801214567</v>
      </c>
    </row>
    <row r="63" spans="1:27">
      <c r="M63" s="5"/>
      <c r="N63" s="26"/>
    </row>
    <row r="64" spans="1:27">
      <c r="N64" s="5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DA945-5D15-4A9D-A03D-86102FA59751}">
  <dimension ref="A1:AA5"/>
  <sheetViews>
    <sheetView topLeftCell="J1" workbookViewId="0">
      <selection activeCell="AA2" sqref="AA2"/>
    </sheetView>
  </sheetViews>
  <sheetFormatPr defaultRowHeight="14.45"/>
  <cols>
    <col min="1" max="1" width="16.28515625" bestFit="1" customWidth="1"/>
    <col min="6" max="8" width="9.28515625" style="5"/>
    <col min="9" max="9" width="9" style="5" bestFit="1" customWidth="1"/>
    <col min="10" max="10" width="9.28515625" style="5" customWidth="1"/>
    <col min="11" max="11" width="9.28515625" style="5"/>
    <col min="12" max="12" width="11.7109375" style="5" bestFit="1" customWidth="1"/>
    <col min="13" max="13" width="11.5703125" style="5" bestFit="1" customWidth="1"/>
    <col min="14" max="14" width="9.28515625" style="5"/>
    <col min="15" max="15" width="10.42578125" bestFit="1" customWidth="1"/>
    <col min="16" max="16" width="8.7109375" bestFit="1" customWidth="1"/>
    <col min="17" max="17" width="11" bestFit="1" customWidth="1"/>
    <col min="18" max="18" width="9.7109375" bestFit="1" customWidth="1"/>
    <col min="20" max="20" width="9.7109375" bestFit="1" customWidth="1"/>
    <col min="22" max="22" width="11.5703125" bestFit="1" customWidth="1"/>
    <col min="23" max="23" width="15.5703125" bestFit="1" customWidth="1"/>
    <col min="24" max="24" width="12.5703125" bestFit="1" customWidth="1"/>
    <col min="25" max="26" width="14.7109375" bestFit="1" customWidth="1"/>
    <col min="27" max="27" width="11.5703125" bestFit="1" customWidth="1"/>
  </cols>
  <sheetData>
    <row r="1" spans="1:27">
      <c r="A1" t="s">
        <v>14</v>
      </c>
      <c r="B1" t="s">
        <v>137</v>
      </c>
      <c r="C1" t="s">
        <v>138</v>
      </c>
      <c r="D1" t="s">
        <v>139</v>
      </c>
      <c r="E1" t="s">
        <v>140</v>
      </c>
      <c r="F1" s="5" t="s">
        <v>141</v>
      </c>
      <c r="G1" s="5" t="s">
        <v>142</v>
      </c>
      <c r="H1" s="5" t="s">
        <v>143</v>
      </c>
      <c r="I1" s="5" t="s">
        <v>215</v>
      </c>
      <c r="J1" s="5" t="s">
        <v>145</v>
      </c>
      <c r="K1" s="5" t="s">
        <v>146</v>
      </c>
      <c r="L1" s="5" t="s">
        <v>147</v>
      </c>
      <c r="M1" s="5" t="s">
        <v>148</v>
      </c>
      <c r="N1" s="5" t="s">
        <v>13</v>
      </c>
      <c r="O1" s="7" t="s">
        <v>180</v>
      </c>
      <c r="P1" s="1" t="s">
        <v>167</v>
      </c>
      <c r="Q1" s="1" t="s">
        <v>168</v>
      </c>
      <c r="R1" s="1" t="s">
        <v>181</v>
      </c>
      <c r="S1" s="1" t="s">
        <v>170</v>
      </c>
      <c r="T1" s="1" t="s">
        <v>171</v>
      </c>
      <c r="U1" s="1" t="s">
        <v>172</v>
      </c>
      <c r="V1" s="1" t="s">
        <v>173</v>
      </c>
      <c r="W1" s="1" t="s">
        <v>182</v>
      </c>
      <c r="X1" s="1" t="s">
        <v>183</v>
      </c>
      <c r="Y1" s="1" t="s">
        <v>184</v>
      </c>
      <c r="Z1" s="1" t="s">
        <v>185</v>
      </c>
      <c r="AA1" s="1" t="s">
        <v>162</v>
      </c>
    </row>
    <row r="2" spans="1:27">
      <c r="A2" t="s">
        <v>216</v>
      </c>
      <c r="F2" s="5">
        <v>-32</v>
      </c>
      <c r="G2" s="5">
        <v>23.5</v>
      </c>
      <c r="H2" s="5">
        <v>-85.5</v>
      </c>
      <c r="I2" s="5">
        <v>253.2</v>
      </c>
      <c r="J2" s="5">
        <v>319.60000000000002</v>
      </c>
      <c r="K2" s="5">
        <v>234.6</v>
      </c>
      <c r="L2" s="5">
        <v>0</v>
      </c>
      <c r="M2" s="5">
        <v>-713.4</v>
      </c>
      <c r="N2" s="5">
        <f>SUM(B2:M2)</f>
        <v>0</v>
      </c>
      <c r="O2" s="5">
        <f>B2/B4</f>
        <v>0</v>
      </c>
      <c r="P2" s="5">
        <f t="shared" ref="P2:Z2" si="0">C2/C4</f>
        <v>0</v>
      </c>
      <c r="Q2" s="5">
        <f t="shared" si="0"/>
        <v>0</v>
      </c>
      <c r="R2" s="5">
        <f t="shared" si="0"/>
        <v>0</v>
      </c>
      <c r="S2" s="5">
        <f t="shared" si="0"/>
        <v>-34.58449965955883</v>
      </c>
      <c r="T2" s="5">
        <f t="shared" si="0"/>
        <v>25.282681900827335</v>
      </c>
      <c r="U2" s="5">
        <f t="shared" si="0"/>
        <v>-92.759346453446739</v>
      </c>
      <c r="V2" s="5">
        <f t="shared" si="0"/>
        <v>278.90069945475574</v>
      </c>
      <c r="W2" s="5">
        <f t="shared" si="0"/>
        <v>354.95729628272193</v>
      </c>
      <c r="X2" s="5">
        <f t="shared" si="0"/>
        <v>255.6669572798605</v>
      </c>
      <c r="Y2" s="5">
        <f t="shared" si="0"/>
        <v>0</v>
      </c>
      <c r="Z2" s="5">
        <f t="shared" si="0"/>
        <v>-747.21913819469171</v>
      </c>
      <c r="AA2" s="35">
        <v>146.07</v>
      </c>
    </row>
    <row r="4" spans="1:27">
      <c r="B4" s="2">
        <v>0.91659999999999997</v>
      </c>
      <c r="C4" s="2">
        <v>0.92669999999999997</v>
      </c>
      <c r="D4" s="2">
        <v>0.92047999999999996</v>
      </c>
      <c r="E4" s="2">
        <v>0.93279000000000001</v>
      </c>
      <c r="F4" s="2">
        <v>0.92527000000000004</v>
      </c>
      <c r="G4" s="2">
        <v>0.92949000000000004</v>
      </c>
      <c r="H4" s="2">
        <v>0.92174</v>
      </c>
      <c r="I4" s="2">
        <v>0.90785000000000005</v>
      </c>
      <c r="J4" s="2">
        <v>0.90039000000000002</v>
      </c>
      <c r="K4" s="2">
        <v>0.91759999999999997</v>
      </c>
      <c r="L4" s="2">
        <v>0.94127000000000005</v>
      </c>
      <c r="M4" s="2">
        <v>0.95474000000000003</v>
      </c>
    </row>
    <row r="5" spans="1:27">
      <c r="B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Norma Clancy</dc:creator>
  <cp:keywords/>
  <dc:description/>
  <cp:lastModifiedBy/>
  <cp:revision/>
  <dcterms:created xsi:type="dcterms:W3CDTF">2021-02-05T15:59:36Z</dcterms:created>
  <dcterms:modified xsi:type="dcterms:W3CDTF">2026-05-26T09:31:23Z</dcterms:modified>
  <cp:category/>
  <cp:contentStatus/>
</cp:coreProperties>
</file>