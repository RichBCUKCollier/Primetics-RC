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ourvolaris-my.sharepoint.com/personal/sveta_doroshenko_culturatech_com/Documents/"/>
    </mc:Choice>
  </mc:AlternateContent>
  <xr:revisionPtr revIDLastSave="0" documentId="8_{B330AE6B-9210-4DBE-A440-FD8F70051FC2}" xr6:coauthVersionLast="47" xr6:coauthVersionMax="47" xr10:uidLastSave="{00000000-0000-0000-0000-000000000000}"/>
  <bookViews>
    <workbookView xWindow="19110" yWindow="-90" windowWidth="38580" windowHeight="21060" firstSheet="1" activeTab="1" xr2:uid="{148AF841-B1D2-4C3F-A4A0-1ADC9001AE44}"/>
  </bookViews>
  <sheets>
    <sheet name="Summary (2)" sheetId="15" state="hidden" r:id="rId1"/>
    <sheet name="Summary" sheetId="1" r:id="rId2"/>
    <sheet name="COGS License" sheetId="22" r:id="rId3"/>
    <sheet name="COGS" sheetId="23" r:id="rId4"/>
    <sheet name="IFRS15 Licenses" sheetId="14" r:id="rId5"/>
    <sheet name="PS data" sheetId="7" r:id="rId6"/>
    <sheet name="PS Pivot" sheetId="20" r:id="rId7"/>
    <sheet name="Licenses" sheetId="12" r:id="rId8"/>
    <sheet name="Annual Maintenance" sheetId="4" r:id="rId9"/>
    <sheet name="Own-Auth Maint" sheetId="21" r:id="rId10"/>
    <sheet name="3rd Party Maint" sheetId="3" r:id="rId11"/>
  </sheets>
  <definedNames>
    <definedName name="_xlnm._FilterDatabase" localSheetId="5" hidden="1">'PS data'!$A$1:$Y$271</definedName>
    <definedName name="_xlnm._FilterDatabase" localSheetId="0" hidden="1">'Summary (2)'!$A$3:$T$44</definedName>
  </definedNames>
  <calcPr calcId="191028"/>
  <pivotCaches>
    <pivotCache cacheId="20" r:id="rId12"/>
    <pivotCache cacheId="21" r:id="rId13"/>
    <pivotCache cacheId="22" r:id="rId14"/>
    <pivotCache cacheId="23" r:id="rId15"/>
    <pivotCache cacheId="24" r:id="rId16"/>
    <pivotCache cacheId="25" r:id="rId17"/>
    <pivotCache cacheId="26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" l="1"/>
  <c r="O4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V37" i="14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" i="1"/>
  <c r="O45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" i="1"/>
  <c r="AH53" i="14"/>
  <c r="AH38" i="14"/>
  <c r="AH39" i="14"/>
  <c r="AH40" i="14"/>
  <c r="AH41" i="14"/>
  <c r="AH42" i="14"/>
  <c r="AH43" i="14"/>
  <c r="AH44" i="14"/>
  <c r="AH45" i="14"/>
  <c r="AH46" i="14"/>
  <c r="AH47" i="14"/>
  <c r="AH48" i="14"/>
  <c r="AH49" i="14"/>
  <c r="AH50" i="14"/>
  <c r="AH51" i="14"/>
  <c r="AH37" i="14"/>
  <c r="V38" i="14"/>
  <c r="W38" i="14"/>
  <c r="X38" i="14"/>
  <c r="Y38" i="14"/>
  <c r="Z38" i="14"/>
  <c r="AA38" i="14"/>
  <c r="AB38" i="14"/>
  <c r="AC38" i="14"/>
  <c r="AD38" i="14"/>
  <c r="AE38" i="14"/>
  <c r="AF38" i="14"/>
  <c r="AG38" i="14"/>
  <c r="V39" i="14"/>
  <c r="W39" i="14"/>
  <c r="X39" i="14"/>
  <c r="Y39" i="14"/>
  <c r="Z39" i="14"/>
  <c r="AA39" i="14"/>
  <c r="AB39" i="14"/>
  <c r="AC39" i="14"/>
  <c r="AD39" i="14"/>
  <c r="AE39" i="14"/>
  <c r="AF39" i="14"/>
  <c r="AG39" i="14"/>
  <c r="V40" i="14"/>
  <c r="W40" i="14"/>
  <c r="X40" i="14"/>
  <c r="Y40" i="14"/>
  <c r="Z40" i="14"/>
  <c r="AA40" i="14"/>
  <c r="AB40" i="14"/>
  <c r="AC40" i="14"/>
  <c r="AD40" i="14"/>
  <c r="AE40" i="14"/>
  <c r="AF40" i="14"/>
  <c r="AG40" i="14"/>
  <c r="V41" i="14"/>
  <c r="W41" i="14"/>
  <c r="X41" i="14"/>
  <c r="Y41" i="14"/>
  <c r="Z41" i="14"/>
  <c r="AA41" i="14"/>
  <c r="AB41" i="14"/>
  <c r="AC41" i="14"/>
  <c r="AD41" i="14"/>
  <c r="AE41" i="14"/>
  <c r="AF41" i="14"/>
  <c r="AG41" i="14"/>
  <c r="V42" i="14"/>
  <c r="W42" i="14"/>
  <c r="X42" i="14"/>
  <c r="Y42" i="14"/>
  <c r="Z42" i="14"/>
  <c r="AA42" i="14"/>
  <c r="AB42" i="14"/>
  <c r="AC42" i="14"/>
  <c r="AD42" i="14"/>
  <c r="AE42" i="14"/>
  <c r="AF42" i="14"/>
  <c r="AG42" i="14"/>
  <c r="V43" i="14"/>
  <c r="W43" i="14"/>
  <c r="X43" i="14"/>
  <c r="Y43" i="14"/>
  <c r="Z43" i="14"/>
  <c r="AA43" i="14"/>
  <c r="AB43" i="14"/>
  <c r="AC43" i="14"/>
  <c r="AD43" i="14"/>
  <c r="AE43" i="14"/>
  <c r="AF43" i="14"/>
  <c r="AG43" i="14"/>
  <c r="V44" i="14"/>
  <c r="W44" i="14"/>
  <c r="X44" i="14"/>
  <c r="Y44" i="14"/>
  <c r="Z44" i="14"/>
  <c r="AA44" i="14"/>
  <c r="AB44" i="14"/>
  <c r="AC44" i="14"/>
  <c r="AD44" i="14"/>
  <c r="AE44" i="14"/>
  <c r="AF44" i="14"/>
  <c r="AG44" i="14"/>
  <c r="V45" i="14"/>
  <c r="W45" i="14"/>
  <c r="X45" i="14"/>
  <c r="Y45" i="14"/>
  <c r="Z45" i="14"/>
  <c r="AA45" i="14"/>
  <c r="AB45" i="14"/>
  <c r="AC45" i="14"/>
  <c r="AD45" i="14"/>
  <c r="AE45" i="14"/>
  <c r="AF45" i="14"/>
  <c r="AG45" i="14"/>
  <c r="V46" i="14"/>
  <c r="W46" i="14"/>
  <c r="X46" i="14"/>
  <c r="Y46" i="14"/>
  <c r="Z46" i="14"/>
  <c r="AA46" i="14"/>
  <c r="AB46" i="14"/>
  <c r="AC46" i="14"/>
  <c r="AD46" i="14"/>
  <c r="AE46" i="14"/>
  <c r="AF46" i="14"/>
  <c r="AG46" i="14"/>
  <c r="V47" i="14"/>
  <c r="W47" i="14"/>
  <c r="X47" i="14"/>
  <c r="Y47" i="14"/>
  <c r="Z47" i="14"/>
  <c r="AA47" i="14"/>
  <c r="AB47" i="14"/>
  <c r="AC47" i="14"/>
  <c r="AD47" i="14"/>
  <c r="AE47" i="14"/>
  <c r="AF47" i="14"/>
  <c r="AG47" i="14"/>
  <c r="V48" i="14"/>
  <c r="W48" i="14"/>
  <c r="X48" i="14"/>
  <c r="Y48" i="14"/>
  <c r="Z48" i="14"/>
  <c r="AA48" i="14"/>
  <c r="AB48" i="14"/>
  <c r="AC48" i="14"/>
  <c r="AD48" i="14"/>
  <c r="AE48" i="14"/>
  <c r="AF48" i="14"/>
  <c r="AG48" i="14"/>
  <c r="V49" i="14"/>
  <c r="W49" i="14"/>
  <c r="X49" i="14"/>
  <c r="Y49" i="14"/>
  <c r="Z49" i="14"/>
  <c r="AA49" i="14"/>
  <c r="AB49" i="14"/>
  <c r="AC49" i="14"/>
  <c r="AD49" i="14"/>
  <c r="AE49" i="14"/>
  <c r="AF49" i="14"/>
  <c r="AG49" i="14"/>
  <c r="V50" i="14"/>
  <c r="W50" i="14"/>
  <c r="X50" i="14"/>
  <c r="Y50" i="14"/>
  <c r="Z50" i="14"/>
  <c r="AA50" i="14"/>
  <c r="AB50" i="14"/>
  <c r="AC50" i="14"/>
  <c r="AD50" i="14"/>
  <c r="AE50" i="14"/>
  <c r="AF50" i="14"/>
  <c r="AG50" i="14"/>
  <c r="V51" i="14"/>
  <c r="W51" i="14"/>
  <c r="X51" i="14"/>
  <c r="Y51" i="14"/>
  <c r="Z51" i="14"/>
  <c r="AA51" i="14"/>
  <c r="AB51" i="14"/>
  <c r="AC51" i="14"/>
  <c r="AD51" i="14"/>
  <c r="AE51" i="14"/>
  <c r="AF51" i="14"/>
  <c r="AG51" i="14"/>
  <c r="AG37" i="14"/>
  <c r="AF37" i="14"/>
  <c r="AE37" i="14"/>
  <c r="AD37" i="14"/>
  <c r="AC37" i="14"/>
  <c r="AB37" i="14"/>
  <c r="AA37" i="14"/>
  <c r="Z37" i="14"/>
  <c r="Y37" i="14"/>
  <c r="X37" i="14"/>
  <c r="W37" i="14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" i="1"/>
  <c r="N5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35" i="12"/>
  <c r="B36" i="12"/>
  <c r="C36" i="12"/>
  <c r="D36" i="12"/>
  <c r="E36" i="12"/>
  <c r="F36" i="12"/>
  <c r="G36" i="12"/>
  <c r="H36" i="12"/>
  <c r="I36" i="12"/>
  <c r="J36" i="12"/>
  <c r="K36" i="12"/>
  <c r="L36" i="12"/>
  <c r="M36" i="12"/>
  <c r="B37" i="12"/>
  <c r="C37" i="12"/>
  <c r="D37" i="12"/>
  <c r="E37" i="12"/>
  <c r="F37" i="12"/>
  <c r="G37" i="12"/>
  <c r="H37" i="12"/>
  <c r="I37" i="12"/>
  <c r="J37" i="12"/>
  <c r="K37" i="12"/>
  <c r="L37" i="12"/>
  <c r="M37" i="12"/>
  <c r="B38" i="12"/>
  <c r="C38" i="12"/>
  <c r="D38" i="12"/>
  <c r="E38" i="12"/>
  <c r="F38" i="12"/>
  <c r="G38" i="12"/>
  <c r="H38" i="12"/>
  <c r="I38" i="12"/>
  <c r="J38" i="12"/>
  <c r="K38" i="12"/>
  <c r="L38" i="12"/>
  <c r="M38" i="12"/>
  <c r="B39" i="12"/>
  <c r="C39" i="12"/>
  <c r="D39" i="12"/>
  <c r="E39" i="12"/>
  <c r="F39" i="12"/>
  <c r="G39" i="12"/>
  <c r="H39" i="12"/>
  <c r="I39" i="12"/>
  <c r="J39" i="12"/>
  <c r="K39" i="12"/>
  <c r="L39" i="12"/>
  <c r="M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B46" i="12"/>
  <c r="C46" i="12"/>
  <c r="D46" i="12"/>
  <c r="E46" i="12"/>
  <c r="F46" i="12"/>
  <c r="G46" i="12"/>
  <c r="H46" i="12"/>
  <c r="I46" i="12"/>
  <c r="J46" i="12"/>
  <c r="K46" i="12"/>
  <c r="L46" i="12"/>
  <c r="M46" i="12"/>
  <c r="B47" i="12"/>
  <c r="C47" i="12"/>
  <c r="D47" i="12"/>
  <c r="E47" i="12"/>
  <c r="F47" i="12"/>
  <c r="G47" i="12"/>
  <c r="H47" i="12"/>
  <c r="I47" i="12"/>
  <c r="J47" i="12"/>
  <c r="K47" i="12"/>
  <c r="L47" i="12"/>
  <c r="M47" i="12"/>
  <c r="B48" i="12"/>
  <c r="C48" i="12"/>
  <c r="D48" i="12"/>
  <c r="E48" i="12"/>
  <c r="F48" i="12"/>
  <c r="G48" i="12"/>
  <c r="H48" i="12"/>
  <c r="I48" i="12"/>
  <c r="J48" i="12"/>
  <c r="K48" i="12"/>
  <c r="L48" i="12"/>
  <c r="M48" i="12"/>
  <c r="B49" i="12"/>
  <c r="C49" i="12"/>
  <c r="D49" i="12"/>
  <c r="E49" i="12"/>
  <c r="F49" i="12"/>
  <c r="G49" i="12"/>
  <c r="H49" i="12"/>
  <c r="I49" i="12"/>
  <c r="J49" i="12"/>
  <c r="K49" i="12"/>
  <c r="L49" i="12"/>
  <c r="M49" i="12"/>
  <c r="B50" i="12"/>
  <c r="C50" i="12"/>
  <c r="D50" i="12"/>
  <c r="E50" i="12"/>
  <c r="F50" i="12"/>
  <c r="G50" i="12"/>
  <c r="H50" i="12"/>
  <c r="I50" i="12"/>
  <c r="J50" i="12"/>
  <c r="K50" i="12"/>
  <c r="L50" i="12"/>
  <c r="M50" i="12"/>
  <c r="B51" i="12"/>
  <c r="C51" i="12"/>
  <c r="D51" i="12"/>
  <c r="E51" i="12"/>
  <c r="F51" i="12"/>
  <c r="G51" i="12"/>
  <c r="H51" i="12"/>
  <c r="I51" i="12"/>
  <c r="J51" i="12"/>
  <c r="K51" i="12"/>
  <c r="L51" i="12"/>
  <c r="M51" i="12"/>
  <c r="B52" i="12"/>
  <c r="C52" i="12"/>
  <c r="D52" i="12"/>
  <c r="E52" i="12"/>
  <c r="F52" i="12"/>
  <c r="G52" i="12"/>
  <c r="H52" i="12"/>
  <c r="I52" i="12"/>
  <c r="J52" i="12"/>
  <c r="K52" i="12"/>
  <c r="L52" i="12"/>
  <c r="M52" i="12"/>
  <c r="B53" i="12"/>
  <c r="C53" i="12"/>
  <c r="D53" i="12"/>
  <c r="E53" i="12"/>
  <c r="F53" i="12"/>
  <c r="G53" i="12"/>
  <c r="H53" i="12"/>
  <c r="I53" i="12"/>
  <c r="J53" i="12"/>
  <c r="K53" i="12"/>
  <c r="L53" i="12"/>
  <c r="M53" i="12"/>
  <c r="M35" i="12"/>
  <c r="L35" i="12"/>
  <c r="K35" i="12"/>
  <c r="J35" i="12"/>
  <c r="I35" i="12"/>
  <c r="H35" i="12"/>
  <c r="G35" i="12"/>
  <c r="F35" i="12"/>
  <c r="E35" i="12"/>
  <c r="D35" i="12"/>
  <c r="C35" i="12"/>
  <c r="B35" i="12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" i="1"/>
  <c r="O58" i="20"/>
  <c r="O36" i="20"/>
  <c r="O37" i="20"/>
  <c r="O38" i="20"/>
  <c r="O39" i="20"/>
  <c r="O40" i="20"/>
  <c r="O41" i="20"/>
  <c r="O42" i="20"/>
  <c r="O43" i="20"/>
  <c r="O44" i="20"/>
  <c r="O45" i="20"/>
  <c r="O46" i="20"/>
  <c r="O47" i="20"/>
  <c r="O48" i="20"/>
  <c r="O49" i="20"/>
  <c r="O50" i="20"/>
  <c r="O51" i="20"/>
  <c r="O52" i="20"/>
  <c r="O53" i="20"/>
  <c r="O54" i="20"/>
  <c r="O55" i="20"/>
  <c r="O56" i="20"/>
  <c r="O35" i="20"/>
  <c r="C36" i="20"/>
  <c r="D36" i="20"/>
  <c r="C37" i="20"/>
  <c r="D37" i="20"/>
  <c r="C38" i="20"/>
  <c r="D38" i="20"/>
  <c r="C39" i="20"/>
  <c r="D39" i="20"/>
  <c r="C40" i="20"/>
  <c r="D40" i="20"/>
  <c r="C41" i="20"/>
  <c r="D41" i="20"/>
  <c r="C42" i="20"/>
  <c r="D42" i="20"/>
  <c r="C43" i="20"/>
  <c r="D43" i="20"/>
  <c r="C44" i="20"/>
  <c r="D44" i="20"/>
  <c r="C45" i="20"/>
  <c r="D45" i="20"/>
  <c r="C46" i="20"/>
  <c r="D46" i="20"/>
  <c r="C47" i="20"/>
  <c r="D47" i="20"/>
  <c r="C48" i="20"/>
  <c r="D48" i="20"/>
  <c r="C49" i="20"/>
  <c r="D49" i="20"/>
  <c r="C50" i="20"/>
  <c r="D50" i="20"/>
  <c r="C51" i="20"/>
  <c r="D51" i="20"/>
  <c r="C52" i="20"/>
  <c r="D52" i="20"/>
  <c r="C53" i="20"/>
  <c r="D53" i="20"/>
  <c r="C54" i="20"/>
  <c r="D54" i="20"/>
  <c r="C55" i="20"/>
  <c r="D55" i="20"/>
  <c r="C56" i="20"/>
  <c r="D56" i="20"/>
  <c r="E36" i="20"/>
  <c r="F36" i="20"/>
  <c r="G36" i="20"/>
  <c r="H36" i="20"/>
  <c r="I36" i="20"/>
  <c r="J36" i="20"/>
  <c r="K36" i="20"/>
  <c r="L36" i="20"/>
  <c r="M36" i="20"/>
  <c r="N36" i="20"/>
  <c r="E37" i="20"/>
  <c r="F37" i="20"/>
  <c r="G37" i="20"/>
  <c r="H37" i="20"/>
  <c r="I37" i="20"/>
  <c r="J37" i="20"/>
  <c r="K37" i="20"/>
  <c r="L37" i="20"/>
  <c r="M37" i="20"/>
  <c r="N37" i="20"/>
  <c r="E38" i="20"/>
  <c r="F38" i="20"/>
  <c r="G38" i="20"/>
  <c r="H38" i="20"/>
  <c r="I38" i="20"/>
  <c r="J38" i="20"/>
  <c r="K38" i="20"/>
  <c r="L38" i="20"/>
  <c r="M38" i="20"/>
  <c r="N38" i="20"/>
  <c r="E39" i="20"/>
  <c r="F39" i="20"/>
  <c r="G39" i="20"/>
  <c r="H39" i="20"/>
  <c r="I39" i="20"/>
  <c r="J39" i="20"/>
  <c r="K39" i="20"/>
  <c r="L39" i="20"/>
  <c r="M39" i="20"/>
  <c r="N39" i="20"/>
  <c r="E40" i="20"/>
  <c r="F40" i="20"/>
  <c r="G40" i="20"/>
  <c r="H40" i="20"/>
  <c r="I40" i="20"/>
  <c r="J40" i="20"/>
  <c r="K40" i="20"/>
  <c r="L40" i="20"/>
  <c r="M40" i="20"/>
  <c r="N40" i="20"/>
  <c r="E41" i="20"/>
  <c r="F41" i="20"/>
  <c r="G41" i="20"/>
  <c r="H41" i="20"/>
  <c r="I41" i="20"/>
  <c r="J41" i="20"/>
  <c r="K41" i="20"/>
  <c r="L41" i="20"/>
  <c r="M41" i="20"/>
  <c r="N41" i="20"/>
  <c r="E42" i="20"/>
  <c r="F42" i="20"/>
  <c r="G42" i="20"/>
  <c r="H42" i="20"/>
  <c r="I42" i="20"/>
  <c r="J42" i="20"/>
  <c r="K42" i="20"/>
  <c r="L42" i="20"/>
  <c r="M42" i="20"/>
  <c r="N42" i="20"/>
  <c r="E43" i="20"/>
  <c r="F43" i="20"/>
  <c r="G43" i="20"/>
  <c r="H43" i="20"/>
  <c r="I43" i="20"/>
  <c r="J43" i="20"/>
  <c r="K43" i="20"/>
  <c r="L43" i="20"/>
  <c r="M43" i="20"/>
  <c r="N43" i="20"/>
  <c r="E44" i="20"/>
  <c r="F44" i="20"/>
  <c r="G44" i="20"/>
  <c r="H44" i="20"/>
  <c r="I44" i="20"/>
  <c r="J44" i="20"/>
  <c r="K44" i="20"/>
  <c r="L44" i="20"/>
  <c r="M44" i="20"/>
  <c r="N44" i="20"/>
  <c r="E45" i="20"/>
  <c r="F45" i="20"/>
  <c r="G45" i="20"/>
  <c r="H45" i="20"/>
  <c r="I45" i="20"/>
  <c r="J45" i="20"/>
  <c r="K45" i="20"/>
  <c r="L45" i="20"/>
  <c r="M45" i="20"/>
  <c r="N45" i="20"/>
  <c r="E46" i="20"/>
  <c r="F46" i="20"/>
  <c r="G46" i="20"/>
  <c r="H46" i="20"/>
  <c r="I46" i="20"/>
  <c r="J46" i="20"/>
  <c r="K46" i="20"/>
  <c r="L46" i="20"/>
  <c r="M46" i="20"/>
  <c r="N46" i="20"/>
  <c r="E47" i="20"/>
  <c r="F47" i="20"/>
  <c r="G47" i="20"/>
  <c r="H47" i="20"/>
  <c r="I47" i="20"/>
  <c r="J47" i="20"/>
  <c r="K47" i="20"/>
  <c r="L47" i="20"/>
  <c r="M47" i="20"/>
  <c r="N47" i="20"/>
  <c r="E48" i="20"/>
  <c r="F48" i="20"/>
  <c r="G48" i="20"/>
  <c r="H48" i="20"/>
  <c r="I48" i="20"/>
  <c r="J48" i="20"/>
  <c r="K48" i="20"/>
  <c r="L48" i="20"/>
  <c r="M48" i="20"/>
  <c r="N48" i="20"/>
  <c r="E49" i="20"/>
  <c r="F49" i="20"/>
  <c r="G49" i="20"/>
  <c r="H49" i="20"/>
  <c r="I49" i="20"/>
  <c r="J49" i="20"/>
  <c r="K49" i="20"/>
  <c r="L49" i="20"/>
  <c r="M49" i="20"/>
  <c r="N49" i="20"/>
  <c r="E50" i="20"/>
  <c r="F50" i="20"/>
  <c r="G50" i="20"/>
  <c r="H50" i="20"/>
  <c r="I50" i="20"/>
  <c r="J50" i="20"/>
  <c r="K50" i="20"/>
  <c r="L50" i="20"/>
  <c r="M50" i="20"/>
  <c r="N50" i="20"/>
  <c r="E51" i="20"/>
  <c r="F51" i="20"/>
  <c r="G51" i="20"/>
  <c r="H51" i="20"/>
  <c r="I51" i="20"/>
  <c r="J51" i="20"/>
  <c r="K51" i="20"/>
  <c r="L51" i="20"/>
  <c r="M51" i="20"/>
  <c r="N51" i="20"/>
  <c r="E52" i="20"/>
  <c r="F52" i="20"/>
  <c r="G52" i="20"/>
  <c r="H52" i="20"/>
  <c r="I52" i="20"/>
  <c r="J52" i="20"/>
  <c r="K52" i="20"/>
  <c r="L52" i="20"/>
  <c r="M52" i="20"/>
  <c r="N52" i="20"/>
  <c r="E53" i="20"/>
  <c r="F53" i="20"/>
  <c r="G53" i="20"/>
  <c r="H53" i="20"/>
  <c r="I53" i="20"/>
  <c r="J53" i="20"/>
  <c r="K53" i="20"/>
  <c r="L53" i="20"/>
  <c r="M53" i="20"/>
  <c r="N53" i="20"/>
  <c r="E54" i="20"/>
  <c r="F54" i="20"/>
  <c r="G54" i="20"/>
  <c r="H54" i="20"/>
  <c r="I54" i="20"/>
  <c r="J54" i="20"/>
  <c r="K54" i="20"/>
  <c r="L54" i="20"/>
  <c r="M54" i="20"/>
  <c r="N54" i="20"/>
  <c r="E55" i="20"/>
  <c r="F55" i="20"/>
  <c r="G55" i="20"/>
  <c r="H55" i="20"/>
  <c r="I55" i="20"/>
  <c r="J55" i="20"/>
  <c r="K55" i="20"/>
  <c r="L55" i="20"/>
  <c r="M55" i="20"/>
  <c r="N55" i="20"/>
  <c r="E56" i="20"/>
  <c r="F56" i="20"/>
  <c r="G56" i="20"/>
  <c r="H56" i="20"/>
  <c r="I56" i="20"/>
  <c r="J56" i="20"/>
  <c r="K56" i="20"/>
  <c r="L56" i="20"/>
  <c r="M56" i="20"/>
  <c r="N56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" i="1"/>
  <c r="N36" i="22"/>
  <c r="N240" i="23"/>
  <c r="N205" i="23"/>
  <c r="N206" i="23"/>
  <c r="N207" i="23"/>
  <c r="N208" i="23"/>
  <c r="N209" i="23"/>
  <c r="N210" i="23"/>
  <c r="N211" i="23"/>
  <c r="N212" i="23"/>
  <c r="N213" i="23"/>
  <c r="N214" i="23"/>
  <c r="N215" i="23"/>
  <c r="N216" i="23"/>
  <c r="N217" i="23"/>
  <c r="N218" i="23"/>
  <c r="N219" i="23"/>
  <c r="N220" i="23"/>
  <c r="N221" i="23"/>
  <c r="N222" i="23"/>
  <c r="N223" i="23"/>
  <c r="N224" i="23"/>
  <c r="N225" i="23"/>
  <c r="N226" i="23"/>
  <c r="N227" i="23"/>
  <c r="N228" i="23"/>
  <c r="N229" i="23"/>
  <c r="N230" i="23"/>
  <c r="N231" i="23"/>
  <c r="N232" i="23"/>
  <c r="N233" i="23"/>
  <c r="N234" i="23"/>
  <c r="N235" i="23"/>
  <c r="N236" i="23"/>
  <c r="N237" i="23"/>
  <c r="N238" i="23"/>
  <c r="B204" i="23"/>
  <c r="N204" i="23"/>
  <c r="J4" i="1"/>
  <c r="N2" i="4"/>
  <c r="N82" i="21"/>
  <c r="N81" i="3"/>
  <c r="N46" i="3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2" i="4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B46" i="3"/>
  <c r="M46" i="3"/>
  <c r="L46" i="3"/>
  <c r="K46" i="3"/>
  <c r="J46" i="3"/>
  <c r="I46" i="3"/>
  <c r="H46" i="3"/>
  <c r="G46" i="3"/>
  <c r="F46" i="3"/>
  <c r="E46" i="3"/>
  <c r="D46" i="3"/>
  <c r="D47" i="3"/>
  <c r="E47" i="3"/>
  <c r="F47" i="3"/>
  <c r="G47" i="3"/>
  <c r="H47" i="3"/>
  <c r="I47" i="3"/>
  <c r="J47" i="3"/>
  <c r="K47" i="3"/>
  <c r="L47" i="3"/>
  <c r="M47" i="3"/>
  <c r="D48" i="3"/>
  <c r="E48" i="3"/>
  <c r="F48" i="3"/>
  <c r="G48" i="3"/>
  <c r="H48" i="3"/>
  <c r="I48" i="3"/>
  <c r="J48" i="3"/>
  <c r="K48" i="3"/>
  <c r="L48" i="3"/>
  <c r="M48" i="3"/>
  <c r="D49" i="3"/>
  <c r="E49" i="3"/>
  <c r="F49" i="3"/>
  <c r="G49" i="3"/>
  <c r="H49" i="3"/>
  <c r="I49" i="3"/>
  <c r="J49" i="3"/>
  <c r="K49" i="3"/>
  <c r="L49" i="3"/>
  <c r="M49" i="3"/>
  <c r="D50" i="3"/>
  <c r="E50" i="3"/>
  <c r="F50" i="3"/>
  <c r="G50" i="3"/>
  <c r="H50" i="3"/>
  <c r="I50" i="3"/>
  <c r="J50" i="3"/>
  <c r="K50" i="3"/>
  <c r="L50" i="3"/>
  <c r="M50" i="3"/>
  <c r="D51" i="3"/>
  <c r="E51" i="3"/>
  <c r="F51" i="3"/>
  <c r="G51" i="3"/>
  <c r="H51" i="3"/>
  <c r="I51" i="3"/>
  <c r="J51" i="3"/>
  <c r="K51" i="3"/>
  <c r="L51" i="3"/>
  <c r="M51" i="3"/>
  <c r="D52" i="3"/>
  <c r="E52" i="3"/>
  <c r="F52" i="3"/>
  <c r="G52" i="3"/>
  <c r="H52" i="3"/>
  <c r="I52" i="3"/>
  <c r="J52" i="3"/>
  <c r="K52" i="3"/>
  <c r="L52" i="3"/>
  <c r="M52" i="3"/>
  <c r="D53" i="3"/>
  <c r="E53" i="3"/>
  <c r="F53" i="3"/>
  <c r="G53" i="3"/>
  <c r="H53" i="3"/>
  <c r="I53" i="3"/>
  <c r="J53" i="3"/>
  <c r="K53" i="3"/>
  <c r="L53" i="3"/>
  <c r="M53" i="3"/>
  <c r="D54" i="3"/>
  <c r="E54" i="3"/>
  <c r="F54" i="3"/>
  <c r="G54" i="3"/>
  <c r="H54" i="3"/>
  <c r="I54" i="3"/>
  <c r="J54" i="3"/>
  <c r="K54" i="3"/>
  <c r="L54" i="3"/>
  <c r="M54" i="3"/>
  <c r="D55" i="3"/>
  <c r="E55" i="3"/>
  <c r="F55" i="3"/>
  <c r="G55" i="3"/>
  <c r="H55" i="3"/>
  <c r="I55" i="3"/>
  <c r="J55" i="3"/>
  <c r="K55" i="3"/>
  <c r="L55" i="3"/>
  <c r="M55" i="3"/>
  <c r="D56" i="3"/>
  <c r="E56" i="3"/>
  <c r="F56" i="3"/>
  <c r="G56" i="3"/>
  <c r="H56" i="3"/>
  <c r="I56" i="3"/>
  <c r="J56" i="3"/>
  <c r="K56" i="3"/>
  <c r="L56" i="3"/>
  <c r="M56" i="3"/>
  <c r="D57" i="3"/>
  <c r="E57" i="3"/>
  <c r="F57" i="3"/>
  <c r="G57" i="3"/>
  <c r="H57" i="3"/>
  <c r="I57" i="3"/>
  <c r="J57" i="3"/>
  <c r="K57" i="3"/>
  <c r="L57" i="3"/>
  <c r="M57" i="3"/>
  <c r="D58" i="3"/>
  <c r="E58" i="3"/>
  <c r="F58" i="3"/>
  <c r="G58" i="3"/>
  <c r="H58" i="3"/>
  <c r="I58" i="3"/>
  <c r="J58" i="3"/>
  <c r="K58" i="3"/>
  <c r="L58" i="3"/>
  <c r="M58" i="3"/>
  <c r="D59" i="3"/>
  <c r="E59" i="3"/>
  <c r="F59" i="3"/>
  <c r="G59" i="3"/>
  <c r="H59" i="3"/>
  <c r="I59" i="3"/>
  <c r="J59" i="3"/>
  <c r="K59" i="3"/>
  <c r="L59" i="3"/>
  <c r="M59" i="3"/>
  <c r="D60" i="3"/>
  <c r="E60" i="3"/>
  <c r="F60" i="3"/>
  <c r="G60" i="3"/>
  <c r="H60" i="3"/>
  <c r="I60" i="3"/>
  <c r="J60" i="3"/>
  <c r="K60" i="3"/>
  <c r="L60" i="3"/>
  <c r="M60" i="3"/>
  <c r="D61" i="3"/>
  <c r="E61" i="3"/>
  <c r="F61" i="3"/>
  <c r="G61" i="3"/>
  <c r="H61" i="3"/>
  <c r="I61" i="3"/>
  <c r="J61" i="3"/>
  <c r="K61" i="3"/>
  <c r="L61" i="3"/>
  <c r="M61" i="3"/>
  <c r="D62" i="3"/>
  <c r="E62" i="3"/>
  <c r="F62" i="3"/>
  <c r="G62" i="3"/>
  <c r="H62" i="3"/>
  <c r="I62" i="3"/>
  <c r="J62" i="3"/>
  <c r="K62" i="3"/>
  <c r="L62" i="3"/>
  <c r="M62" i="3"/>
  <c r="D63" i="3"/>
  <c r="E63" i="3"/>
  <c r="F63" i="3"/>
  <c r="G63" i="3"/>
  <c r="H63" i="3"/>
  <c r="I63" i="3"/>
  <c r="J63" i="3"/>
  <c r="K63" i="3"/>
  <c r="L63" i="3"/>
  <c r="M63" i="3"/>
  <c r="D64" i="3"/>
  <c r="E64" i="3"/>
  <c r="F64" i="3"/>
  <c r="G64" i="3"/>
  <c r="H64" i="3"/>
  <c r="I64" i="3"/>
  <c r="J64" i="3"/>
  <c r="K64" i="3"/>
  <c r="L64" i="3"/>
  <c r="M64" i="3"/>
  <c r="D65" i="3"/>
  <c r="E65" i="3"/>
  <c r="F65" i="3"/>
  <c r="G65" i="3"/>
  <c r="H65" i="3"/>
  <c r="I65" i="3"/>
  <c r="J65" i="3"/>
  <c r="K65" i="3"/>
  <c r="L65" i="3"/>
  <c r="M65" i="3"/>
  <c r="D66" i="3"/>
  <c r="E66" i="3"/>
  <c r="F66" i="3"/>
  <c r="G66" i="3"/>
  <c r="H66" i="3"/>
  <c r="I66" i="3"/>
  <c r="J66" i="3"/>
  <c r="K66" i="3"/>
  <c r="L66" i="3"/>
  <c r="M66" i="3"/>
  <c r="D67" i="3"/>
  <c r="E67" i="3"/>
  <c r="F67" i="3"/>
  <c r="G67" i="3"/>
  <c r="H67" i="3"/>
  <c r="I67" i="3"/>
  <c r="J67" i="3"/>
  <c r="K67" i="3"/>
  <c r="L67" i="3"/>
  <c r="M67" i="3"/>
  <c r="D68" i="3"/>
  <c r="E68" i="3"/>
  <c r="F68" i="3"/>
  <c r="G68" i="3"/>
  <c r="H68" i="3"/>
  <c r="I68" i="3"/>
  <c r="J68" i="3"/>
  <c r="K68" i="3"/>
  <c r="L68" i="3"/>
  <c r="M68" i="3"/>
  <c r="D69" i="3"/>
  <c r="E69" i="3"/>
  <c r="F69" i="3"/>
  <c r="G69" i="3"/>
  <c r="H69" i="3"/>
  <c r="I69" i="3"/>
  <c r="J69" i="3"/>
  <c r="K69" i="3"/>
  <c r="L69" i="3"/>
  <c r="M69" i="3"/>
  <c r="D70" i="3"/>
  <c r="E70" i="3"/>
  <c r="F70" i="3"/>
  <c r="G70" i="3"/>
  <c r="H70" i="3"/>
  <c r="I70" i="3"/>
  <c r="J70" i="3"/>
  <c r="K70" i="3"/>
  <c r="L70" i="3"/>
  <c r="M70" i="3"/>
  <c r="D71" i="3"/>
  <c r="E71" i="3"/>
  <c r="F71" i="3"/>
  <c r="G71" i="3"/>
  <c r="H71" i="3"/>
  <c r="I71" i="3"/>
  <c r="J71" i="3"/>
  <c r="K71" i="3"/>
  <c r="L71" i="3"/>
  <c r="M71" i="3"/>
  <c r="D72" i="3"/>
  <c r="E72" i="3"/>
  <c r="F72" i="3"/>
  <c r="G72" i="3"/>
  <c r="H72" i="3"/>
  <c r="I72" i="3"/>
  <c r="J72" i="3"/>
  <c r="K72" i="3"/>
  <c r="L72" i="3"/>
  <c r="M72" i="3"/>
  <c r="D73" i="3"/>
  <c r="E73" i="3"/>
  <c r="F73" i="3"/>
  <c r="G73" i="3"/>
  <c r="H73" i="3"/>
  <c r="I73" i="3"/>
  <c r="J73" i="3"/>
  <c r="K73" i="3"/>
  <c r="L73" i="3"/>
  <c r="M73" i="3"/>
  <c r="D74" i="3"/>
  <c r="E74" i="3"/>
  <c r="F74" i="3"/>
  <c r="G74" i="3"/>
  <c r="H74" i="3"/>
  <c r="I74" i="3"/>
  <c r="J74" i="3"/>
  <c r="K74" i="3"/>
  <c r="L74" i="3"/>
  <c r="M74" i="3"/>
  <c r="D75" i="3"/>
  <c r="E75" i="3"/>
  <c r="F75" i="3"/>
  <c r="G75" i="3"/>
  <c r="H75" i="3"/>
  <c r="I75" i="3"/>
  <c r="J75" i="3"/>
  <c r="K75" i="3"/>
  <c r="L75" i="3"/>
  <c r="M75" i="3"/>
  <c r="D76" i="3"/>
  <c r="E76" i="3"/>
  <c r="F76" i="3"/>
  <c r="G76" i="3"/>
  <c r="H76" i="3"/>
  <c r="I76" i="3"/>
  <c r="J76" i="3"/>
  <c r="K76" i="3"/>
  <c r="L76" i="3"/>
  <c r="M76" i="3"/>
  <c r="D77" i="3"/>
  <c r="E77" i="3"/>
  <c r="F77" i="3"/>
  <c r="G77" i="3"/>
  <c r="H77" i="3"/>
  <c r="I77" i="3"/>
  <c r="J77" i="3"/>
  <c r="K77" i="3"/>
  <c r="L77" i="3"/>
  <c r="M77" i="3"/>
  <c r="D78" i="3"/>
  <c r="E78" i="3"/>
  <c r="F78" i="3"/>
  <c r="G78" i="3"/>
  <c r="H78" i="3"/>
  <c r="I78" i="3"/>
  <c r="J78" i="3"/>
  <c r="K78" i="3"/>
  <c r="L78" i="3"/>
  <c r="M78" i="3"/>
  <c r="D79" i="3"/>
  <c r="E79" i="3"/>
  <c r="F79" i="3"/>
  <c r="G79" i="3"/>
  <c r="H79" i="3"/>
  <c r="I79" i="3"/>
  <c r="J79" i="3"/>
  <c r="K79" i="3"/>
  <c r="L79" i="3"/>
  <c r="M79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49" i="21"/>
  <c r="B48" i="21"/>
  <c r="B79" i="21"/>
  <c r="J12" i="4"/>
  <c r="J14" i="4"/>
  <c r="J23" i="4"/>
  <c r="J25" i="4"/>
  <c r="J26" i="4"/>
  <c r="J29" i="4"/>
  <c r="J38" i="4"/>
  <c r="J41" i="4"/>
  <c r="J42" i="4"/>
  <c r="N198" i="23"/>
  <c r="M205" i="23"/>
  <c r="M206" i="23"/>
  <c r="M207" i="23"/>
  <c r="M208" i="23"/>
  <c r="M209" i="23"/>
  <c r="M210" i="23"/>
  <c r="M211" i="23"/>
  <c r="M212" i="23"/>
  <c r="M213" i="23"/>
  <c r="M214" i="23"/>
  <c r="M215" i="23"/>
  <c r="M216" i="23"/>
  <c r="M217" i="23"/>
  <c r="M218" i="23"/>
  <c r="M219" i="23"/>
  <c r="M220" i="23"/>
  <c r="M221" i="23"/>
  <c r="M222" i="23"/>
  <c r="M223" i="23"/>
  <c r="M224" i="23"/>
  <c r="M225" i="23"/>
  <c r="M226" i="23"/>
  <c r="M227" i="23"/>
  <c r="M228" i="23"/>
  <c r="M229" i="23"/>
  <c r="M230" i="23"/>
  <c r="M231" i="23"/>
  <c r="M232" i="23"/>
  <c r="M233" i="23"/>
  <c r="M234" i="23"/>
  <c r="M235" i="23"/>
  <c r="M236" i="23"/>
  <c r="M237" i="23"/>
  <c r="M238" i="23"/>
  <c r="M204" i="23"/>
  <c r="L205" i="23"/>
  <c r="L206" i="23"/>
  <c r="L207" i="23"/>
  <c r="L208" i="23"/>
  <c r="L209" i="23"/>
  <c r="L210" i="23"/>
  <c r="L211" i="23"/>
  <c r="L212" i="23"/>
  <c r="L213" i="23"/>
  <c r="L214" i="23"/>
  <c r="L215" i="23"/>
  <c r="L216" i="23"/>
  <c r="L217" i="23"/>
  <c r="L218" i="23"/>
  <c r="L219" i="23"/>
  <c r="L220" i="23"/>
  <c r="L221" i="23"/>
  <c r="L222" i="23"/>
  <c r="L223" i="23"/>
  <c r="L224" i="23"/>
  <c r="L225" i="23"/>
  <c r="L226" i="23"/>
  <c r="L227" i="23"/>
  <c r="L228" i="23"/>
  <c r="L229" i="23"/>
  <c r="L230" i="23"/>
  <c r="L231" i="23"/>
  <c r="L232" i="23"/>
  <c r="L233" i="23"/>
  <c r="L234" i="23"/>
  <c r="L235" i="23"/>
  <c r="L236" i="23"/>
  <c r="L237" i="23"/>
  <c r="L238" i="23"/>
  <c r="L204" i="23"/>
  <c r="K205" i="23"/>
  <c r="K206" i="23"/>
  <c r="K207" i="23"/>
  <c r="K208" i="23"/>
  <c r="K209" i="23"/>
  <c r="K210" i="23"/>
  <c r="K211" i="23"/>
  <c r="K212" i="23"/>
  <c r="K213" i="23"/>
  <c r="K214" i="23"/>
  <c r="K215" i="23"/>
  <c r="K216" i="23"/>
  <c r="K217" i="23"/>
  <c r="K218" i="23"/>
  <c r="K219" i="23"/>
  <c r="K220" i="23"/>
  <c r="K221" i="23"/>
  <c r="K222" i="23"/>
  <c r="K223" i="23"/>
  <c r="K224" i="23"/>
  <c r="K225" i="23"/>
  <c r="K226" i="23"/>
  <c r="K227" i="23"/>
  <c r="K228" i="23"/>
  <c r="K229" i="23"/>
  <c r="K230" i="23"/>
  <c r="K231" i="23"/>
  <c r="K232" i="23"/>
  <c r="K233" i="23"/>
  <c r="K234" i="23"/>
  <c r="K235" i="23"/>
  <c r="K236" i="23"/>
  <c r="K237" i="23"/>
  <c r="K238" i="23"/>
  <c r="K204" i="23"/>
  <c r="J205" i="23"/>
  <c r="J206" i="23"/>
  <c r="J207" i="23"/>
  <c r="J208" i="23"/>
  <c r="J209" i="23"/>
  <c r="J210" i="23"/>
  <c r="J211" i="23"/>
  <c r="J212" i="23"/>
  <c r="J213" i="23"/>
  <c r="J214" i="23"/>
  <c r="J215" i="23"/>
  <c r="J216" i="23"/>
  <c r="J217" i="23"/>
  <c r="J218" i="23"/>
  <c r="J219" i="23"/>
  <c r="J220" i="23"/>
  <c r="J221" i="23"/>
  <c r="J222" i="23"/>
  <c r="J223" i="23"/>
  <c r="J224" i="23"/>
  <c r="J225" i="23"/>
  <c r="J226" i="23"/>
  <c r="J227" i="23"/>
  <c r="J228" i="23"/>
  <c r="J229" i="23"/>
  <c r="J230" i="23"/>
  <c r="J231" i="23"/>
  <c r="J232" i="23"/>
  <c r="J233" i="23"/>
  <c r="J234" i="23"/>
  <c r="J235" i="23"/>
  <c r="J236" i="23"/>
  <c r="J237" i="23"/>
  <c r="J238" i="23"/>
  <c r="J204" i="23"/>
  <c r="I205" i="23"/>
  <c r="I206" i="23"/>
  <c r="I207" i="23"/>
  <c r="I208" i="23"/>
  <c r="I209" i="23"/>
  <c r="I210" i="23"/>
  <c r="I211" i="23"/>
  <c r="I212" i="23"/>
  <c r="I213" i="23"/>
  <c r="I214" i="23"/>
  <c r="I215" i="23"/>
  <c r="I216" i="23"/>
  <c r="I217" i="23"/>
  <c r="I218" i="23"/>
  <c r="I219" i="23"/>
  <c r="I220" i="23"/>
  <c r="I221" i="23"/>
  <c r="I222" i="23"/>
  <c r="I223" i="23"/>
  <c r="I224" i="23"/>
  <c r="I225" i="23"/>
  <c r="I226" i="23"/>
  <c r="I227" i="23"/>
  <c r="I228" i="23"/>
  <c r="I229" i="23"/>
  <c r="I230" i="23"/>
  <c r="I231" i="23"/>
  <c r="I232" i="23"/>
  <c r="I233" i="23"/>
  <c r="I234" i="23"/>
  <c r="I235" i="23"/>
  <c r="I236" i="23"/>
  <c r="I237" i="23"/>
  <c r="I238" i="23"/>
  <c r="I204" i="23"/>
  <c r="H205" i="23"/>
  <c r="H206" i="23"/>
  <c r="H207" i="23"/>
  <c r="H208" i="23"/>
  <c r="H209" i="23"/>
  <c r="H210" i="23"/>
  <c r="H211" i="23"/>
  <c r="H212" i="23"/>
  <c r="H213" i="23"/>
  <c r="H214" i="23"/>
  <c r="H215" i="23"/>
  <c r="H216" i="23"/>
  <c r="H217" i="23"/>
  <c r="H218" i="23"/>
  <c r="H219" i="23"/>
  <c r="H220" i="23"/>
  <c r="H221" i="23"/>
  <c r="H222" i="23"/>
  <c r="H223" i="23"/>
  <c r="H224" i="23"/>
  <c r="H225" i="23"/>
  <c r="H226" i="23"/>
  <c r="H227" i="23"/>
  <c r="H228" i="23"/>
  <c r="H229" i="23"/>
  <c r="H230" i="23"/>
  <c r="H231" i="23"/>
  <c r="H232" i="23"/>
  <c r="H233" i="23"/>
  <c r="H234" i="23"/>
  <c r="H235" i="23"/>
  <c r="H236" i="23"/>
  <c r="H237" i="23"/>
  <c r="H238" i="23"/>
  <c r="H204" i="23"/>
  <c r="G205" i="23"/>
  <c r="G206" i="23"/>
  <c r="G207" i="23"/>
  <c r="G208" i="23"/>
  <c r="G209" i="23"/>
  <c r="G210" i="23"/>
  <c r="G211" i="23"/>
  <c r="G212" i="23"/>
  <c r="G213" i="23"/>
  <c r="G214" i="23"/>
  <c r="G215" i="23"/>
  <c r="G216" i="23"/>
  <c r="G217" i="23"/>
  <c r="G218" i="23"/>
  <c r="G219" i="23"/>
  <c r="G220" i="23"/>
  <c r="G221" i="23"/>
  <c r="G222" i="23"/>
  <c r="G223" i="23"/>
  <c r="G224" i="23"/>
  <c r="G225" i="23"/>
  <c r="G226" i="23"/>
  <c r="G227" i="23"/>
  <c r="G228" i="23"/>
  <c r="G229" i="23"/>
  <c r="G230" i="23"/>
  <c r="G231" i="23"/>
  <c r="G232" i="23"/>
  <c r="G233" i="23"/>
  <c r="G234" i="23"/>
  <c r="G235" i="23"/>
  <c r="G236" i="23"/>
  <c r="G237" i="23"/>
  <c r="G238" i="23"/>
  <c r="G204" i="23"/>
  <c r="F205" i="23"/>
  <c r="F206" i="23"/>
  <c r="F207" i="23"/>
  <c r="F208" i="23"/>
  <c r="F209" i="23"/>
  <c r="F210" i="23"/>
  <c r="F211" i="23"/>
  <c r="F212" i="23"/>
  <c r="F213" i="23"/>
  <c r="F214" i="23"/>
  <c r="F215" i="23"/>
  <c r="F216" i="23"/>
  <c r="F217" i="23"/>
  <c r="F218" i="23"/>
  <c r="F219" i="23"/>
  <c r="F220" i="23"/>
  <c r="F221" i="23"/>
  <c r="F222" i="23"/>
  <c r="F223" i="23"/>
  <c r="F224" i="23"/>
  <c r="F225" i="23"/>
  <c r="F226" i="23"/>
  <c r="F227" i="23"/>
  <c r="F228" i="23"/>
  <c r="F229" i="23"/>
  <c r="F230" i="23"/>
  <c r="F231" i="23"/>
  <c r="F232" i="23"/>
  <c r="F233" i="23"/>
  <c r="F234" i="23"/>
  <c r="F235" i="23"/>
  <c r="F236" i="23"/>
  <c r="F237" i="23"/>
  <c r="F238" i="23"/>
  <c r="F204" i="23"/>
  <c r="E205" i="23"/>
  <c r="E206" i="23"/>
  <c r="E207" i="23"/>
  <c r="E208" i="23"/>
  <c r="E209" i="23"/>
  <c r="E210" i="23"/>
  <c r="E211" i="23"/>
  <c r="E212" i="23"/>
  <c r="E213" i="23"/>
  <c r="E214" i="23"/>
  <c r="E215" i="23"/>
  <c r="E216" i="23"/>
  <c r="E217" i="23"/>
  <c r="E218" i="23"/>
  <c r="E219" i="23"/>
  <c r="E220" i="23"/>
  <c r="E221" i="23"/>
  <c r="E222" i="23"/>
  <c r="E223" i="23"/>
  <c r="E224" i="23"/>
  <c r="E225" i="23"/>
  <c r="E226" i="23"/>
  <c r="E227" i="23"/>
  <c r="E228" i="23"/>
  <c r="E229" i="23"/>
  <c r="E230" i="23"/>
  <c r="E231" i="23"/>
  <c r="E232" i="23"/>
  <c r="E233" i="23"/>
  <c r="E234" i="23"/>
  <c r="E235" i="23"/>
  <c r="E236" i="23"/>
  <c r="E237" i="23"/>
  <c r="E238" i="23"/>
  <c r="E204" i="23"/>
  <c r="D205" i="23"/>
  <c r="D206" i="23"/>
  <c r="D207" i="23"/>
  <c r="D208" i="23"/>
  <c r="D209" i="23"/>
  <c r="D210" i="23"/>
  <c r="D211" i="23"/>
  <c r="D212" i="23"/>
  <c r="D213" i="23"/>
  <c r="D214" i="23"/>
  <c r="D215" i="23"/>
  <c r="D216" i="23"/>
  <c r="D217" i="23"/>
  <c r="D218" i="23"/>
  <c r="D219" i="23"/>
  <c r="D220" i="23"/>
  <c r="D221" i="23"/>
  <c r="D222" i="23"/>
  <c r="D223" i="23"/>
  <c r="D224" i="23"/>
  <c r="D225" i="23"/>
  <c r="D226" i="23"/>
  <c r="D227" i="23"/>
  <c r="D228" i="23"/>
  <c r="D229" i="23"/>
  <c r="D230" i="23"/>
  <c r="D231" i="23"/>
  <c r="D232" i="23"/>
  <c r="D233" i="23"/>
  <c r="D234" i="23"/>
  <c r="D235" i="23"/>
  <c r="D236" i="23"/>
  <c r="D237" i="23"/>
  <c r="D238" i="23"/>
  <c r="D204" i="23"/>
  <c r="C205" i="23"/>
  <c r="C206" i="23"/>
  <c r="C207" i="23"/>
  <c r="C208" i="23"/>
  <c r="C209" i="23"/>
  <c r="C210" i="23"/>
  <c r="C211" i="23"/>
  <c r="C212" i="23"/>
  <c r="C213" i="23"/>
  <c r="C214" i="23"/>
  <c r="C215" i="23"/>
  <c r="C216" i="23"/>
  <c r="C217" i="23"/>
  <c r="C218" i="23"/>
  <c r="C219" i="23"/>
  <c r="C220" i="23"/>
  <c r="C221" i="23"/>
  <c r="C222" i="23"/>
  <c r="C223" i="23"/>
  <c r="C224" i="23"/>
  <c r="C225" i="23"/>
  <c r="C226" i="23"/>
  <c r="C227" i="23"/>
  <c r="C228" i="23"/>
  <c r="C229" i="23"/>
  <c r="C230" i="23"/>
  <c r="C231" i="23"/>
  <c r="C232" i="23"/>
  <c r="C233" i="23"/>
  <c r="C234" i="23"/>
  <c r="C235" i="23"/>
  <c r="C236" i="23"/>
  <c r="C237" i="23"/>
  <c r="C238" i="23"/>
  <c r="C204" i="23"/>
  <c r="B205" i="23"/>
  <c r="B206" i="23"/>
  <c r="B207" i="23"/>
  <c r="B208" i="23"/>
  <c r="B209" i="23"/>
  <c r="B210" i="23"/>
  <c r="B211" i="23"/>
  <c r="B212" i="23"/>
  <c r="B213" i="23"/>
  <c r="B214" i="23"/>
  <c r="B215" i="23"/>
  <c r="B216" i="23"/>
  <c r="B217" i="23"/>
  <c r="B218" i="23"/>
  <c r="B219" i="23"/>
  <c r="B220" i="23"/>
  <c r="B221" i="23"/>
  <c r="B222" i="23"/>
  <c r="B223" i="23"/>
  <c r="B224" i="23"/>
  <c r="B225" i="23"/>
  <c r="B226" i="23"/>
  <c r="B227" i="23"/>
  <c r="B228" i="23"/>
  <c r="B229" i="23"/>
  <c r="B230" i="23"/>
  <c r="B231" i="23"/>
  <c r="B232" i="23"/>
  <c r="B233" i="23"/>
  <c r="B234" i="23"/>
  <c r="B235" i="23"/>
  <c r="B236" i="23"/>
  <c r="B237" i="23"/>
  <c r="B238" i="23"/>
  <c r="M23" i="22"/>
  <c r="L23" i="22"/>
  <c r="K23" i="22"/>
  <c r="J23" i="22"/>
  <c r="I23" i="22"/>
  <c r="H23" i="22"/>
  <c r="N24" i="22"/>
  <c r="N25" i="22"/>
  <c r="N26" i="22"/>
  <c r="N27" i="22"/>
  <c r="N28" i="22"/>
  <c r="N29" i="22"/>
  <c r="N30" i="22"/>
  <c r="N31" i="22"/>
  <c r="N32" i="22"/>
  <c r="N33" i="22"/>
  <c r="N34" i="22"/>
  <c r="N23" i="22"/>
  <c r="M24" i="22"/>
  <c r="M25" i="22"/>
  <c r="M26" i="22"/>
  <c r="M27" i="22"/>
  <c r="M28" i="22"/>
  <c r="M29" i="22"/>
  <c r="M30" i="22"/>
  <c r="M31" i="22"/>
  <c r="M32" i="22"/>
  <c r="M33" i="22"/>
  <c r="M34" i="22"/>
  <c r="L24" i="22"/>
  <c r="L25" i="22"/>
  <c r="L26" i="22"/>
  <c r="L27" i="22"/>
  <c r="L28" i="22"/>
  <c r="L29" i="22"/>
  <c r="L30" i="22"/>
  <c r="L31" i="22"/>
  <c r="L32" i="22"/>
  <c r="L33" i="22"/>
  <c r="L34" i="22"/>
  <c r="K24" i="22"/>
  <c r="K25" i="22"/>
  <c r="K26" i="22"/>
  <c r="K27" i="22"/>
  <c r="K28" i="22"/>
  <c r="K29" i="22"/>
  <c r="K30" i="22"/>
  <c r="K31" i="22"/>
  <c r="K32" i="22"/>
  <c r="K33" i="22"/>
  <c r="K34" i="22"/>
  <c r="J24" i="22"/>
  <c r="J25" i="22"/>
  <c r="J26" i="22"/>
  <c r="J27" i="22"/>
  <c r="J28" i="22"/>
  <c r="J29" i="22"/>
  <c r="J30" i="22"/>
  <c r="J31" i="22"/>
  <c r="J32" i="22"/>
  <c r="J33" i="22"/>
  <c r="J34" i="22"/>
  <c r="I24" i="22"/>
  <c r="I25" i="22"/>
  <c r="I26" i="22"/>
  <c r="I27" i="22"/>
  <c r="I28" i="22"/>
  <c r="I29" i="22"/>
  <c r="I30" i="22"/>
  <c r="I31" i="22"/>
  <c r="I32" i="22"/>
  <c r="I33" i="22"/>
  <c r="I34" i="22"/>
  <c r="H24" i="22"/>
  <c r="H25" i="22"/>
  <c r="H26" i="22"/>
  <c r="H27" i="22"/>
  <c r="H28" i="22"/>
  <c r="H29" i="22"/>
  <c r="H30" i="22"/>
  <c r="H31" i="22"/>
  <c r="H32" i="22"/>
  <c r="H33" i="22"/>
  <c r="H34" i="22"/>
  <c r="G24" i="22"/>
  <c r="G25" i="22"/>
  <c r="G26" i="22"/>
  <c r="G27" i="22"/>
  <c r="G28" i="22"/>
  <c r="G29" i="22"/>
  <c r="G30" i="22"/>
  <c r="G31" i="22"/>
  <c r="G32" i="22"/>
  <c r="G33" i="22"/>
  <c r="G34" i="22"/>
  <c r="G23" i="22"/>
  <c r="F24" i="22"/>
  <c r="F25" i="22"/>
  <c r="F26" i="22"/>
  <c r="F27" i="22"/>
  <c r="F28" i="22"/>
  <c r="F29" i="22"/>
  <c r="F30" i="22"/>
  <c r="F31" i="22"/>
  <c r="F32" i="22"/>
  <c r="F33" i="22"/>
  <c r="F34" i="22"/>
  <c r="F23" i="22"/>
  <c r="E24" i="22"/>
  <c r="E25" i="22"/>
  <c r="E26" i="22"/>
  <c r="E27" i="22"/>
  <c r="E28" i="22"/>
  <c r="E29" i="22"/>
  <c r="E30" i="22"/>
  <c r="E31" i="22"/>
  <c r="E32" i="22"/>
  <c r="E33" i="22"/>
  <c r="E34" i="22"/>
  <c r="E23" i="22"/>
  <c r="D24" i="22"/>
  <c r="D25" i="22"/>
  <c r="D26" i="22"/>
  <c r="D27" i="22"/>
  <c r="D28" i="22"/>
  <c r="D29" i="22"/>
  <c r="D30" i="22"/>
  <c r="D31" i="22"/>
  <c r="D32" i="22"/>
  <c r="D33" i="22"/>
  <c r="D34" i="22"/>
  <c r="D23" i="22"/>
  <c r="C24" i="22"/>
  <c r="C25" i="22"/>
  <c r="C26" i="22"/>
  <c r="C27" i="22"/>
  <c r="C28" i="22"/>
  <c r="C29" i="22"/>
  <c r="C30" i="22"/>
  <c r="C31" i="22"/>
  <c r="C32" i="22"/>
  <c r="C33" i="22"/>
  <c r="C34" i="22"/>
  <c r="C23" i="22"/>
  <c r="B24" i="22"/>
  <c r="B25" i="22"/>
  <c r="B26" i="22"/>
  <c r="B27" i="22"/>
  <c r="B28" i="22"/>
  <c r="B29" i="22"/>
  <c r="B30" i="22"/>
  <c r="B31" i="22"/>
  <c r="B32" i="22"/>
  <c r="B33" i="22"/>
  <c r="B34" i="22"/>
  <c r="B23" i="22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Y156" i="23"/>
  <c r="I153" i="23"/>
  <c r="I152" i="23"/>
  <c r="M17" i="22"/>
  <c r="L17" i="22"/>
  <c r="K17" i="22"/>
  <c r="J17" i="22"/>
  <c r="I17" i="22"/>
  <c r="H17" i="22"/>
  <c r="G17" i="22"/>
  <c r="F17" i="22"/>
  <c r="E17" i="22"/>
  <c r="D17" i="22"/>
  <c r="C17" i="22"/>
  <c r="B17" i="22"/>
  <c r="I27" i="12"/>
  <c r="J27" i="12"/>
  <c r="K27" i="12"/>
  <c r="L27" i="12"/>
  <c r="M27" i="12"/>
  <c r="H27" i="12"/>
  <c r="F27" i="12"/>
  <c r="F5" i="1"/>
  <c r="F6" i="1"/>
  <c r="F7" i="1"/>
  <c r="F8" i="1"/>
  <c r="F9" i="1"/>
  <c r="F10" i="1"/>
  <c r="F11" i="1"/>
  <c r="F12" i="1"/>
  <c r="F13" i="1"/>
  <c r="F14" i="1"/>
  <c r="F15" i="1"/>
  <c r="F16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" i="1"/>
  <c r="AI12" i="14"/>
  <c r="AI16" i="14"/>
  <c r="E5" i="1"/>
  <c r="E6" i="1"/>
  <c r="E7" i="1"/>
  <c r="E8" i="1"/>
  <c r="E9" i="1"/>
  <c r="E10" i="1"/>
  <c r="E11" i="1"/>
  <c r="E12" i="1"/>
  <c r="E13" i="1"/>
  <c r="E14" i="1"/>
  <c r="E15" i="1"/>
  <c r="E16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L30" i="20"/>
  <c r="D30" i="20"/>
  <c r="E30" i="20"/>
  <c r="F30" i="20"/>
  <c r="G30" i="20"/>
  <c r="H30" i="20"/>
  <c r="I30" i="20"/>
  <c r="J30" i="20"/>
  <c r="K30" i="20"/>
  <c r="M30" i="20"/>
  <c r="N30" i="20"/>
  <c r="C30" i="20"/>
  <c r="D5" i="1"/>
  <c r="D6" i="1"/>
  <c r="D7" i="1"/>
  <c r="D8" i="1"/>
  <c r="D9" i="1"/>
  <c r="D10" i="1"/>
  <c r="D11" i="1"/>
  <c r="D12" i="1"/>
  <c r="D13" i="1"/>
  <c r="D14" i="1"/>
  <c r="D15" i="1"/>
  <c r="D16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" i="1"/>
  <c r="W29" i="14"/>
  <c r="X29" i="14"/>
  <c r="Y29" i="14"/>
  <c r="Z29" i="14"/>
  <c r="AA29" i="14"/>
  <c r="AB29" i="14"/>
  <c r="AC29" i="14"/>
  <c r="AD29" i="14"/>
  <c r="AE29" i="14"/>
  <c r="AF29" i="14"/>
  <c r="AG29" i="14"/>
  <c r="V29" i="14"/>
  <c r="O46" i="14"/>
  <c r="G27" i="12"/>
  <c r="C27" i="12"/>
  <c r="D27" i="12"/>
  <c r="E27" i="12"/>
  <c r="L267" i="7"/>
  <c r="D267" i="7"/>
  <c r="L266" i="7"/>
  <c r="D266" i="7"/>
  <c r="L265" i="7"/>
  <c r="D265" i="7"/>
  <c r="L264" i="7"/>
  <c r="D264" i="7"/>
  <c r="L263" i="7"/>
  <c r="D263" i="7"/>
  <c r="L262" i="7"/>
  <c r="D262" i="7"/>
  <c r="L261" i="7"/>
  <c r="D261" i="7"/>
  <c r="L260" i="7"/>
  <c r="D260" i="7"/>
  <c r="L259" i="7"/>
  <c r="D259" i="7"/>
  <c r="L258" i="7"/>
  <c r="D258" i="7"/>
  <c r="L257" i="7"/>
  <c r="D257" i="7"/>
  <c r="L256" i="7"/>
  <c r="D256" i="7"/>
  <c r="L255" i="7"/>
  <c r="D255" i="7"/>
  <c r="L254" i="7"/>
  <c r="D254" i="7"/>
  <c r="L253" i="7"/>
  <c r="D253" i="7"/>
  <c r="L252" i="7"/>
  <c r="D252" i="7"/>
  <c r="L251" i="7"/>
  <c r="D251" i="7"/>
  <c r="L250" i="7"/>
  <c r="D250" i="7"/>
  <c r="L249" i="7"/>
  <c r="D249" i="7"/>
  <c r="L248" i="7"/>
  <c r="D248" i="7"/>
  <c r="L247" i="7"/>
  <c r="D247" i="7"/>
  <c r="L246" i="7"/>
  <c r="D246" i="7"/>
  <c r="L245" i="7"/>
  <c r="D245" i="7"/>
  <c r="L244" i="7"/>
  <c r="D244" i="7"/>
  <c r="L243" i="7"/>
  <c r="D243" i="7"/>
  <c r="L242" i="7"/>
  <c r="D242" i="7"/>
  <c r="L241" i="7"/>
  <c r="D241" i="7"/>
  <c r="L240" i="7"/>
  <c r="D240" i="7"/>
  <c r="L239" i="7"/>
  <c r="D239" i="7"/>
  <c r="L238" i="7"/>
  <c r="D238" i="7"/>
  <c r="L237" i="7"/>
  <c r="D237" i="7"/>
  <c r="L236" i="7"/>
  <c r="D236" i="7"/>
  <c r="L235" i="7"/>
  <c r="D235" i="7"/>
  <c r="L234" i="7"/>
  <c r="D234" i="7"/>
  <c r="L233" i="7"/>
  <c r="D233" i="7"/>
  <c r="L232" i="7"/>
  <c r="D232" i="7"/>
  <c r="L231" i="7"/>
  <c r="D231" i="7"/>
  <c r="L230" i="7"/>
  <c r="D230" i="7"/>
  <c r="L229" i="7"/>
  <c r="D229" i="7"/>
  <c r="L228" i="7"/>
  <c r="D228" i="7"/>
  <c r="L227" i="7"/>
  <c r="D227" i="7"/>
  <c r="L226" i="7"/>
  <c r="D226" i="7"/>
  <c r="L225" i="7"/>
  <c r="D225" i="7"/>
  <c r="L224" i="7"/>
  <c r="D224" i="7"/>
  <c r="L223" i="7"/>
  <c r="D223" i="7"/>
  <c r="L222" i="7"/>
  <c r="D222" i="7"/>
  <c r="L221" i="7"/>
  <c r="D221" i="7"/>
  <c r="L220" i="7"/>
  <c r="D220" i="7"/>
  <c r="L219" i="7"/>
  <c r="D219" i="7"/>
  <c r="L218" i="7"/>
  <c r="D218" i="7"/>
  <c r="L217" i="7"/>
  <c r="D217" i="7"/>
  <c r="L216" i="7"/>
  <c r="D216" i="7"/>
  <c r="L215" i="7"/>
  <c r="D215" i="7"/>
  <c r="L214" i="7"/>
  <c r="D214" i="7"/>
  <c r="L213" i="7"/>
  <c r="D213" i="7"/>
  <c r="L212" i="7"/>
  <c r="D212" i="7"/>
  <c r="L211" i="7"/>
  <c r="D211" i="7"/>
  <c r="L210" i="7"/>
  <c r="D210" i="7"/>
  <c r="L209" i="7"/>
  <c r="D209" i="7"/>
  <c r="L208" i="7"/>
  <c r="D208" i="7"/>
  <c r="L207" i="7"/>
  <c r="D207" i="7"/>
  <c r="L206" i="7"/>
  <c r="D206" i="7"/>
  <c r="L205" i="7"/>
  <c r="D205" i="7"/>
  <c r="L204" i="7"/>
  <c r="D204" i="7"/>
  <c r="L203" i="7"/>
  <c r="D203" i="7"/>
  <c r="L202" i="7"/>
  <c r="D202" i="7"/>
  <c r="L201" i="7"/>
  <c r="D201" i="7"/>
  <c r="L200" i="7"/>
  <c r="D200" i="7"/>
  <c r="L199" i="7"/>
  <c r="D199" i="7"/>
  <c r="L198" i="7"/>
  <c r="D198" i="7"/>
  <c r="L197" i="7"/>
  <c r="D197" i="7"/>
  <c r="L196" i="7"/>
  <c r="D196" i="7"/>
  <c r="L195" i="7"/>
  <c r="D195" i="7"/>
  <c r="L194" i="7"/>
  <c r="D194" i="7"/>
  <c r="L193" i="7"/>
  <c r="D193" i="7"/>
  <c r="L192" i="7"/>
  <c r="D192" i="7"/>
  <c r="L191" i="7"/>
  <c r="D191" i="7"/>
  <c r="L190" i="7"/>
  <c r="D190" i="7"/>
  <c r="L189" i="7"/>
  <c r="D189" i="7"/>
  <c r="L188" i="7"/>
  <c r="D188" i="7"/>
  <c r="L187" i="7"/>
  <c r="D187" i="7"/>
  <c r="L186" i="7"/>
  <c r="D186" i="7"/>
  <c r="L185" i="7"/>
  <c r="D185" i="7"/>
  <c r="L184" i="7"/>
  <c r="D184" i="7"/>
  <c r="L183" i="7"/>
  <c r="D183" i="7"/>
  <c r="L182" i="7"/>
  <c r="D182" i="7"/>
  <c r="L181" i="7"/>
  <c r="D181" i="7"/>
  <c r="L180" i="7"/>
  <c r="D180" i="7"/>
  <c r="L179" i="7"/>
  <c r="D179" i="7"/>
  <c r="L178" i="7"/>
  <c r="D178" i="7"/>
  <c r="L177" i="7"/>
  <c r="D177" i="7"/>
  <c r="L176" i="7"/>
  <c r="D176" i="7"/>
  <c r="L175" i="7"/>
  <c r="D175" i="7"/>
  <c r="L174" i="7"/>
  <c r="D174" i="7"/>
  <c r="L173" i="7"/>
  <c r="D173" i="7"/>
  <c r="L172" i="7"/>
  <c r="D172" i="7"/>
  <c r="L171" i="7"/>
  <c r="D171" i="7"/>
  <c r="L170" i="7"/>
  <c r="D170" i="7"/>
  <c r="L169" i="7"/>
  <c r="D169" i="7"/>
  <c r="L168" i="7"/>
  <c r="D168" i="7"/>
  <c r="L167" i="7"/>
  <c r="D167" i="7"/>
  <c r="L166" i="7"/>
  <c r="D166" i="7"/>
  <c r="L165" i="7"/>
  <c r="D165" i="7"/>
  <c r="L164" i="7"/>
  <c r="D164" i="7"/>
  <c r="L163" i="7"/>
  <c r="D163" i="7"/>
  <c r="L162" i="7"/>
  <c r="D162" i="7"/>
  <c r="L161" i="7"/>
  <c r="D161" i="7"/>
  <c r="L160" i="7"/>
  <c r="D160" i="7"/>
  <c r="L159" i="7"/>
  <c r="D159" i="7"/>
  <c r="L158" i="7"/>
  <c r="D158" i="7"/>
  <c r="L157" i="7"/>
  <c r="D157" i="7"/>
  <c r="L156" i="7"/>
  <c r="D156" i="7"/>
  <c r="L155" i="7"/>
  <c r="D155" i="7"/>
  <c r="L154" i="7"/>
  <c r="D154" i="7"/>
  <c r="L153" i="7"/>
  <c r="D153" i="7"/>
  <c r="L152" i="7"/>
  <c r="D152" i="7"/>
  <c r="L151" i="7"/>
  <c r="D151" i="7"/>
  <c r="L150" i="7"/>
  <c r="D150" i="7"/>
  <c r="L149" i="7"/>
  <c r="D149" i="7"/>
  <c r="L148" i="7"/>
  <c r="D148" i="7"/>
  <c r="L147" i="7"/>
  <c r="D147" i="7"/>
  <c r="L146" i="7"/>
  <c r="D146" i="7"/>
  <c r="L145" i="7"/>
  <c r="D145" i="7"/>
  <c r="L144" i="7"/>
  <c r="D144" i="7"/>
  <c r="L143" i="7"/>
  <c r="D143" i="7"/>
  <c r="L142" i="7"/>
  <c r="D142" i="7"/>
  <c r="L141" i="7"/>
  <c r="D141" i="7"/>
  <c r="L140" i="7"/>
  <c r="D140" i="7"/>
  <c r="L139" i="7"/>
  <c r="D139" i="7"/>
  <c r="L138" i="7"/>
  <c r="D138" i="7"/>
  <c r="L137" i="7"/>
  <c r="D137" i="7"/>
  <c r="L136" i="7"/>
  <c r="D136" i="7"/>
  <c r="L135" i="7"/>
  <c r="D135" i="7"/>
  <c r="L134" i="7"/>
  <c r="D134" i="7"/>
  <c r="L133" i="7"/>
  <c r="D133" i="7"/>
  <c r="L132" i="7"/>
  <c r="D132" i="7"/>
  <c r="L131" i="7"/>
  <c r="D131" i="7"/>
  <c r="L130" i="7"/>
  <c r="D130" i="7"/>
  <c r="L129" i="7"/>
  <c r="D129" i="7"/>
  <c r="L128" i="7"/>
  <c r="D128" i="7"/>
  <c r="L127" i="7"/>
  <c r="D127" i="7"/>
  <c r="L126" i="7"/>
  <c r="D126" i="7"/>
  <c r="L125" i="7"/>
  <c r="D125" i="7"/>
  <c r="L124" i="7"/>
  <c r="D124" i="7"/>
  <c r="L123" i="7"/>
  <c r="D123" i="7"/>
  <c r="L122" i="7"/>
  <c r="D122" i="7"/>
  <c r="L121" i="7"/>
  <c r="D121" i="7"/>
  <c r="L120" i="7"/>
  <c r="D120" i="7"/>
  <c r="L119" i="7"/>
  <c r="D119" i="7"/>
  <c r="L118" i="7"/>
  <c r="D118" i="7"/>
  <c r="L117" i="7"/>
  <c r="D117" i="7"/>
  <c r="L116" i="7"/>
  <c r="D116" i="7"/>
  <c r="L115" i="7"/>
  <c r="D115" i="7"/>
  <c r="L114" i="7"/>
  <c r="D114" i="7"/>
  <c r="L113" i="7"/>
  <c r="D113" i="7"/>
  <c r="L112" i="7"/>
  <c r="D112" i="7"/>
  <c r="L111" i="7"/>
  <c r="D111" i="7"/>
  <c r="L110" i="7"/>
  <c r="D110" i="7"/>
  <c r="L109" i="7"/>
  <c r="D109" i="7"/>
  <c r="L108" i="7"/>
  <c r="D108" i="7"/>
  <c r="L107" i="7"/>
  <c r="D107" i="7"/>
  <c r="L106" i="7"/>
  <c r="D106" i="7"/>
  <c r="L105" i="7"/>
  <c r="D105" i="7"/>
  <c r="L104" i="7"/>
  <c r="D104" i="7"/>
  <c r="L103" i="7"/>
  <c r="D103" i="7"/>
  <c r="L102" i="7"/>
  <c r="D102" i="7"/>
  <c r="L101" i="7"/>
  <c r="D101" i="7"/>
  <c r="L100" i="7"/>
  <c r="D100" i="7"/>
  <c r="L99" i="7"/>
  <c r="D99" i="7"/>
  <c r="L98" i="7"/>
  <c r="D98" i="7"/>
  <c r="L97" i="7"/>
  <c r="D97" i="7"/>
  <c r="L96" i="7"/>
  <c r="D96" i="7"/>
  <c r="L95" i="7"/>
  <c r="D95" i="7"/>
  <c r="L94" i="7"/>
  <c r="D94" i="7"/>
  <c r="L93" i="7"/>
  <c r="D93" i="7"/>
  <c r="L92" i="7"/>
  <c r="D92" i="7"/>
  <c r="L91" i="7"/>
  <c r="D91" i="7"/>
  <c r="L90" i="7"/>
  <c r="D90" i="7"/>
  <c r="L89" i="7"/>
  <c r="D89" i="7"/>
  <c r="L88" i="7"/>
  <c r="D88" i="7"/>
  <c r="L87" i="7"/>
  <c r="D87" i="7"/>
  <c r="L86" i="7"/>
  <c r="D86" i="7"/>
  <c r="L85" i="7"/>
  <c r="D85" i="7"/>
  <c r="L84" i="7"/>
  <c r="D84" i="7"/>
  <c r="L83" i="7"/>
  <c r="D83" i="7"/>
  <c r="L82" i="7"/>
  <c r="D82" i="7"/>
  <c r="L81" i="7"/>
  <c r="D81" i="7"/>
  <c r="L80" i="7"/>
  <c r="D80" i="7"/>
  <c r="L79" i="7"/>
  <c r="D79" i="7"/>
  <c r="L78" i="7"/>
  <c r="D78" i="7"/>
  <c r="L77" i="7"/>
  <c r="D77" i="7"/>
  <c r="L76" i="7"/>
  <c r="D76" i="7"/>
  <c r="L75" i="7"/>
  <c r="D75" i="7"/>
  <c r="L74" i="7"/>
  <c r="D74" i="7"/>
  <c r="L73" i="7"/>
  <c r="D73" i="7"/>
  <c r="L72" i="7"/>
  <c r="D72" i="7"/>
  <c r="L71" i="7"/>
  <c r="D71" i="7"/>
  <c r="L70" i="7"/>
  <c r="D70" i="7"/>
  <c r="L69" i="7"/>
  <c r="D69" i="7"/>
  <c r="L68" i="7"/>
  <c r="D68" i="7"/>
  <c r="L67" i="7"/>
  <c r="D67" i="7"/>
  <c r="L66" i="7"/>
  <c r="D66" i="7"/>
  <c r="L65" i="7"/>
  <c r="D65" i="7"/>
  <c r="L64" i="7"/>
  <c r="D64" i="7"/>
  <c r="L63" i="7"/>
  <c r="D63" i="7"/>
  <c r="L62" i="7"/>
  <c r="D62" i="7"/>
  <c r="L61" i="7"/>
  <c r="D61" i="7"/>
  <c r="L60" i="7"/>
  <c r="D60" i="7"/>
  <c r="L59" i="7"/>
  <c r="D59" i="7"/>
  <c r="L58" i="7"/>
  <c r="D58" i="7"/>
  <c r="L57" i="7"/>
  <c r="D57" i="7"/>
  <c r="L56" i="7"/>
  <c r="D56" i="7"/>
  <c r="L55" i="7"/>
  <c r="D55" i="7"/>
  <c r="L54" i="7"/>
  <c r="D54" i="7"/>
  <c r="L53" i="7"/>
  <c r="D53" i="7"/>
  <c r="L52" i="7"/>
  <c r="D52" i="7"/>
  <c r="L51" i="7"/>
  <c r="D51" i="7"/>
  <c r="L50" i="7"/>
  <c r="D50" i="7"/>
  <c r="L49" i="7"/>
  <c r="D49" i="7"/>
  <c r="L48" i="7"/>
  <c r="D48" i="7"/>
  <c r="L47" i="7"/>
  <c r="D47" i="7"/>
  <c r="L46" i="7"/>
  <c r="D46" i="7"/>
  <c r="L45" i="7"/>
  <c r="D45" i="7"/>
  <c r="L44" i="7"/>
  <c r="D44" i="7"/>
  <c r="L43" i="7"/>
  <c r="D43" i="7"/>
  <c r="L42" i="7"/>
  <c r="D42" i="7"/>
  <c r="L41" i="7"/>
  <c r="D41" i="7"/>
  <c r="L40" i="7"/>
  <c r="D40" i="7"/>
  <c r="L39" i="7"/>
  <c r="D39" i="7"/>
  <c r="L38" i="7"/>
  <c r="D38" i="7"/>
  <c r="L37" i="7"/>
  <c r="D37" i="7"/>
  <c r="L36" i="7"/>
  <c r="D36" i="7"/>
  <c r="L35" i="7"/>
  <c r="D35" i="7"/>
  <c r="L34" i="7"/>
  <c r="D34" i="7"/>
  <c r="L33" i="7"/>
  <c r="D33" i="7"/>
  <c r="L32" i="7"/>
  <c r="D32" i="7"/>
  <c r="L31" i="7"/>
  <c r="D31" i="7"/>
  <c r="L30" i="7"/>
  <c r="D30" i="7"/>
  <c r="L29" i="7"/>
  <c r="D29" i="7"/>
  <c r="L28" i="7"/>
  <c r="D28" i="7"/>
  <c r="L27" i="7"/>
  <c r="D27" i="7"/>
  <c r="L26" i="7"/>
  <c r="D26" i="7"/>
  <c r="L25" i="7"/>
  <c r="D25" i="7"/>
  <c r="L24" i="7"/>
  <c r="D24" i="7"/>
  <c r="L23" i="7"/>
  <c r="D23" i="7"/>
  <c r="L22" i="7"/>
  <c r="D22" i="7"/>
  <c r="L21" i="7"/>
  <c r="D21" i="7"/>
  <c r="L20" i="7"/>
  <c r="D20" i="7"/>
  <c r="L19" i="7"/>
  <c r="D19" i="7"/>
  <c r="L18" i="7"/>
  <c r="D18" i="7"/>
  <c r="L17" i="7"/>
  <c r="D17" i="7"/>
  <c r="L16" i="7"/>
  <c r="D16" i="7"/>
  <c r="L15" i="7"/>
  <c r="D15" i="7"/>
  <c r="L14" i="7"/>
  <c r="D14" i="7"/>
  <c r="L13" i="7"/>
  <c r="D13" i="7"/>
  <c r="L12" i="7"/>
  <c r="D12" i="7"/>
  <c r="L11" i="7"/>
  <c r="D11" i="7"/>
  <c r="L10" i="7"/>
  <c r="D10" i="7"/>
  <c r="L9" i="7"/>
  <c r="D9" i="7"/>
  <c r="L8" i="7"/>
  <c r="D8" i="7"/>
  <c r="L7" i="7"/>
  <c r="D7" i="7"/>
  <c r="L6" i="7"/>
  <c r="D6" i="7"/>
  <c r="L5" i="7"/>
  <c r="D5" i="7"/>
  <c r="L4" i="7"/>
  <c r="D4" i="7"/>
  <c r="L3" i="7"/>
  <c r="D3" i="7"/>
  <c r="L2" i="7"/>
  <c r="D2" i="7"/>
  <c r="M39" i="3"/>
  <c r="L39" i="3"/>
  <c r="K39" i="3"/>
  <c r="J39" i="3"/>
  <c r="I39" i="3"/>
  <c r="H39" i="3"/>
  <c r="G39" i="3"/>
  <c r="F39" i="3"/>
  <c r="E39" i="3"/>
  <c r="D39" i="3"/>
  <c r="C39" i="3"/>
  <c r="B39" i="3"/>
  <c r="B37" i="21"/>
  <c r="C37" i="21"/>
  <c r="D37" i="21"/>
  <c r="E37" i="21"/>
  <c r="M37" i="21"/>
  <c r="L37" i="21"/>
  <c r="K37" i="21"/>
  <c r="J37" i="21"/>
  <c r="I37" i="21"/>
  <c r="H37" i="21"/>
  <c r="G37" i="21"/>
  <c r="F37" i="21"/>
  <c r="B27" i="12"/>
  <c r="C11" i="1"/>
  <c r="E4" i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2" i="4"/>
  <c r="L81" i="21"/>
  <c r="K81" i="21"/>
  <c r="J81" i="21"/>
  <c r="I81" i="21"/>
  <c r="H81" i="21"/>
  <c r="G81" i="21"/>
  <c r="F81" i="21"/>
  <c r="E81" i="21"/>
  <c r="D81" i="21"/>
  <c r="C81" i="21"/>
  <c r="B81" i="21"/>
  <c r="A81" i="21"/>
  <c r="M80" i="21"/>
  <c r="L80" i="21"/>
  <c r="K80" i="21"/>
  <c r="J80" i="21"/>
  <c r="I80" i="21"/>
  <c r="H80" i="21"/>
  <c r="G80" i="21"/>
  <c r="F80" i="21"/>
  <c r="E80" i="21"/>
  <c r="D80" i="21"/>
  <c r="C80" i="21"/>
  <c r="B80" i="21"/>
  <c r="N80" i="21" s="1"/>
  <c r="M79" i="21"/>
  <c r="L79" i="21"/>
  <c r="K79" i="21"/>
  <c r="J79" i="21"/>
  <c r="I79" i="21"/>
  <c r="H79" i="21"/>
  <c r="G79" i="21"/>
  <c r="F79" i="21"/>
  <c r="E79" i="21"/>
  <c r="D79" i="21"/>
  <c r="C79" i="21"/>
  <c r="N79" i="21"/>
  <c r="J40" i="4" s="1"/>
  <c r="M78" i="21"/>
  <c r="L78" i="21"/>
  <c r="K78" i="21"/>
  <c r="J78" i="21"/>
  <c r="I78" i="21"/>
  <c r="H78" i="21"/>
  <c r="G78" i="21"/>
  <c r="F78" i="21"/>
  <c r="E78" i="21"/>
  <c r="D78" i="21"/>
  <c r="C78" i="21"/>
  <c r="B78" i="21"/>
  <c r="N78" i="21" s="1"/>
  <c r="J39" i="4" s="1"/>
  <c r="M77" i="21"/>
  <c r="L77" i="21"/>
  <c r="K77" i="21"/>
  <c r="J77" i="21"/>
  <c r="I77" i="21"/>
  <c r="H77" i="21"/>
  <c r="G77" i="21"/>
  <c r="F77" i="21"/>
  <c r="E77" i="21"/>
  <c r="D77" i="21"/>
  <c r="C77" i="21"/>
  <c r="B77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N76" i="21" s="1"/>
  <c r="J36" i="4" s="1"/>
  <c r="M75" i="21"/>
  <c r="L75" i="21"/>
  <c r="K75" i="21"/>
  <c r="J75" i="21"/>
  <c r="I75" i="21"/>
  <c r="H75" i="21"/>
  <c r="G75" i="21"/>
  <c r="F75" i="21"/>
  <c r="E75" i="21"/>
  <c r="D75" i="21"/>
  <c r="C75" i="21"/>
  <c r="B75" i="21"/>
  <c r="N75" i="21" s="1"/>
  <c r="J35" i="4" s="1"/>
  <c r="M74" i="21"/>
  <c r="L74" i="21"/>
  <c r="K74" i="21"/>
  <c r="J74" i="21"/>
  <c r="I74" i="21"/>
  <c r="H74" i="21"/>
  <c r="G74" i="21"/>
  <c r="F74" i="21"/>
  <c r="E74" i="21"/>
  <c r="D74" i="21"/>
  <c r="C74" i="21"/>
  <c r="B74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N73" i="21" s="1"/>
  <c r="J33" i="4" s="1"/>
  <c r="M72" i="21"/>
  <c r="L72" i="21"/>
  <c r="K72" i="21"/>
  <c r="J72" i="21"/>
  <c r="I72" i="21"/>
  <c r="H72" i="21"/>
  <c r="G72" i="21"/>
  <c r="F72" i="21"/>
  <c r="E72" i="21"/>
  <c r="D72" i="21"/>
  <c r="C72" i="21"/>
  <c r="B72" i="21"/>
  <c r="N72" i="21" s="1"/>
  <c r="J32" i="4" s="1"/>
  <c r="M71" i="21"/>
  <c r="L71" i="21"/>
  <c r="K71" i="21"/>
  <c r="J71" i="21"/>
  <c r="I71" i="21"/>
  <c r="H71" i="21"/>
  <c r="G71" i="21"/>
  <c r="F71" i="21"/>
  <c r="E71" i="21"/>
  <c r="D71" i="21"/>
  <c r="C71" i="21"/>
  <c r="B71" i="21"/>
  <c r="N71" i="21" s="1"/>
  <c r="J31" i="4" s="1"/>
  <c r="M70" i="21"/>
  <c r="L70" i="21"/>
  <c r="K70" i="21"/>
  <c r="J70" i="21"/>
  <c r="I70" i="21"/>
  <c r="H70" i="21"/>
  <c r="G70" i="21"/>
  <c r="F70" i="21"/>
  <c r="E70" i="21"/>
  <c r="D70" i="21"/>
  <c r="C70" i="21"/>
  <c r="B70" i="21"/>
  <c r="M69" i="21"/>
  <c r="L69" i="21"/>
  <c r="K69" i="21"/>
  <c r="J69" i="21"/>
  <c r="I69" i="21"/>
  <c r="H69" i="21"/>
  <c r="G69" i="21"/>
  <c r="F69" i="21"/>
  <c r="E69" i="21"/>
  <c r="D69" i="21"/>
  <c r="C69" i="21"/>
  <c r="B69" i="21"/>
  <c r="N69" i="21" s="1"/>
  <c r="J28" i="4" s="1"/>
  <c r="M68" i="21"/>
  <c r="L68" i="21"/>
  <c r="K68" i="21"/>
  <c r="J68" i="21"/>
  <c r="I68" i="21"/>
  <c r="H68" i="21"/>
  <c r="G68" i="21"/>
  <c r="F68" i="21"/>
  <c r="E68" i="21"/>
  <c r="D68" i="21"/>
  <c r="C68" i="21"/>
  <c r="B68" i="21"/>
  <c r="N68" i="21" s="1"/>
  <c r="J27" i="4" s="1"/>
  <c r="M67" i="21"/>
  <c r="L67" i="21"/>
  <c r="K67" i="21"/>
  <c r="J67" i="21"/>
  <c r="I67" i="21"/>
  <c r="H67" i="21"/>
  <c r="G67" i="21"/>
  <c r="F67" i="21"/>
  <c r="E67" i="21"/>
  <c r="D67" i="21"/>
  <c r="C67" i="21"/>
  <c r="B67" i="21"/>
  <c r="N67" i="21" s="1"/>
  <c r="J24" i="4" s="1"/>
  <c r="M66" i="21"/>
  <c r="L66" i="21"/>
  <c r="K66" i="21"/>
  <c r="J66" i="21"/>
  <c r="I66" i="21"/>
  <c r="H66" i="21"/>
  <c r="G66" i="21"/>
  <c r="F66" i="21"/>
  <c r="E66" i="21"/>
  <c r="D66" i="21"/>
  <c r="C66" i="21"/>
  <c r="B66" i="21"/>
  <c r="N66" i="21" s="1"/>
  <c r="J22" i="4" s="1"/>
  <c r="M65" i="21"/>
  <c r="L65" i="21"/>
  <c r="K65" i="21"/>
  <c r="J65" i="21"/>
  <c r="I65" i="21"/>
  <c r="H65" i="21"/>
  <c r="G65" i="21"/>
  <c r="F65" i="21"/>
  <c r="E65" i="21"/>
  <c r="D65" i="21"/>
  <c r="C65" i="21"/>
  <c r="B65" i="21"/>
  <c r="M64" i="21"/>
  <c r="L64" i="21"/>
  <c r="K64" i="21"/>
  <c r="J64" i="21"/>
  <c r="I64" i="21"/>
  <c r="H64" i="21"/>
  <c r="G64" i="21"/>
  <c r="F64" i="21"/>
  <c r="E64" i="21"/>
  <c r="D64" i="21"/>
  <c r="C64" i="21"/>
  <c r="B64" i="21"/>
  <c r="M63" i="21"/>
  <c r="L63" i="21"/>
  <c r="K63" i="21"/>
  <c r="J63" i="21"/>
  <c r="I63" i="21"/>
  <c r="H63" i="21"/>
  <c r="G63" i="21"/>
  <c r="F63" i="21"/>
  <c r="E63" i="21"/>
  <c r="D63" i="21"/>
  <c r="C63" i="21"/>
  <c r="B63" i="21"/>
  <c r="N63" i="21" s="1"/>
  <c r="J19" i="4" s="1"/>
  <c r="M62" i="21"/>
  <c r="L62" i="21"/>
  <c r="K62" i="21"/>
  <c r="J62" i="21"/>
  <c r="I62" i="21"/>
  <c r="H62" i="21"/>
  <c r="G62" i="21"/>
  <c r="F62" i="21"/>
  <c r="E62" i="21"/>
  <c r="D62" i="21"/>
  <c r="C62" i="21"/>
  <c r="B62" i="21"/>
  <c r="N62" i="21" s="1"/>
  <c r="J18" i="4" s="1"/>
  <c r="M61" i="21"/>
  <c r="L61" i="21"/>
  <c r="K61" i="21"/>
  <c r="J61" i="21"/>
  <c r="I61" i="21"/>
  <c r="H61" i="21"/>
  <c r="G61" i="21"/>
  <c r="F61" i="21"/>
  <c r="E61" i="21"/>
  <c r="D61" i="21"/>
  <c r="C61" i="21"/>
  <c r="B61" i="21"/>
  <c r="N61" i="21" s="1"/>
  <c r="J17" i="4" s="1"/>
  <c r="M60" i="21"/>
  <c r="L60" i="21"/>
  <c r="K60" i="21"/>
  <c r="J60" i="21"/>
  <c r="I60" i="21"/>
  <c r="H60" i="21"/>
  <c r="G60" i="21"/>
  <c r="F60" i="21"/>
  <c r="E60" i="21"/>
  <c r="D60" i="21"/>
  <c r="C60" i="21"/>
  <c r="B60" i="21"/>
  <c r="M59" i="21"/>
  <c r="L59" i="21"/>
  <c r="K59" i="21"/>
  <c r="J59" i="21"/>
  <c r="I59" i="21"/>
  <c r="H59" i="21"/>
  <c r="G59" i="21"/>
  <c r="F59" i="21"/>
  <c r="E59" i="21"/>
  <c r="D59" i="21"/>
  <c r="C59" i="21"/>
  <c r="B59" i="21"/>
  <c r="N59" i="21" s="1"/>
  <c r="J15" i="4" s="1"/>
  <c r="M58" i="21"/>
  <c r="L58" i="21"/>
  <c r="K58" i="21"/>
  <c r="J58" i="21"/>
  <c r="I58" i="21"/>
  <c r="H58" i="21"/>
  <c r="G58" i="21"/>
  <c r="F58" i="21"/>
  <c r="E58" i="21"/>
  <c r="D58" i="21"/>
  <c r="C58" i="21"/>
  <c r="B58" i="21"/>
  <c r="N58" i="21" s="1"/>
  <c r="J13" i="4" s="1"/>
  <c r="M57" i="21"/>
  <c r="L57" i="21"/>
  <c r="K57" i="21"/>
  <c r="J57" i="21"/>
  <c r="I57" i="21"/>
  <c r="H57" i="21"/>
  <c r="G57" i="21"/>
  <c r="F57" i="21"/>
  <c r="E57" i="21"/>
  <c r="D57" i="21"/>
  <c r="C57" i="21"/>
  <c r="B57" i="21"/>
  <c r="N57" i="21" s="1"/>
  <c r="J11" i="4" s="1"/>
  <c r="M56" i="21"/>
  <c r="L56" i="21"/>
  <c r="K56" i="21"/>
  <c r="J56" i="21"/>
  <c r="I56" i="21"/>
  <c r="H56" i="21"/>
  <c r="G56" i="21"/>
  <c r="F56" i="21"/>
  <c r="E56" i="21"/>
  <c r="D56" i="21"/>
  <c r="C56" i="21"/>
  <c r="B56" i="21"/>
  <c r="N56" i="21" s="1"/>
  <c r="J10" i="4" s="1"/>
  <c r="M55" i="21"/>
  <c r="L55" i="21"/>
  <c r="K55" i="21"/>
  <c r="J55" i="21"/>
  <c r="I55" i="21"/>
  <c r="H55" i="21"/>
  <c r="G55" i="21"/>
  <c r="F55" i="21"/>
  <c r="E55" i="21"/>
  <c r="D55" i="21"/>
  <c r="C55" i="21"/>
  <c r="B55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N54" i="21" s="1"/>
  <c r="J8" i="4" s="1"/>
  <c r="M53" i="21"/>
  <c r="L53" i="21"/>
  <c r="K53" i="21"/>
  <c r="J53" i="21"/>
  <c r="I53" i="21"/>
  <c r="H53" i="21"/>
  <c r="G53" i="21"/>
  <c r="F53" i="21"/>
  <c r="E53" i="21"/>
  <c r="D53" i="21"/>
  <c r="C53" i="21"/>
  <c r="B53" i="21"/>
  <c r="N53" i="21" s="1"/>
  <c r="J7" i="4" s="1"/>
  <c r="M52" i="21"/>
  <c r="L52" i="21"/>
  <c r="K52" i="21"/>
  <c r="J52" i="21"/>
  <c r="I52" i="21"/>
  <c r="H52" i="21"/>
  <c r="G52" i="21"/>
  <c r="F52" i="21"/>
  <c r="E52" i="21"/>
  <c r="D52" i="21"/>
  <c r="C52" i="21"/>
  <c r="B52" i="21"/>
  <c r="N52" i="21" s="1"/>
  <c r="J6" i="4" s="1"/>
  <c r="M51" i="21"/>
  <c r="L51" i="21"/>
  <c r="K51" i="21"/>
  <c r="J51" i="21"/>
  <c r="I51" i="21"/>
  <c r="H51" i="21"/>
  <c r="G51" i="21"/>
  <c r="F51" i="21"/>
  <c r="E51" i="21"/>
  <c r="D51" i="21"/>
  <c r="C51" i="21"/>
  <c r="B51" i="21"/>
  <c r="N51" i="21" s="1"/>
  <c r="J5" i="4" s="1"/>
  <c r="M50" i="21"/>
  <c r="L50" i="21"/>
  <c r="K50" i="21"/>
  <c r="J50" i="21"/>
  <c r="I50" i="21"/>
  <c r="H50" i="21"/>
  <c r="G50" i="21"/>
  <c r="F50" i="21"/>
  <c r="E50" i="21"/>
  <c r="D50" i="21"/>
  <c r="C50" i="21"/>
  <c r="B50" i="21"/>
  <c r="N50" i="21" s="1"/>
  <c r="J4" i="4" s="1"/>
  <c r="M49" i="21"/>
  <c r="L49" i="21"/>
  <c r="K49" i="21"/>
  <c r="J49" i="21"/>
  <c r="I49" i="21"/>
  <c r="H49" i="21"/>
  <c r="G49" i="21"/>
  <c r="F49" i="21"/>
  <c r="E49" i="21"/>
  <c r="D49" i="21"/>
  <c r="C49" i="21"/>
  <c r="N49" i="21"/>
  <c r="J3" i="4" s="1"/>
  <c r="M48" i="21"/>
  <c r="L48" i="21"/>
  <c r="K48" i="21"/>
  <c r="J48" i="21"/>
  <c r="I48" i="21"/>
  <c r="H48" i="21"/>
  <c r="G48" i="21"/>
  <c r="F48" i="21"/>
  <c r="E48" i="21"/>
  <c r="D48" i="21"/>
  <c r="C48" i="21"/>
  <c r="N64" i="21" l="1"/>
  <c r="J20" i="4" s="1"/>
  <c r="N55" i="21"/>
  <c r="J9" i="4" s="1"/>
  <c r="N65" i="21"/>
  <c r="J21" i="4" s="1"/>
  <c r="N74" i="21"/>
  <c r="J34" i="4" s="1"/>
  <c r="N77" i="21"/>
  <c r="J37" i="4" s="1"/>
  <c r="N60" i="21"/>
  <c r="J16" i="4" s="1"/>
  <c r="P45" i="1"/>
  <c r="R45" i="1"/>
  <c r="F45" i="1"/>
  <c r="N70" i="21"/>
  <c r="J30" i="4" s="1"/>
  <c r="M81" i="21"/>
  <c r="H11" i="1"/>
  <c r="N48" i="21"/>
  <c r="J2" i="4" s="1"/>
  <c r="J43" i="4" l="1"/>
  <c r="C12" i="1"/>
  <c r="E45" i="1" l="1"/>
  <c r="AI13" i="14" l="1"/>
  <c r="AI14" i="14"/>
  <c r="AI15" i="14"/>
  <c r="H12" i="1" s="1"/>
  <c r="AI17" i="14"/>
  <c r="AI18" i="14"/>
  <c r="AI19" i="14"/>
  <c r="AI20" i="14"/>
  <c r="AI21" i="14"/>
  <c r="AI22" i="14"/>
  <c r="AI23" i="14"/>
  <c r="AI24" i="14"/>
  <c r="AI25" i="14"/>
  <c r="AI26" i="14"/>
  <c r="G5" i="14"/>
  <c r="G6" i="14"/>
  <c r="AI27" i="14" l="1"/>
  <c r="D2" i="4"/>
  <c r="C40" i="1" l="1"/>
  <c r="E42" i="4" l="1"/>
  <c r="D43" i="4"/>
  <c r="E43" i="4" l="1"/>
  <c r="C43" i="4" l="1"/>
  <c r="G2" i="4"/>
  <c r="C4" i="1" l="1"/>
  <c r="D45" i="1" l="1"/>
  <c r="S46" i="15" l="1"/>
  <c r="Q46" i="15"/>
  <c r="P46" i="15"/>
  <c r="N46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27" i="15"/>
  <c r="R28" i="15"/>
  <c r="R29" i="15"/>
  <c r="R30" i="15"/>
  <c r="R31" i="15"/>
  <c r="R32" i="15"/>
  <c r="R33" i="15"/>
  <c r="R34" i="15"/>
  <c r="R35" i="15"/>
  <c r="R36" i="15"/>
  <c r="R37" i="15"/>
  <c r="R38" i="15"/>
  <c r="R39" i="15"/>
  <c r="R40" i="15"/>
  <c r="R41" i="15"/>
  <c r="R42" i="15"/>
  <c r="R43" i="15"/>
  <c r="R4" i="15"/>
  <c r="R46" i="15" l="1"/>
  <c r="L8" i="15"/>
  <c r="K8" i="15"/>
  <c r="E8" i="15"/>
  <c r="D8" i="15"/>
  <c r="C8" i="15"/>
  <c r="L6" i="15"/>
  <c r="K6" i="15"/>
  <c r="E6" i="15"/>
  <c r="D6" i="15"/>
  <c r="C6" i="15"/>
  <c r="L18" i="15"/>
  <c r="K18" i="15"/>
  <c r="E18" i="15"/>
  <c r="D18" i="15"/>
  <c r="C18" i="15"/>
  <c r="L40" i="15"/>
  <c r="K40" i="15"/>
  <c r="J40" i="15"/>
  <c r="E40" i="15"/>
  <c r="D40" i="15"/>
  <c r="C40" i="15"/>
  <c r="B40" i="15"/>
  <c r="L37" i="15"/>
  <c r="K37" i="15"/>
  <c r="E37" i="15"/>
  <c r="D37" i="15"/>
  <c r="C37" i="15"/>
  <c r="L7" i="15"/>
  <c r="K7" i="15"/>
  <c r="E7" i="15"/>
  <c r="D7" i="15"/>
  <c r="C7" i="15"/>
  <c r="L34" i="15"/>
  <c r="K34" i="15"/>
  <c r="E34" i="15"/>
  <c r="D34" i="15"/>
  <c r="C34" i="15"/>
  <c r="L10" i="15"/>
  <c r="K10" i="15"/>
  <c r="E10" i="15"/>
  <c r="D10" i="15"/>
  <c r="C10" i="15"/>
  <c r="L23" i="15"/>
  <c r="K23" i="15"/>
  <c r="E23" i="15"/>
  <c r="D23" i="15"/>
  <c r="C23" i="15"/>
  <c r="L36" i="15"/>
  <c r="K36" i="15"/>
  <c r="E36" i="15"/>
  <c r="D36" i="15"/>
  <c r="C36" i="15"/>
  <c r="L9" i="15"/>
  <c r="K9" i="15"/>
  <c r="E9" i="15"/>
  <c r="D9" i="15"/>
  <c r="C9" i="15"/>
  <c r="L5" i="15"/>
  <c r="K5" i="15"/>
  <c r="E5" i="15"/>
  <c r="D5" i="15"/>
  <c r="C5" i="15"/>
  <c r="L32" i="15"/>
  <c r="K32" i="15"/>
  <c r="E32" i="15"/>
  <c r="D32" i="15"/>
  <c r="C32" i="15"/>
  <c r="L41" i="15"/>
  <c r="K41" i="15"/>
  <c r="E41" i="15"/>
  <c r="D41" i="15"/>
  <c r="C41" i="15"/>
  <c r="L29" i="15"/>
  <c r="K29" i="15"/>
  <c r="E29" i="15"/>
  <c r="D29" i="15"/>
  <c r="C29" i="15"/>
  <c r="L30" i="15"/>
  <c r="K30" i="15"/>
  <c r="E30" i="15"/>
  <c r="D30" i="15"/>
  <c r="C30" i="15"/>
  <c r="L42" i="15"/>
  <c r="K42" i="15"/>
  <c r="E42" i="15"/>
  <c r="D42" i="15"/>
  <c r="C42" i="15"/>
  <c r="L27" i="15"/>
  <c r="K27" i="15"/>
  <c r="E27" i="15"/>
  <c r="D27" i="15"/>
  <c r="C27" i="15"/>
  <c r="L26" i="15"/>
  <c r="K26" i="15"/>
  <c r="E26" i="15"/>
  <c r="D26" i="15"/>
  <c r="C26" i="15"/>
  <c r="L44" i="15"/>
  <c r="K44" i="15"/>
  <c r="E44" i="15"/>
  <c r="D44" i="15"/>
  <c r="C44" i="15"/>
  <c r="L16" i="15"/>
  <c r="K16" i="15"/>
  <c r="E16" i="15"/>
  <c r="D16" i="15"/>
  <c r="C16" i="15"/>
  <c r="L17" i="15"/>
  <c r="K17" i="15"/>
  <c r="E17" i="15"/>
  <c r="D17" i="15"/>
  <c r="C17" i="15"/>
  <c r="L12" i="15"/>
  <c r="K12" i="15"/>
  <c r="E12" i="15"/>
  <c r="D12" i="15"/>
  <c r="C12" i="15"/>
  <c r="L38" i="15"/>
  <c r="K38" i="15"/>
  <c r="E38" i="15"/>
  <c r="D38" i="15"/>
  <c r="C38" i="15"/>
  <c r="L14" i="15"/>
  <c r="K14" i="15"/>
  <c r="E14" i="15"/>
  <c r="D14" i="15"/>
  <c r="C14" i="15"/>
  <c r="L35" i="15"/>
  <c r="K35" i="15"/>
  <c r="E35" i="15"/>
  <c r="D35" i="15"/>
  <c r="C35" i="15"/>
  <c r="L4" i="15"/>
  <c r="K4" i="15"/>
  <c r="E4" i="15"/>
  <c r="D4" i="15"/>
  <c r="C4" i="15"/>
  <c r="L19" i="15"/>
  <c r="K19" i="15"/>
  <c r="E19" i="15"/>
  <c r="D19" i="15"/>
  <c r="C19" i="15"/>
  <c r="L31" i="15"/>
  <c r="K31" i="15"/>
  <c r="E31" i="15"/>
  <c r="D31" i="15"/>
  <c r="C31" i="15"/>
  <c r="L39" i="15"/>
  <c r="K39" i="15"/>
  <c r="E39" i="15"/>
  <c r="D39" i="15"/>
  <c r="C39" i="15"/>
  <c r="L43" i="15"/>
  <c r="K43" i="15"/>
  <c r="E43" i="15"/>
  <c r="D43" i="15"/>
  <c r="C43" i="15"/>
  <c r="L21" i="15"/>
  <c r="K21" i="15"/>
  <c r="E21" i="15"/>
  <c r="D21" i="15"/>
  <c r="C21" i="15"/>
  <c r="L33" i="15"/>
  <c r="K33" i="15"/>
  <c r="E33" i="15"/>
  <c r="D33" i="15"/>
  <c r="C33" i="15"/>
  <c r="L11" i="15"/>
  <c r="K11" i="15"/>
  <c r="E11" i="15"/>
  <c r="D11" i="15"/>
  <c r="C11" i="15"/>
  <c r="L22" i="15"/>
  <c r="K22" i="15"/>
  <c r="E22" i="15"/>
  <c r="D22" i="15"/>
  <c r="C22" i="15"/>
  <c r="L15" i="15"/>
  <c r="K15" i="15"/>
  <c r="E15" i="15"/>
  <c r="D15" i="15"/>
  <c r="C15" i="15"/>
  <c r="L20" i="15"/>
  <c r="K20" i="15"/>
  <c r="E20" i="15"/>
  <c r="D20" i="15"/>
  <c r="C20" i="15"/>
  <c r="L25" i="15"/>
  <c r="K25" i="15"/>
  <c r="E25" i="15"/>
  <c r="D25" i="15"/>
  <c r="C25" i="15"/>
  <c r="L24" i="15"/>
  <c r="K24" i="15"/>
  <c r="E24" i="15"/>
  <c r="D24" i="15"/>
  <c r="C24" i="15"/>
  <c r="L28" i="15"/>
  <c r="K28" i="15"/>
  <c r="E28" i="15"/>
  <c r="D28" i="15"/>
  <c r="C28" i="15"/>
  <c r="L13" i="15"/>
  <c r="K13" i="15"/>
  <c r="F13" i="15"/>
  <c r="F46" i="15" s="1"/>
  <c r="E13" i="15"/>
  <c r="D13" i="15"/>
  <c r="C13" i="15"/>
  <c r="C46" i="15" l="1"/>
  <c r="E46" i="15"/>
  <c r="D46" i="15"/>
  <c r="K46" i="15"/>
  <c r="L46" i="15"/>
  <c r="G40" i="15"/>
  <c r="AB32" i="14" l="1"/>
  <c r="G4" i="1" l="1"/>
  <c r="N45" i="1"/>
  <c r="J40" i="1"/>
  <c r="N3" i="4" l="1"/>
  <c r="M41" i="15"/>
  <c r="M28" i="15"/>
  <c r="M18" i="15"/>
  <c r="M23" i="15"/>
  <c r="M9" i="15"/>
  <c r="M32" i="15"/>
  <c r="M31" i="15"/>
  <c r="M33" i="15"/>
  <c r="M13" i="15"/>
  <c r="M38" i="15"/>
  <c r="M11" i="15"/>
  <c r="M34" i="15"/>
  <c r="M29" i="15"/>
  <c r="M26" i="15"/>
  <c r="M12" i="15"/>
  <c r="M4" i="15"/>
  <c r="M43" i="15"/>
  <c r="M22" i="15"/>
  <c r="M24" i="15"/>
  <c r="M40" i="15"/>
  <c r="O40" i="15" s="1"/>
  <c r="M36" i="15"/>
  <c r="M37" i="15"/>
  <c r="M5" i="15"/>
  <c r="M44" i="15"/>
  <c r="M39" i="15"/>
  <c r="M27" i="15"/>
  <c r="M35" i="15"/>
  <c r="N6" i="4"/>
  <c r="J8" i="1" s="1"/>
  <c r="N5" i="4"/>
  <c r="J25" i="15" s="1"/>
  <c r="N4" i="4"/>
  <c r="J6" i="1" s="1"/>
  <c r="N38" i="4"/>
  <c r="N25" i="4"/>
  <c r="N13" i="4"/>
  <c r="N36" i="4"/>
  <c r="N24" i="4"/>
  <c r="N12" i="4"/>
  <c r="N35" i="4"/>
  <c r="N23" i="4"/>
  <c r="N11" i="4"/>
  <c r="N26" i="4"/>
  <c r="N32" i="4"/>
  <c r="N20" i="4"/>
  <c r="N8" i="4"/>
  <c r="N33" i="4"/>
  <c r="N15" i="4"/>
  <c r="N31" i="4"/>
  <c r="N19" i="4"/>
  <c r="N7" i="4"/>
  <c r="N10" i="4"/>
  <c r="N9" i="4"/>
  <c r="J13" i="1" s="1"/>
  <c r="N14" i="4"/>
  <c r="N30" i="4"/>
  <c r="N18" i="4"/>
  <c r="N41" i="4"/>
  <c r="N29" i="4"/>
  <c r="N17" i="4"/>
  <c r="N34" i="4"/>
  <c r="N37" i="4"/>
  <c r="N40" i="4"/>
  <c r="N28" i="4"/>
  <c r="N22" i="4"/>
  <c r="N21" i="4"/>
  <c r="N39" i="4"/>
  <c r="N27" i="4"/>
  <c r="M20" i="15"/>
  <c r="M17" i="15"/>
  <c r="M21" i="15"/>
  <c r="M15" i="15"/>
  <c r="K45" i="1"/>
  <c r="M10" i="15" l="1"/>
  <c r="M16" i="15"/>
  <c r="J5" i="1"/>
  <c r="J28" i="15"/>
  <c r="O28" i="15" s="1"/>
  <c r="M19" i="15"/>
  <c r="M30" i="15"/>
  <c r="J7" i="1"/>
  <c r="J24" i="15"/>
  <c r="O24" i="15" s="1"/>
  <c r="J20" i="15"/>
  <c r="O20" i="15" s="1"/>
  <c r="M8" i="15"/>
  <c r="M6" i="15"/>
  <c r="M14" i="15"/>
  <c r="M42" i="15"/>
  <c r="M7" i="15"/>
  <c r="M25" i="15"/>
  <c r="O25" i="15" s="1"/>
  <c r="J42" i="1"/>
  <c r="J6" i="15"/>
  <c r="J35" i="1"/>
  <c r="J36" i="15"/>
  <c r="O36" i="15" s="1"/>
  <c r="J32" i="1"/>
  <c r="J32" i="15"/>
  <c r="O32" i="15" s="1"/>
  <c r="J43" i="15"/>
  <c r="O43" i="15" s="1"/>
  <c r="J29" i="1"/>
  <c r="J30" i="15"/>
  <c r="J14" i="1"/>
  <c r="J33" i="15"/>
  <c r="O33" i="15" s="1"/>
  <c r="J41" i="1"/>
  <c r="J18" i="15"/>
  <c r="O18" i="15" s="1"/>
  <c r="J9" i="1"/>
  <c r="J15" i="15"/>
  <c r="O15" i="15" s="1"/>
  <c r="J33" i="1"/>
  <c r="J5" i="15"/>
  <c r="O5" i="15" s="1"/>
  <c r="J37" i="15"/>
  <c r="O37" i="15" s="1"/>
  <c r="J24" i="1"/>
  <c r="J17" i="15"/>
  <c r="O17" i="15" s="1"/>
  <c r="J43" i="1"/>
  <c r="J8" i="15"/>
  <c r="J30" i="1"/>
  <c r="J29" i="15"/>
  <c r="O29" i="15" s="1"/>
  <c r="J11" i="15"/>
  <c r="O11" i="15" s="1"/>
  <c r="J36" i="1"/>
  <c r="J23" i="15"/>
  <c r="O23" i="15" s="1"/>
  <c r="J34" i="1"/>
  <c r="J9" i="15"/>
  <c r="O9" i="15" s="1"/>
  <c r="J31" i="1"/>
  <c r="J41" i="15"/>
  <c r="O41" i="15" s="1"/>
  <c r="J25" i="1"/>
  <c r="J16" i="15"/>
  <c r="O16" i="15" s="1"/>
  <c r="J15" i="1"/>
  <c r="J21" i="15"/>
  <c r="O21" i="15" s="1"/>
  <c r="J18" i="1"/>
  <c r="J19" i="15"/>
  <c r="O19" i="15" s="1"/>
  <c r="J10" i="1"/>
  <c r="J22" i="15"/>
  <c r="O22" i="15" s="1"/>
  <c r="J31" i="15"/>
  <c r="O31" i="15" s="1"/>
  <c r="J26" i="1"/>
  <c r="J26" i="15"/>
  <c r="O26" i="15" s="1"/>
  <c r="J37" i="1"/>
  <c r="J10" i="15"/>
  <c r="O10" i="15" s="1"/>
  <c r="J21" i="1"/>
  <c r="J14" i="15"/>
  <c r="J38" i="1"/>
  <c r="J34" i="15"/>
  <c r="O34" i="15" s="1"/>
  <c r="J28" i="1"/>
  <c r="J42" i="15"/>
  <c r="L43" i="4"/>
  <c r="J16" i="1"/>
  <c r="J39" i="15"/>
  <c r="O39" i="15" s="1"/>
  <c r="J44" i="15"/>
  <c r="O44" i="15" s="1"/>
  <c r="J13" i="15"/>
  <c r="J23" i="1"/>
  <c r="J12" i="15"/>
  <c r="O12" i="15" s="1"/>
  <c r="J27" i="1"/>
  <c r="J27" i="15"/>
  <c r="O27" i="15" s="1"/>
  <c r="J22" i="1"/>
  <c r="J38" i="15"/>
  <c r="O38" i="15" s="1"/>
  <c r="J20" i="1"/>
  <c r="J35" i="15"/>
  <c r="O35" i="15" s="1"/>
  <c r="J39" i="1"/>
  <c r="J7" i="15"/>
  <c r="O30" i="15" l="1"/>
  <c r="T30" i="15" s="1"/>
  <c r="O7" i="15"/>
  <c r="T7" i="15" s="1"/>
  <c r="O6" i="15"/>
  <c r="T6" i="15" s="1"/>
  <c r="O42" i="15"/>
  <c r="T42" i="15" s="1"/>
  <c r="O14" i="15"/>
  <c r="T14" i="15" s="1"/>
  <c r="O8" i="15"/>
  <c r="T8" i="15" s="1"/>
  <c r="M46" i="15"/>
  <c r="T25" i="15"/>
  <c r="T20" i="15"/>
  <c r="T9" i="15"/>
  <c r="O13" i="15"/>
  <c r="T13" i="15" s="1"/>
  <c r="T37" i="15"/>
  <c r="T38" i="15"/>
  <c r="T43" i="15"/>
  <c r="T33" i="15"/>
  <c r="T22" i="15"/>
  <c r="T32" i="15"/>
  <c r="T29" i="15"/>
  <c r="T36" i="15"/>
  <c r="T5" i="15"/>
  <c r="T21" i="15"/>
  <c r="T35" i="15"/>
  <c r="T10" i="15"/>
  <c r="T11" i="15"/>
  <c r="T28" i="15"/>
  <c r="T39" i="15"/>
  <c r="T31" i="15"/>
  <c r="T26" i="15"/>
  <c r="T18" i="15"/>
  <c r="T12" i="15"/>
  <c r="T15" i="15"/>
  <c r="T23" i="15"/>
  <c r="T40" i="15"/>
  <c r="T16" i="15"/>
  <c r="T19" i="15"/>
  <c r="T24" i="15"/>
  <c r="T34" i="15"/>
  <c r="L45" i="1"/>
  <c r="M45" i="1"/>
  <c r="B13" i="15" l="1"/>
  <c r="G13" i="15" s="1"/>
  <c r="N16" i="4" l="1"/>
  <c r="J4" i="15" s="1"/>
  <c r="J46" i="15" s="1"/>
  <c r="O4" i="15" l="1"/>
  <c r="O46" i="15" s="1"/>
  <c r="J19" i="1"/>
  <c r="N43" i="4"/>
  <c r="T27" i="15" l="1"/>
  <c r="T17" i="15"/>
  <c r="J45" i="1"/>
  <c r="T4" i="15" l="1"/>
  <c r="T41" i="15"/>
  <c r="H40" i="1"/>
  <c r="T46" i="15" l="1"/>
  <c r="H44" i="1" l="1"/>
  <c r="G5" i="4" l="1"/>
  <c r="C7" i="1" s="1"/>
  <c r="H7" i="1" l="1"/>
  <c r="B25" i="15"/>
  <c r="G25" i="15" s="1"/>
  <c r="G7" i="4"/>
  <c r="C9" i="1" s="1"/>
  <c r="G10" i="4"/>
  <c r="C14" i="1" s="1"/>
  <c r="G17" i="4"/>
  <c r="C20" i="1" s="1"/>
  <c r="G19" i="4"/>
  <c r="C22" i="1" s="1"/>
  <c r="G22" i="4"/>
  <c r="C25" i="1" s="1"/>
  <c r="G31" i="4"/>
  <c r="C33" i="1" s="1"/>
  <c r="G34" i="4"/>
  <c r="C36" i="1" s="1"/>
  <c r="G3" i="4"/>
  <c r="C5" i="1" s="1"/>
  <c r="G4" i="4"/>
  <c r="C6" i="1" s="1"/>
  <c r="G6" i="4"/>
  <c r="C8" i="1" s="1"/>
  <c r="G8" i="4"/>
  <c r="C10" i="1" s="1"/>
  <c r="G9" i="4"/>
  <c r="C13" i="1" s="1"/>
  <c r="H13" i="1" s="1"/>
  <c r="G11" i="4"/>
  <c r="C15" i="1" s="1"/>
  <c r="G12" i="4"/>
  <c r="G13" i="4"/>
  <c r="C16" i="1" s="1"/>
  <c r="G14" i="4"/>
  <c r="G15" i="4"/>
  <c r="C18" i="1" s="1"/>
  <c r="G16" i="4"/>
  <c r="C19" i="1" s="1"/>
  <c r="G18" i="4"/>
  <c r="C21" i="1" s="1"/>
  <c r="G20" i="4"/>
  <c r="C23" i="1" s="1"/>
  <c r="G21" i="4"/>
  <c r="C24" i="1" s="1"/>
  <c r="G23" i="4"/>
  <c r="G24" i="4"/>
  <c r="C26" i="1" s="1"/>
  <c r="G25" i="4"/>
  <c r="C27" i="1" s="1"/>
  <c r="G26" i="4"/>
  <c r="C28" i="1" s="1"/>
  <c r="G27" i="4"/>
  <c r="C29" i="1" s="1"/>
  <c r="G28" i="4"/>
  <c r="C30" i="1" s="1"/>
  <c r="G29" i="4"/>
  <c r="C31" i="1" s="1"/>
  <c r="G30" i="4"/>
  <c r="C32" i="1" s="1"/>
  <c r="G32" i="4"/>
  <c r="C34" i="1" s="1"/>
  <c r="G33" i="4"/>
  <c r="C35" i="1" s="1"/>
  <c r="G35" i="4"/>
  <c r="C37" i="1" s="1"/>
  <c r="G36" i="4"/>
  <c r="C38" i="1" s="1"/>
  <c r="G37" i="4"/>
  <c r="C39" i="1" s="1"/>
  <c r="G38" i="4"/>
  <c r="G39" i="4"/>
  <c r="C41" i="1" s="1"/>
  <c r="G40" i="4"/>
  <c r="C42" i="1" s="1"/>
  <c r="G41" i="4"/>
  <c r="C43" i="1" s="1"/>
  <c r="G43" i="4" l="1"/>
  <c r="C45" i="1"/>
  <c r="H38" i="1"/>
  <c r="B34" i="15"/>
  <c r="G34" i="15" s="1"/>
  <c r="B37" i="15"/>
  <c r="G37" i="15" s="1"/>
  <c r="H8" i="1"/>
  <c r="B20" i="15"/>
  <c r="G20" i="15" s="1"/>
  <c r="B28" i="15"/>
  <c r="H22" i="1"/>
  <c r="B38" i="15"/>
  <c r="G38" i="15" s="1"/>
  <c r="H23" i="1"/>
  <c r="B12" i="15"/>
  <c r="G12" i="15" s="1"/>
  <c r="H21" i="1"/>
  <c r="B14" i="15"/>
  <c r="G14" i="15" s="1"/>
  <c r="B4" i="15"/>
  <c r="H19" i="1"/>
  <c r="H32" i="1"/>
  <c r="B32" i="15"/>
  <c r="G32" i="15" s="1"/>
  <c r="H16" i="1"/>
  <c r="B39" i="15"/>
  <c r="G39" i="15" s="1"/>
  <c r="H10" i="1"/>
  <c r="B22" i="15"/>
  <c r="G22" i="15" s="1"/>
  <c r="H6" i="1"/>
  <c r="B24" i="15"/>
  <c r="G24" i="15" s="1"/>
  <c r="H35" i="1"/>
  <c r="B36" i="15"/>
  <c r="G36" i="15" s="1"/>
  <c r="H34" i="1"/>
  <c r="B52" i="1" s="1"/>
  <c r="B9" i="15"/>
  <c r="G9" i="15" s="1"/>
  <c r="H33" i="1"/>
  <c r="B5" i="15"/>
  <c r="G5" i="15" s="1"/>
  <c r="H18" i="1"/>
  <c r="B19" i="15"/>
  <c r="G19" i="15" s="1"/>
  <c r="H25" i="1"/>
  <c r="B16" i="15"/>
  <c r="G16" i="15" s="1"/>
  <c r="H31" i="1"/>
  <c r="B41" i="15"/>
  <c r="G41" i="15" s="1"/>
  <c r="B31" i="15"/>
  <c r="G31" i="15" s="1"/>
  <c r="H30" i="1"/>
  <c r="B29" i="15"/>
  <c r="G29" i="15" s="1"/>
  <c r="H20" i="1"/>
  <c r="B35" i="15"/>
  <c r="G35" i="15" s="1"/>
  <c r="H43" i="1"/>
  <c r="B8" i="15"/>
  <c r="G8" i="15" s="1"/>
  <c r="H29" i="1"/>
  <c r="B30" i="15"/>
  <c r="G30" i="15" s="1"/>
  <c r="B43" i="15"/>
  <c r="G43" i="15" s="1"/>
  <c r="H14" i="1"/>
  <c r="B33" i="15"/>
  <c r="G33" i="15" s="1"/>
  <c r="H26" i="1"/>
  <c r="B26" i="15"/>
  <c r="G26" i="15" s="1"/>
  <c r="B44" i="15"/>
  <c r="G44" i="15" s="1"/>
  <c r="H24" i="1"/>
  <c r="B17" i="15"/>
  <c r="G17" i="15" s="1"/>
  <c r="H37" i="1"/>
  <c r="B10" i="15"/>
  <c r="G10" i="15" s="1"/>
  <c r="H36" i="1"/>
  <c r="B23" i="15"/>
  <c r="G23" i="15" s="1"/>
  <c r="H42" i="1"/>
  <c r="B50" i="1" s="1"/>
  <c r="B6" i="15"/>
  <c r="G6" i="15" s="1"/>
  <c r="H28" i="1"/>
  <c r="B42" i="15"/>
  <c r="G42" i="15" s="1"/>
  <c r="H15" i="1"/>
  <c r="B21" i="15"/>
  <c r="G21" i="15" s="1"/>
  <c r="H9" i="1"/>
  <c r="B15" i="15"/>
  <c r="G15" i="15" s="1"/>
  <c r="H39" i="1"/>
  <c r="B7" i="15"/>
  <c r="G7" i="15" s="1"/>
  <c r="H41" i="1"/>
  <c r="B18" i="15"/>
  <c r="G18" i="15" s="1"/>
  <c r="H27" i="1"/>
  <c r="B53" i="1" s="1"/>
  <c r="B27" i="15"/>
  <c r="G27" i="15" s="1"/>
  <c r="B11" i="15"/>
  <c r="G11" i="15" s="1"/>
  <c r="H4" i="1"/>
  <c r="H5" i="1" l="1"/>
  <c r="B49" i="1" s="1"/>
  <c r="B51" i="1"/>
  <c r="G28" i="15"/>
  <c r="B46" i="15"/>
  <c r="G4" i="15"/>
  <c r="H45" i="1"/>
  <c r="B54" i="1" l="1"/>
  <c r="C49" i="1" s="1"/>
  <c r="G46" i="15"/>
  <c r="C53" i="1" l="1"/>
  <c r="C50" i="1"/>
  <c r="C52" i="1"/>
  <c r="C51" i="1"/>
  <c r="H40" i="15"/>
  <c r="H13" i="15"/>
  <c r="H25" i="15"/>
  <c r="H16" i="15"/>
  <c r="H37" i="15"/>
  <c r="H34" i="15"/>
  <c r="H9" i="15"/>
  <c r="H39" i="15"/>
  <c r="H38" i="15"/>
  <c r="H10" i="15"/>
  <c r="H22" i="15"/>
  <c r="H35" i="15"/>
  <c r="H44" i="15"/>
  <c r="H19" i="15"/>
  <c r="H8" i="15"/>
  <c r="H6" i="15"/>
  <c r="H12" i="15"/>
  <c r="H32" i="15"/>
  <c r="H27" i="15"/>
  <c r="H42" i="15"/>
  <c r="H5" i="15"/>
  <c r="H43" i="15"/>
  <c r="H14" i="15"/>
  <c r="H20" i="15"/>
  <c r="H31" i="15"/>
  <c r="H23" i="15"/>
  <c r="H30" i="15"/>
  <c r="H18" i="15"/>
  <c r="H33" i="15"/>
  <c r="H29" i="15"/>
  <c r="H15" i="15"/>
  <c r="H36" i="15"/>
  <c r="H41" i="15"/>
  <c r="H11" i="15"/>
  <c r="H7" i="15"/>
  <c r="H24" i="15"/>
  <c r="H26" i="15"/>
  <c r="H17" i="15"/>
  <c r="H21" i="15"/>
  <c r="H28" i="15"/>
  <c r="H4" i="15"/>
  <c r="C54" i="1" l="1"/>
</calcChain>
</file>

<file path=xl/sharedStrings.xml><?xml version="1.0" encoding="utf-8"?>
<sst xmlns="http://schemas.openxmlformats.org/spreadsheetml/2006/main" count="4474" uniqueCount="629">
  <si>
    <t>GBP</t>
  </si>
  <si>
    <t>USD</t>
  </si>
  <si>
    <t>Customer</t>
  </si>
  <si>
    <t xml:space="preserve">Maintenance </t>
  </si>
  <si>
    <t>PS</t>
  </si>
  <si>
    <t>Def Licenses</t>
  </si>
  <si>
    <t>Perpetual Licenses</t>
  </si>
  <si>
    <t>Total Revenue 2024 (£)</t>
  </si>
  <si>
    <t>Total Revenue 2024 ($)</t>
  </si>
  <si>
    <t>COGS</t>
  </si>
  <si>
    <t>Net</t>
  </si>
  <si>
    <t>Frontier Agriculture</t>
  </si>
  <si>
    <t>Openfield</t>
  </si>
  <si>
    <t>West Gaines Seeds</t>
  </si>
  <si>
    <t>Simpsons Malt</t>
  </si>
  <si>
    <t>Wynnstay Group</t>
  </si>
  <si>
    <t>Oxbow Coal</t>
  </si>
  <si>
    <t>Saxon Agriculture</t>
  </si>
  <si>
    <t>Denholm Fish Selling Ltd</t>
  </si>
  <si>
    <t>Grainco</t>
  </si>
  <si>
    <t>AB Agri</t>
  </si>
  <si>
    <t>Glasson Grain</t>
  </si>
  <si>
    <t>Canterra Seeds</t>
  </si>
  <si>
    <t>Harlow Agriculture</t>
  </si>
  <si>
    <t>H J Lea</t>
  </si>
  <si>
    <t>WCF</t>
  </si>
  <si>
    <t>Fram Farmers</t>
  </si>
  <si>
    <t>Barenbrug</t>
  </si>
  <si>
    <t>Dugdale Nutrition</t>
  </si>
  <si>
    <t>COFCO International</t>
  </si>
  <si>
    <t>Robin Appel</t>
  </si>
  <si>
    <t>ADM Direct</t>
  </si>
  <si>
    <t>Banff &amp; Moray Grain (Marketing) Ltd</t>
  </si>
  <si>
    <t>Humphrey Feeds</t>
  </si>
  <si>
    <t>Integra Petrochemicals</t>
  </si>
  <si>
    <t>Adams &amp; Howling</t>
  </si>
  <si>
    <t>London Metals Ltd</t>
  </si>
  <si>
    <t>J Stobart &amp; Sons</t>
  </si>
  <si>
    <t>Fengrain Ltd</t>
  </si>
  <si>
    <t>North Herts Farmers</t>
  </si>
  <si>
    <t>DL Seeds</t>
  </si>
  <si>
    <t>Scott &amp; Newman</t>
  </si>
  <si>
    <t>G Williams Seeds</t>
  </si>
  <si>
    <t>Pearce Seeds</t>
  </si>
  <si>
    <t>Simpsons Seed</t>
  </si>
  <si>
    <t>Gover Horowitz</t>
  </si>
  <si>
    <t>Elevator</t>
  </si>
  <si>
    <t>Stonegate</t>
  </si>
  <si>
    <t>Morning Foods</t>
  </si>
  <si>
    <t>J E Porter</t>
  </si>
  <si>
    <t>E B Bradshaws</t>
  </si>
  <si>
    <t>Humphrey Farms</t>
  </si>
  <si>
    <t>Total Revenue 2025 Q3 (£)</t>
  </si>
  <si>
    <t>COGS License</t>
  </si>
  <si>
    <t>UK</t>
  </si>
  <si>
    <t>Canada</t>
  </si>
  <si>
    <t>Cope Seeds</t>
  </si>
  <si>
    <t>Confluence Genetics</t>
  </si>
  <si>
    <t>USA</t>
  </si>
  <si>
    <t>Singapore</t>
  </si>
  <si>
    <t>Netherlands</t>
  </si>
  <si>
    <t>Total</t>
  </si>
  <si>
    <t>Row Labels</t>
  </si>
  <si>
    <t>Sum of Jan-25</t>
  </si>
  <si>
    <t>Sum of Feb-25</t>
  </si>
  <si>
    <t>Sum of Mar-25</t>
  </si>
  <si>
    <t>Sum of Apr-25</t>
  </si>
  <si>
    <t>Sum of May-25</t>
  </si>
  <si>
    <t>Sum of Jun-25</t>
  </si>
  <si>
    <t>Sum of Jul-25</t>
  </si>
  <si>
    <t>Sum of Aug-25</t>
  </si>
  <si>
    <t>Sum of Sep-25</t>
  </si>
  <si>
    <t>Sum of Oct-25</t>
  </si>
  <si>
    <t>Sum of Nov-25</t>
  </si>
  <si>
    <t>Sum of Dec-25</t>
  </si>
  <si>
    <t>Sum of Total Income 2025</t>
  </si>
  <si>
    <t>Grand Total</t>
  </si>
  <si>
    <t>FX RATE</t>
  </si>
  <si>
    <t>Location</t>
  </si>
  <si>
    <t>Customer Level</t>
  </si>
  <si>
    <t>Inv Number</t>
  </si>
  <si>
    <t>Description</t>
  </si>
  <si>
    <t>Inv Value</t>
  </si>
  <si>
    <t>Start Date</t>
  </si>
  <si>
    <t>End Date</t>
  </si>
  <si>
    <t>No Of Days</t>
  </si>
  <si>
    <t>Def rev remaining @ 31.12.24 (B/F)</t>
  </si>
  <si>
    <t>Total Income 2025</t>
  </si>
  <si>
    <t>Invoiced YTD</t>
  </si>
  <si>
    <t xml:space="preserve">Amount Deferred YTD Rev </t>
  </si>
  <si>
    <t>Primetics GEN NA</t>
  </si>
  <si>
    <t>SEED</t>
  </si>
  <si>
    <t>RCT000901</t>
  </si>
  <si>
    <t>Annual Progress Maintenance</t>
  </si>
  <si>
    <t>INV-175452</t>
  </si>
  <si>
    <t>Annual Open Accounts Maintenance</t>
  </si>
  <si>
    <t>INV-256165</t>
  </si>
  <si>
    <t>RCT000935</t>
  </si>
  <si>
    <t>RCT000880</t>
  </si>
  <si>
    <t>RCT000911</t>
  </si>
  <si>
    <t>PRTH</t>
  </si>
  <si>
    <t>KIT</t>
  </si>
  <si>
    <t>UK00095422</t>
  </si>
  <si>
    <t>Annual Microsoft GP Maintenance</t>
  </si>
  <si>
    <t>UK00081499</t>
  </si>
  <si>
    <t>INV276588</t>
  </si>
  <si>
    <t>Smartlist builder</t>
  </si>
  <si>
    <t>INV276589</t>
  </si>
  <si>
    <t>UK00112807</t>
  </si>
  <si>
    <t>RCT000929</t>
  </si>
  <si>
    <t>Annual NCC Deposit</t>
  </si>
  <si>
    <t>UK00082155</t>
  </si>
  <si>
    <t xml:space="preserve">Annual Microsoft GP Maintenance </t>
  </si>
  <si>
    <t>RCT000891</t>
  </si>
  <si>
    <t>RCT000924</t>
  </si>
  <si>
    <t>UK00096030</t>
  </si>
  <si>
    <t>UK00095427</t>
  </si>
  <si>
    <t>UK00080835</t>
  </si>
  <si>
    <t>UK00112809</t>
  </si>
  <si>
    <t>INV271621</t>
  </si>
  <si>
    <t>UK00081514</t>
  </si>
  <si>
    <t>UK00095435</t>
  </si>
  <si>
    <t>UK00095426</t>
  </si>
  <si>
    <t>Annual Microsoft Maintenance</t>
  </si>
  <si>
    <t>UK00081510</t>
  </si>
  <si>
    <t>Advanced Smartlist Maintenance</t>
  </si>
  <si>
    <t>UK00112806</t>
  </si>
  <si>
    <t>UK00095429</t>
  </si>
  <si>
    <t>INVMHL116414</t>
  </si>
  <si>
    <t>Annual M-Hance Maintenance</t>
  </si>
  <si>
    <t>EU_IN80594</t>
  </si>
  <si>
    <t>EU_IN80595</t>
  </si>
  <si>
    <t>INVMHL120169</t>
  </si>
  <si>
    <t>UK00112805</t>
  </si>
  <si>
    <t>10010393-1</t>
  </si>
  <si>
    <t xml:space="preserve">Progress Maintenance </t>
  </si>
  <si>
    <t>UK00084265</t>
  </si>
  <si>
    <t>Primetics CHO</t>
  </si>
  <si>
    <t>PRIME</t>
  </si>
  <si>
    <t>INV-190906</t>
  </si>
  <si>
    <t xml:space="preserve">Annual Open Accounts Maintenance </t>
  </si>
  <si>
    <t>INV174350</t>
  </si>
  <si>
    <t>RCT000917</t>
  </si>
  <si>
    <t>PO001149</t>
  </si>
  <si>
    <t>RCT000919</t>
  </si>
  <si>
    <t>INV-209720</t>
  </si>
  <si>
    <t>INV203896</t>
  </si>
  <si>
    <t>INV-175809</t>
  </si>
  <si>
    <t>Advanced credit note</t>
  </si>
  <si>
    <t>RCT000909</t>
  </si>
  <si>
    <t>RCT000942</t>
  </si>
  <si>
    <t>RCT000885</t>
  </si>
  <si>
    <t>INV-190905</t>
  </si>
  <si>
    <t>INV181318</t>
  </si>
  <si>
    <t>KEY</t>
  </si>
  <si>
    <t>RCT000893</t>
  </si>
  <si>
    <t>INV-206942</t>
  </si>
  <si>
    <t>RCT000905</t>
  </si>
  <si>
    <t>INV-206941</t>
  </si>
  <si>
    <t>RCT000904</t>
  </si>
  <si>
    <t>INV198318</t>
  </si>
  <si>
    <t>INV204022</t>
  </si>
  <si>
    <t>RCT000926</t>
  </si>
  <si>
    <t>RCT000938</t>
  </si>
  <si>
    <t>RCT000941</t>
  </si>
  <si>
    <t>INV-250985</t>
  </si>
  <si>
    <t>RCT000927</t>
  </si>
  <si>
    <t>INV241979</t>
  </si>
  <si>
    <t>INV-209719</t>
  </si>
  <si>
    <t>Annual OA Maintenance</t>
  </si>
  <si>
    <t>RCT000894</t>
  </si>
  <si>
    <t>INV203906</t>
  </si>
  <si>
    <t>INV-202743</t>
  </si>
  <si>
    <t>RCT000882</t>
  </si>
  <si>
    <t>INV-205210</t>
  </si>
  <si>
    <t>INV-171453</t>
  </si>
  <si>
    <t>RCT000915</t>
  </si>
  <si>
    <t>RCT000916</t>
  </si>
  <si>
    <t>RCT000898</t>
  </si>
  <si>
    <t>INV-216810</t>
  </si>
  <si>
    <t>INV42489</t>
  </si>
  <si>
    <t>Annual Synergex Maintenance</t>
  </si>
  <si>
    <t>RCT000912</t>
  </si>
  <si>
    <t>INV212023</t>
  </si>
  <si>
    <t>RCT000936</t>
  </si>
  <si>
    <t>INV-185269</t>
  </si>
  <si>
    <t>INV-225638</t>
  </si>
  <si>
    <t>JP2023114115</t>
  </si>
  <si>
    <t>Atalasoft DotImage Barcoding</t>
  </si>
  <si>
    <t>INV182549</t>
  </si>
  <si>
    <t>INV235918</t>
  </si>
  <si>
    <t>INV-236398</t>
  </si>
  <si>
    <t>INV233369</t>
  </si>
  <si>
    <t>INV-184645</t>
  </si>
  <si>
    <t>INV180690</t>
  </si>
  <si>
    <t>INV-177636</t>
  </si>
  <si>
    <t>INV174359</t>
  </si>
  <si>
    <t>INV-184494</t>
  </si>
  <si>
    <t>INV179954</t>
  </si>
  <si>
    <t xml:space="preserve">Annual Progress Maintenance </t>
  </si>
  <si>
    <t>RCT000899</t>
  </si>
  <si>
    <t>RCT000932</t>
  </si>
  <si>
    <t>RCT000888</t>
  </si>
  <si>
    <t xml:space="preserve">Postcode Assist </t>
  </si>
  <si>
    <t xml:space="preserve">Annual Synergex Maintenance </t>
  </si>
  <si>
    <t>CNR-36356-Z7G027</t>
  </si>
  <si>
    <t xml:space="preserve">Collections Management </t>
  </si>
  <si>
    <t>RCT000914</t>
  </si>
  <si>
    <t>CNR-36356-Z7G0Z8</t>
  </si>
  <si>
    <t>UK00098476</t>
  </si>
  <si>
    <t>Annual GP Maintenance</t>
  </si>
  <si>
    <t>Solentra</t>
  </si>
  <si>
    <t>RCT000910</t>
  </si>
  <si>
    <t>Annual Corvu Maintenance</t>
  </si>
  <si>
    <t>RCT000877</t>
  </si>
  <si>
    <t>E B Bradshaw (paid in error as no longer a customer, I have emailed Advanced to request a refund 2/10/24)</t>
  </si>
  <si>
    <t>IFRS 15 - Licenses</t>
  </si>
  <si>
    <t>Key</t>
  </si>
  <si>
    <t>Status</t>
  </si>
  <si>
    <t>GL account</t>
  </si>
  <si>
    <t>Value</t>
  </si>
  <si>
    <t>Released to P&amp;L</t>
  </si>
  <si>
    <t>GP</t>
  </si>
  <si>
    <t>To be released in next 12 months</t>
  </si>
  <si>
    <t>2600-91-5-000</t>
  </si>
  <si>
    <t>CR</t>
  </si>
  <si>
    <t>To be released in &gt; 12 months</t>
  </si>
  <si>
    <t>3100-17-5-000</t>
  </si>
  <si>
    <t>DR</t>
  </si>
  <si>
    <t>Quote Ref</t>
  </si>
  <si>
    <t>P&amp;L</t>
  </si>
  <si>
    <t>Invoice Ref</t>
  </si>
  <si>
    <t>Total License Val.</t>
  </si>
  <si>
    <t>Annual License Start Date</t>
  </si>
  <si>
    <t>Revenue Rec Renewal Date</t>
  </si>
  <si>
    <t>License renewal Month</t>
  </si>
  <si>
    <t>Q-21-0002</t>
  </si>
  <si>
    <t>5000-91-5-454</t>
  </si>
  <si>
    <t>Additional Users</t>
  </si>
  <si>
    <t>DQ21010047</t>
  </si>
  <si>
    <t>January</t>
  </si>
  <si>
    <t>Sum of 2025</t>
  </si>
  <si>
    <t>Column Labels</t>
  </si>
  <si>
    <t>Q-20-0240</t>
  </si>
  <si>
    <t>5000-91-5-604</t>
  </si>
  <si>
    <t xml:space="preserve">Gold User Licences - KIT Migration </t>
  </si>
  <si>
    <t>DQ21010024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</si>
  <si>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</si>
  <si>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</si>
  <si>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</si>
  <si>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</si>
  <si>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</si>
  <si>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</si>
  <si>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</si>
  <si>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</si>
  <si>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</si>
  <si>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</si>
  <si>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</si>
  <si>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Q3 Total</t>
  </si>
  <si>
    <t>Q-20-0279</t>
  </si>
  <si>
    <t xml:space="preserve">Weighbridge Integration </t>
  </si>
  <si>
    <t>DQ21010044</t>
  </si>
  <si>
    <t>Q-21-0006</t>
  </si>
  <si>
    <t>Additional Gold User Licences</t>
  </si>
  <si>
    <t>DQ21010017</t>
  </si>
  <si>
    <t>Q-20-0265</t>
  </si>
  <si>
    <t>Document Transmission</t>
  </si>
  <si>
    <t>DQ21010043</t>
  </si>
  <si>
    <t>Q-19-0431</t>
  </si>
  <si>
    <t>Generation Licenses</t>
  </si>
  <si>
    <t>DQ21020103</t>
  </si>
  <si>
    <t>Q-20-0208</t>
  </si>
  <si>
    <t>Genware</t>
  </si>
  <si>
    <t>DQ21020056</t>
  </si>
  <si>
    <t xml:space="preserve">Barenbrug Doc Storage </t>
  </si>
  <si>
    <t>DQ21030128</t>
  </si>
  <si>
    <t>2 x Gold User Licences</t>
  </si>
  <si>
    <t>DQ21030117</t>
  </si>
  <si>
    <t>6 x Gold User Licences</t>
  </si>
  <si>
    <t>DQ21003160</t>
  </si>
  <si>
    <t>DQ21050229</t>
  </si>
  <si>
    <t>Generaton Licences</t>
  </si>
  <si>
    <t>DQ21060303</t>
  </si>
  <si>
    <t>Q-21-0060</t>
  </si>
  <si>
    <t xml:space="preserve">10 Gold Licences </t>
  </si>
  <si>
    <t>DQ21080374</t>
  </si>
  <si>
    <t>Q-21-00</t>
  </si>
  <si>
    <t xml:space="preserve">1 x Gold Licence </t>
  </si>
  <si>
    <t>DQ21100447</t>
  </si>
  <si>
    <t>Q-21-0074</t>
  </si>
  <si>
    <t xml:space="preserve">Genscout Module 40% deposit Invoice </t>
  </si>
  <si>
    <t>DQ21100443</t>
  </si>
  <si>
    <t>DQ22010012</t>
  </si>
  <si>
    <t>Q-21-0098</t>
  </si>
  <si>
    <t xml:space="preserve">Notification Centre Module Licence </t>
  </si>
  <si>
    <t>DQ22020072</t>
  </si>
  <si>
    <t>Q-22-0029</t>
  </si>
  <si>
    <t xml:space="preserve">Multi Company Licence </t>
  </si>
  <si>
    <t>DQ22030110</t>
  </si>
  <si>
    <t>Q-22-0046</t>
  </si>
  <si>
    <t>DQ22030113</t>
  </si>
  <si>
    <t>Q-22-0048</t>
  </si>
  <si>
    <t>5000-91-5-474</t>
  </si>
  <si>
    <t>Additional KIT Licence</t>
  </si>
  <si>
    <t>DQ22040120</t>
  </si>
  <si>
    <t>Q-20-0174</t>
  </si>
  <si>
    <t xml:space="preserve">G View </t>
  </si>
  <si>
    <t>DQ22060204</t>
  </si>
  <si>
    <t>Genscout</t>
  </si>
  <si>
    <t>DQ22060203</t>
  </si>
  <si>
    <t>Q-22-0089</t>
  </si>
  <si>
    <t>1x Additional Gold License</t>
  </si>
  <si>
    <t>DQ22100302</t>
  </si>
  <si>
    <t>Q-22-0085</t>
  </si>
  <si>
    <t>12x Additional Gold Licenses</t>
  </si>
  <si>
    <t>DQ22100298</t>
  </si>
  <si>
    <t>Q-21-0097</t>
  </si>
  <si>
    <t>WGS Return Requisition Module</t>
  </si>
  <si>
    <t>DQ22110328</t>
  </si>
  <si>
    <t>GenView Tech Fee 2</t>
  </si>
  <si>
    <t>DQ23020088</t>
  </si>
  <si>
    <t>Return Requisition Module</t>
  </si>
  <si>
    <t>DQ23060152</t>
  </si>
  <si>
    <t>Compac gold + additional modules</t>
  </si>
  <si>
    <t>DQ24040100</t>
  </si>
  <si>
    <t>GenScout Base License</t>
  </si>
  <si>
    <t>DQ24050118</t>
  </si>
  <si>
    <t>Background Processor Licenses</t>
  </si>
  <si>
    <t>DQ24060128</t>
  </si>
  <si>
    <t>OA EDR Enquiry &amp; Reporting License</t>
  </si>
  <si>
    <t>DQ24070159</t>
  </si>
  <si>
    <t>DQ24090189</t>
  </si>
  <si>
    <t>DQ24100223</t>
  </si>
  <si>
    <t>DQ24100221</t>
  </si>
  <si>
    <t>Additional GenWARE Licenses</t>
  </si>
  <si>
    <t>DQ24090198</t>
  </si>
  <si>
    <t>Generation 2025</t>
  </si>
  <si>
    <t>DQ25090153</t>
  </si>
  <si>
    <t>Journal Entry</t>
  </si>
  <si>
    <t>Series</t>
  </si>
  <si>
    <t>TRX Date</t>
  </si>
  <si>
    <t>Month</t>
  </si>
  <si>
    <t>Account Number</t>
  </si>
  <si>
    <t>Account Description</t>
  </si>
  <si>
    <t>Currency ID</t>
  </si>
  <si>
    <t>Reference</t>
  </si>
  <si>
    <t>Exchange Rate</t>
  </si>
  <si>
    <t>Debit Amount</t>
  </si>
  <si>
    <t>Credit Amount</t>
  </si>
  <si>
    <t xml:space="preserve">Balance </t>
  </si>
  <si>
    <t>Currency Index</t>
  </si>
  <si>
    <t>Originating Debit Amount</t>
  </si>
  <si>
    <t>Originating Credit Amount</t>
  </si>
  <si>
    <t>Originating Control Number</t>
  </si>
  <si>
    <t>Originating Document Number</t>
  </si>
  <si>
    <t>Originating Master ID</t>
  </si>
  <si>
    <t>Originating Posted Date</t>
  </si>
  <si>
    <t>Originating Source</t>
  </si>
  <si>
    <t>Source Document</t>
  </si>
  <si>
    <t>TRX Source</t>
  </si>
  <si>
    <t>User Who Posted</t>
  </si>
  <si>
    <t>Originating Master Name</t>
  </si>
  <si>
    <t>Financial</t>
  </si>
  <si>
    <t>5010-10-5-454</t>
  </si>
  <si>
    <t>Service Revenue - Initiatives</t>
  </si>
  <si>
    <t>Z-GBP</t>
  </si>
  <si>
    <t>December WIP</t>
  </si>
  <si>
    <t>GJ</t>
  </si>
  <si>
    <t>GLTRX00026624</t>
  </si>
  <si>
    <t>sdoroshenko</t>
  </si>
  <si>
    <t>5010-10-5-604</t>
  </si>
  <si>
    <t>Service Revenue - Mid Market</t>
  </si>
  <si>
    <t>Sales</t>
  </si>
  <si>
    <t>5010-46-5-604</t>
  </si>
  <si>
    <t>Service Revenue - Non Policy - Mid Market</t>
  </si>
  <si>
    <t>SML 3rd party Warehouse Integr</t>
  </si>
  <si>
    <t>DQ25010003</t>
  </si>
  <si>
    <t>RMSLS</t>
  </si>
  <si>
    <t>SJ</t>
  </si>
  <si>
    <t>GLTRX00026572</t>
  </si>
  <si>
    <t>Correct WIP Jan</t>
  </si>
  <si>
    <t>GLTRX00026629</t>
  </si>
  <si>
    <t>jkiernan</t>
  </si>
  <si>
    <t>Automate the Bagged Seed Repor</t>
  </si>
  <si>
    <t>DQ25010008</t>
  </si>
  <si>
    <t>GLTRX00026609</t>
  </si>
  <si>
    <t>Add Parent Account Column</t>
  </si>
  <si>
    <t>DQ25020014</t>
  </si>
  <si>
    <t>GLTRX00026667</t>
  </si>
  <si>
    <t>WheatDNA Trace Changes</t>
  </si>
  <si>
    <t>DQ25020013</t>
  </si>
  <si>
    <t>5010-46-5-454</t>
  </si>
  <si>
    <t>Service Revenue - Non Policy - Gen NA</t>
  </si>
  <si>
    <t>Incorporate ProductID in Barco</t>
  </si>
  <si>
    <t>DQ25020024</t>
  </si>
  <si>
    <t>GLTRX00026683</t>
  </si>
  <si>
    <t>PETL Data Enhancement for Stoc</t>
  </si>
  <si>
    <t>DQ25020023</t>
  </si>
  <si>
    <t>Technical Incident Points</t>
  </si>
  <si>
    <t>DQ25020025</t>
  </si>
  <si>
    <t>GLTRX00026684</t>
  </si>
  <si>
    <t>WIP February</t>
  </si>
  <si>
    <t>GLTRX00026727</t>
  </si>
  <si>
    <t>Changes to Multiple Crystal Re</t>
  </si>
  <si>
    <t>DQ25020028</t>
  </si>
  <si>
    <t>GLTRX00026705</t>
  </si>
  <si>
    <t>Training / Consultancy 2024</t>
  </si>
  <si>
    <t>DQ25020029</t>
  </si>
  <si>
    <t>SAX - Saxon WebCRM Enhancement</t>
  </si>
  <si>
    <t>DQ25030033</t>
  </si>
  <si>
    <t>Saxon - Multiple Stock Lots /</t>
  </si>
  <si>
    <t>DQ25030032</t>
  </si>
  <si>
    <t>Gold Version Of Monthly Sales</t>
  </si>
  <si>
    <t>DQ25030035</t>
  </si>
  <si>
    <t>GLTRX00026778</t>
  </si>
  <si>
    <t>GrainCo - Escone Consultancy (</t>
  </si>
  <si>
    <t>DQ25020027</t>
  </si>
  <si>
    <t>5010-46-5-474</t>
  </si>
  <si>
    <t>Service Revenue - Non Policy - Methven</t>
  </si>
  <si>
    <t>Cofco KIT &amp; GP Upgrade 2023</t>
  </si>
  <si>
    <t>DQ25030053</t>
  </si>
  <si>
    <t>GLTRX00026806</t>
  </si>
  <si>
    <t>PETL - Add OrderID to Direct D</t>
  </si>
  <si>
    <t>DQ25040055</t>
  </si>
  <si>
    <t>GLTRX00026831</t>
  </si>
  <si>
    <t>March WIP</t>
  </si>
  <si>
    <t>GLTRX00026833</t>
  </si>
  <si>
    <t>Importing Stock Lot Cost Updat</t>
  </si>
  <si>
    <t>DQ25040056</t>
  </si>
  <si>
    <t>Stonegate 50% Provision</t>
  </si>
  <si>
    <t>GLTRX00026846</t>
  </si>
  <si>
    <t>ProductID &amp; Alt Batch on Docum</t>
  </si>
  <si>
    <t>DQ25040062</t>
  </si>
  <si>
    <t>GLTRX00026934</t>
  </si>
  <si>
    <t>WIP April</t>
  </si>
  <si>
    <t>GLTRX00026948</t>
  </si>
  <si>
    <t>Server MIgration</t>
  </si>
  <si>
    <t>DQ25050067</t>
  </si>
  <si>
    <t>GLTRX00026937</t>
  </si>
  <si>
    <t>Pool Area Update for Stores</t>
  </si>
  <si>
    <t>DQ25050068</t>
  </si>
  <si>
    <t>Haulage Position - Multi Selec</t>
  </si>
  <si>
    <t>DQ25050069</t>
  </si>
  <si>
    <t>Pool Valuation Enquiry - Add p</t>
  </si>
  <si>
    <t>DQ25050070</t>
  </si>
  <si>
    <t>Purchase Balance in Sales Volu</t>
  </si>
  <si>
    <t>DQ25050073</t>
  </si>
  <si>
    <t>Stock Lot Rent Details</t>
  </si>
  <si>
    <t>DQ25050071</t>
  </si>
  <si>
    <t>M2M Conventional Carry Adjustm</t>
  </si>
  <si>
    <t>DQ25050072</t>
  </si>
  <si>
    <t>WGS GenSCOUT Build</t>
  </si>
  <si>
    <t>DQ25040061</t>
  </si>
  <si>
    <t>GLTRX00026939</t>
  </si>
  <si>
    <t>G Williams Server Migration (E</t>
  </si>
  <si>
    <t>DQ25050075</t>
  </si>
  <si>
    <t>GLTRX00027022</t>
  </si>
  <si>
    <t>GrainCo - Integration Project</t>
  </si>
  <si>
    <t>DQ25050074</t>
  </si>
  <si>
    <t>Dugdales Server Migration</t>
  </si>
  <si>
    <t>DQ25050079</t>
  </si>
  <si>
    <t>Adam &amp; Howling Ltd move</t>
  </si>
  <si>
    <t>GLTRX00027081</t>
  </si>
  <si>
    <t>DLS -GP Upgrade 2023</t>
  </si>
  <si>
    <t>DQ25060089</t>
  </si>
  <si>
    <t>GLTRX00027083</t>
  </si>
  <si>
    <t>WIP May</t>
  </si>
  <si>
    <t>GLTRX00027082</t>
  </si>
  <si>
    <t>Saxon Store Management - Chang</t>
  </si>
  <si>
    <t>DQ25060087</t>
  </si>
  <si>
    <t>GLTRX00027060</t>
  </si>
  <si>
    <t>Automated Fixing Summary</t>
  </si>
  <si>
    <t>DQ25060088</t>
  </si>
  <si>
    <t>GrainCo - TELUS/VeVirgo Develo</t>
  </si>
  <si>
    <t>DQ25060092</t>
  </si>
  <si>
    <t>GLTRX00027152</t>
  </si>
  <si>
    <t>Enhancements To Payment Schedu</t>
  </si>
  <si>
    <t>DQ25060102</t>
  </si>
  <si>
    <t>Add Parent Account To Purchase</t>
  </si>
  <si>
    <t>DQ25060103</t>
  </si>
  <si>
    <t>Saxon - Charge Tables Training</t>
  </si>
  <si>
    <t>DQ25060104</t>
  </si>
  <si>
    <t>Transport Wallboard update - a</t>
  </si>
  <si>
    <t>DQ25060105</t>
  </si>
  <si>
    <t>SML - Free Stock Consultancy</t>
  </si>
  <si>
    <t>DQ25060108</t>
  </si>
  <si>
    <t>PETL Archiving and Filtering</t>
  </si>
  <si>
    <t>DQ25060106</t>
  </si>
  <si>
    <t>GLTRX00027175</t>
  </si>
  <si>
    <t>Training Consultancy</t>
  </si>
  <si>
    <t>DQ25060109</t>
  </si>
  <si>
    <t>GLTRX00027174</t>
  </si>
  <si>
    <t>June WIP</t>
  </si>
  <si>
    <t>GLTRX00027212</t>
  </si>
  <si>
    <t>Area Address Functionality</t>
  </si>
  <si>
    <t>DQ25070114</t>
  </si>
  <si>
    <t>GLTRX00027202</t>
  </si>
  <si>
    <t>Trading Partner Closure routin</t>
  </si>
  <si>
    <t>DQ25070115</t>
  </si>
  <si>
    <t>GLTRX00027207</t>
  </si>
  <si>
    <t>Sample Request Usability &amp; Out</t>
  </si>
  <si>
    <t>DQ25070113</t>
  </si>
  <si>
    <t>Primetics - Application Instal</t>
  </si>
  <si>
    <t>DQ25070118</t>
  </si>
  <si>
    <t>GLTRX00027279</t>
  </si>
  <si>
    <t>Enhancement to the Default Pla</t>
  </si>
  <si>
    <t>DQ25070116</t>
  </si>
  <si>
    <t>Dugdales PETL Archiving &amp; Filt</t>
  </si>
  <si>
    <t>DQ25070122</t>
  </si>
  <si>
    <t>Stonegate - Pre Project consul</t>
  </si>
  <si>
    <t>DQ25070125</t>
  </si>
  <si>
    <t>GLTRX00027315</t>
  </si>
  <si>
    <t>Contact Roles in Generation</t>
  </si>
  <si>
    <t>DQ25080126</t>
  </si>
  <si>
    <t>GLTRX00027330</t>
  </si>
  <si>
    <t>July WIP</t>
  </si>
  <si>
    <t>GLTRX00027336</t>
  </si>
  <si>
    <t>Stonegate site visit move</t>
  </si>
  <si>
    <t>GLTRX00027335</t>
  </si>
  <si>
    <t>Back Out Journal Entry 101657</t>
  </si>
  <si>
    <t>GLTRX00027376</t>
  </si>
  <si>
    <t>Portal Update</t>
  </si>
  <si>
    <t>DQ25080131</t>
  </si>
  <si>
    <t>GLTRX00027402</t>
  </si>
  <si>
    <t>Saxon Concur Consultancy - Esc</t>
  </si>
  <si>
    <t>DQ25080130</t>
  </si>
  <si>
    <t>Mobile app - deep link updates</t>
  </si>
  <si>
    <t>DQ25080132</t>
  </si>
  <si>
    <t>WIP August</t>
  </si>
  <si>
    <t>GLTRX00027463</t>
  </si>
  <si>
    <t>GLTRX00027460</t>
  </si>
  <si>
    <t>GLTRX00027461</t>
  </si>
  <si>
    <t>West Gaines move</t>
  </si>
  <si>
    <t>GLTRX00027459</t>
  </si>
  <si>
    <t>GLTRX00027534</t>
  </si>
  <si>
    <t>DQ25090153-1</t>
  </si>
  <si>
    <t>BMGG - Bespoke Portal Amendmen</t>
  </si>
  <si>
    <t>DQ25090161</t>
  </si>
  <si>
    <t>GLTRX00027565</t>
  </si>
  <si>
    <t>Change to Sales Volume Breakdo</t>
  </si>
  <si>
    <t>DQ25090160</t>
  </si>
  <si>
    <t>GLTRX00027551</t>
  </si>
  <si>
    <t>Red Tractor - Specification 1</t>
  </si>
  <si>
    <t>DQ25090156</t>
  </si>
  <si>
    <t>Template Update Enhancements:</t>
  </si>
  <si>
    <t>DQ25090157</t>
  </si>
  <si>
    <t>Enhancement to Template Update</t>
  </si>
  <si>
    <t>DQ25090158</t>
  </si>
  <si>
    <t>Cool Farm Data Retrieval</t>
  </si>
  <si>
    <t>DQ25090159</t>
  </si>
  <si>
    <t>User Diary &amp; Sales Volume Brea</t>
  </si>
  <si>
    <t>DQ25090162</t>
  </si>
  <si>
    <t>Voided Trn Maintenance</t>
  </si>
  <si>
    <t>RMMSC</t>
  </si>
  <si>
    <t>RMJ</t>
  </si>
  <si>
    <t>GLTRX00027533</t>
  </si>
  <si>
    <t>September WIP</t>
  </si>
  <si>
    <t>GLTRX00027579</t>
  </si>
  <si>
    <t>Fund Diary Enhancements</t>
  </si>
  <si>
    <t>DQ25100166</t>
  </si>
  <si>
    <t>GLTRX00027589</t>
  </si>
  <si>
    <t>SML - Database Consultancy</t>
  </si>
  <si>
    <t>DQ25090165</t>
  </si>
  <si>
    <t>Scada 2024 Pre Project</t>
  </si>
  <si>
    <t>DQ25090164</t>
  </si>
  <si>
    <t>GLTRX00027552</t>
  </si>
  <si>
    <t>GLTRX00027553</t>
  </si>
  <si>
    <t>GLREV00027579</t>
  </si>
  <si>
    <t>NCC Escrow Deposit for AquaGol</t>
  </si>
  <si>
    <t>DQ25100180</t>
  </si>
  <si>
    <t>GLTRX00027693</t>
  </si>
  <si>
    <t>5010-10-5-474</t>
  </si>
  <si>
    <t>Service Revenue - Methven</t>
  </si>
  <si>
    <t>Denholm provision</t>
  </si>
  <si>
    <t>GLTRX00027669</t>
  </si>
  <si>
    <t>Royalty Credits</t>
  </si>
  <si>
    <t>DQ25110182</t>
  </si>
  <si>
    <t>GLTRX00027695</t>
  </si>
  <si>
    <t>Alliance Integration into Cant</t>
  </si>
  <si>
    <t>DQ25110181</t>
  </si>
  <si>
    <t>TP Activity Status</t>
  </si>
  <si>
    <t>DQ25110185</t>
  </si>
  <si>
    <t>Area Assignment Import - AA Pr</t>
  </si>
  <si>
    <t>DQ25110184</t>
  </si>
  <si>
    <t>Position Enquiry - Cancelled C</t>
  </si>
  <si>
    <t>DQ25110183</t>
  </si>
  <si>
    <t>October WIP</t>
  </si>
  <si>
    <t>GLTRX00027690</t>
  </si>
  <si>
    <t>GLREV00027690</t>
  </si>
  <si>
    <t>SML - Fertiliser Developments</t>
  </si>
  <si>
    <t>DQ25110194</t>
  </si>
  <si>
    <t>GLTRX00027776</t>
  </si>
  <si>
    <t>Glasson GP Migration</t>
  </si>
  <si>
    <t>DQ25110195</t>
  </si>
  <si>
    <t>Contract /Order Enquiry Copy F</t>
  </si>
  <si>
    <t>DQ25110197</t>
  </si>
  <si>
    <t>Contract Consolidation Screen</t>
  </si>
  <si>
    <t>DQ25120198</t>
  </si>
  <si>
    <t>GLTRX00027844</t>
  </si>
  <si>
    <t xml:space="preserve"> WIP November</t>
  </si>
  <si>
    <t>GLREV00027859</t>
  </si>
  <si>
    <t>Clover OAUTH v2 Enforcement an</t>
  </si>
  <si>
    <t>DQ25120204</t>
  </si>
  <si>
    <t>GLTRX00027900</t>
  </si>
  <si>
    <t>DQ25120209</t>
  </si>
  <si>
    <t>GLTRX00027917</t>
  </si>
  <si>
    <t>Transport Loading Plan</t>
  </si>
  <si>
    <t>DQ25120210</t>
  </si>
  <si>
    <t>Transport Fixing Report Readab</t>
  </si>
  <si>
    <t>DQ25120212</t>
  </si>
  <si>
    <t>Cope Seeds PICR</t>
  </si>
  <si>
    <t>DQ25120211</t>
  </si>
  <si>
    <t>GLTRX00027918</t>
  </si>
  <si>
    <t>Denholm 2nd 50% Provision</t>
  </si>
  <si>
    <t>GLTRX00027974</t>
  </si>
  <si>
    <t>November WIP</t>
  </si>
  <si>
    <t>GLTRX00027859</t>
  </si>
  <si>
    <t>GLTRX00027985</t>
  </si>
  <si>
    <t>NCC Escrow Deposit for AquaGold (KFAST)</t>
  </si>
  <si>
    <t>GLTRX00027873</t>
  </si>
  <si>
    <t>GLTRX00028017</t>
  </si>
  <si>
    <t xml:space="preserve">Sum of Balance </t>
  </si>
  <si>
    <t>Annual Maintenance GBP</t>
  </si>
  <si>
    <t>Third Party Maintenance GBP</t>
  </si>
  <si>
    <t>Total Annual Maintenance GBP</t>
  </si>
  <si>
    <t>Own-authored Maintenance USD</t>
  </si>
  <si>
    <t>Third Party Maintenance USD</t>
  </si>
  <si>
    <t>Total Maintenance USD</t>
  </si>
  <si>
    <t xml:space="preserve">frontier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</si>
</sst>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£&quot;#,##0.00;[Red]\-&quot;£&quot;#,##0.00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0.00000"/>
    <numFmt numFmtId="165" formatCode="_-[$$-409]* #,##0.00_ ;_-[$$-409]* \-#,##0.00\ ;_-[$$-409]* &quot;-&quot;??_ ;_-@_ "/>
    <numFmt numFmtId="166" formatCode="_-* #,##0.00000_-;\-* #,##0.00000_-;_-* &quot;-&quot;??_-;_-@_-"/>
    <numFmt numFmtId="167" formatCode="#,###.000,;\(#,###.000,\);0.000"/>
    <numFmt numFmtId="168" formatCode="_(* #,##0.00_);_(* \(#,##0.00\);_(* &quot;-&quot;??_);_(@_)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  <font>
      <b/>
      <sz val="10"/>
      <color indexed="8"/>
      <name val="Calibri"/>
      <family val="2"/>
    </font>
    <font>
      <sz val="11"/>
      <color rgb="FF000000"/>
      <name val="Calibri"/>
      <family val="2"/>
    </font>
    <font>
      <sz val="1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name val="Arial"/>
      <family val="2"/>
    </font>
    <font>
      <b/>
      <sz val="11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rgb="FFFFFF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/>
      <right/>
      <top style="thin">
        <color indexed="65"/>
      </top>
      <bottom/>
      <diagonal/>
    </border>
    <border>
      <left/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7" fillId="0" borderId="0"/>
    <xf numFmtId="0" fontId="1" fillId="0" borderId="0"/>
    <xf numFmtId="0" fontId="7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6" fillId="8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6" fillId="8" borderId="0" applyNumberFormat="0" applyBorder="0" applyAlignment="0" applyProtection="0"/>
  </cellStyleXfs>
  <cellXfs count="108">
    <xf numFmtId="0" fontId="0" fillId="0" borderId="0" xfId="0"/>
    <xf numFmtId="0" fontId="0" fillId="0" borderId="0" xfId="0" applyAlignment="1">
      <alignment horizontal="left"/>
    </xf>
    <xf numFmtId="43" fontId="0" fillId="0" borderId="0" xfId="0" applyNumberFormat="1"/>
    <xf numFmtId="43" fontId="0" fillId="0" borderId="0" xfId="1" applyFont="1"/>
    <xf numFmtId="165" fontId="0" fillId="0" borderId="0" xfId="0" applyNumberFormat="1"/>
    <xf numFmtId="0" fontId="0" fillId="0" borderId="0" xfId="0" pivotButton="1"/>
    <xf numFmtId="0" fontId="4" fillId="0" borderId="0" xfId="0" applyFont="1"/>
    <xf numFmtId="43" fontId="4" fillId="0" borderId="0" xfId="1" applyFont="1" applyFill="1"/>
    <xf numFmtId="0" fontId="4" fillId="2" borderId="0" xfId="0" applyFont="1" applyFill="1"/>
    <xf numFmtId="0" fontId="3" fillId="0" borderId="0" xfId="0" applyFont="1"/>
    <xf numFmtId="14" fontId="3" fillId="0" borderId="0" xfId="0" applyNumberFormat="1" applyFont="1"/>
    <xf numFmtId="0" fontId="3" fillId="3" borderId="0" xfId="0" applyFont="1" applyFill="1"/>
    <xf numFmtId="0" fontId="0" fillId="4" borderId="0" xfId="0" applyFill="1"/>
    <xf numFmtId="43" fontId="5" fillId="0" borderId="0" xfId="0" applyNumberFormat="1" applyFont="1"/>
    <xf numFmtId="0" fontId="5" fillId="0" borderId="0" xfId="0" applyFont="1"/>
    <xf numFmtId="0" fontId="3" fillId="5" borderId="0" xfId="0" applyFont="1" applyFill="1"/>
    <xf numFmtId="43" fontId="3" fillId="0" borderId="0" xfId="0" applyNumberFormat="1" applyFont="1"/>
    <xf numFmtId="43" fontId="2" fillId="0" borderId="0" xfId="0" applyNumberFormat="1" applyFont="1"/>
    <xf numFmtId="0" fontId="2" fillId="0" borderId="0" xfId="0" applyFont="1"/>
    <xf numFmtId="0" fontId="3" fillId="6" borderId="0" xfId="0" applyFont="1" applyFill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wrapText="1"/>
    </xf>
    <xf numFmtId="0" fontId="0" fillId="0" borderId="1" xfId="0" applyBorder="1"/>
    <xf numFmtId="43" fontId="0" fillId="0" borderId="1" xfId="1" applyFont="1" applyFill="1" applyBorder="1"/>
    <xf numFmtId="14" fontId="0" fillId="0" borderId="1" xfId="0" applyNumberFormat="1" applyBorder="1"/>
    <xf numFmtId="43" fontId="1" fillId="0" borderId="1" xfId="2" applyNumberFormat="1" applyBorder="1"/>
    <xf numFmtId="43" fontId="0" fillId="3" borderId="1" xfId="1" applyFont="1" applyFill="1" applyBorder="1"/>
    <xf numFmtId="43" fontId="0" fillId="5" borderId="1" xfId="0" applyNumberFormat="1" applyFill="1" applyBorder="1"/>
    <xf numFmtId="43" fontId="0" fillId="0" borderId="1" xfId="3" applyFont="1" applyBorder="1"/>
    <xf numFmtId="43" fontId="0" fillId="4" borderId="1" xfId="1" applyFont="1" applyFill="1" applyBorder="1"/>
    <xf numFmtId="14" fontId="0" fillId="0" borderId="0" xfId="0" applyNumberFormat="1"/>
    <xf numFmtId="0" fontId="3" fillId="0" borderId="0" xfId="0" applyFont="1" applyAlignment="1">
      <alignment horizontal="left"/>
    </xf>
    <xf numFmtId="43" fontId="3" fillId="0" borderId="0" xfId="1" applyFont="1"/>
    <xf numFmtId="0" fontId="3" fillId="0" borderId="1" xfId="0" applyFont="1" applyBorder="1"/>
    <xf numFmtId="43" fontId="3" fillId="0" borderId="1" xfId="1" applyFont="1" applyBorder="1"/>
    <xf numFmtId="14" fontId="3" fillId="0" borderId="1" xfId="0" applyNumberFormat="1" applyFont="1" applyBorder="1"/>
    <xf numFmtId="0" fontId="3" fillId="7" borderId="1" xfId="0" applyFont="1" applyFill="1" applyBorder="1" applyAlignment="1">
      <alignment horizontal="center" vertical="top"/>
    </xf>
    <xf numFmtId="43" fontId="0" fillId="0" borderId="0" xfId="1" applyFont="1" applyAlignment="1">
      <alignment horizontal="left"/>
    </xf>
    <xf numFmtId="166" fontId="0" fillId="0" borderId="0" xfId="0" applyNumberFormat="1"/>
    <xf numFmtId="167" fontId="0" fillId="9" borderId="0" xfId="0" applyNumberFormat="1" applyFill="1"/>
    <xf numFmtId="3" fontId="9" fillId="0" borderId="0" xfId="0" applyNumberFormat="1" applyFont="1" applyAlignment="1">
      <alignment horizontal="right"/>
    </xf>
    <xf numFmtId="9" fontId="0" fillId="0" borderId="0" xfId="14" applyFont="1"/>
    <xf numFmtId="9" fontId="0" fillId="0" borderId="0" xfId="0" applyNumberFormat="1"/>
    <xf numFmtId="8" fontId="0" fillId="0" borderId="0" xfId="0" applyNumberFormat="1"/>
    <xf numFmtId="0" fontId="0" fillId="10" borderId="1" xfId="0" applyFill="1" applyBorder="1"/>
    <xf numFmtId="43" fontId="0" fillId="10" borderId="1" xfId="1" applyFont="1" applyFill="1" applyBorder="1"/>
    <xf numFmtId="14" fontId="0" fillId="10" borderId="1" xfId="0" applyNumberFormat="1" applyFill="1" applyBorder="1"/>
    <xf numFmtId="2" fontId="0" fillId="0" borderId="0" xfId="0" applyNumberFormat="1"/>
    <xf numFmtId="168" fontId="0" fillId="0" borderId="0" xfId="0" applyNumberFormat="1"/>
    <xf numFmtId="0" fontId="10" fillId="0" borderId="0" xfId="0" applyFont="1"/>
    <xf numFmtId="43" fontId="0" fillId="0" borderId="0" xfId="1" applyFont="1" applyFill="1"/>
    <xf numFmtId="2" fontId="0" fillId="2" borderId="0" xfId="0" applyNumberFormat="1" applyFill="1"/>
    <xf numFmtId="43" fontId="0" fillId="2" borderId="0" xfId="0" applyNumberFormat="1" applyFill="1"/>
    <xf numFmtId="0" fontId="0" fillId="0" borderId="4" xfId="0" applyBorder="1"/>
    <xf numFmtId="0" fontId="0" fillId="0" borderId="5" xfId="0" applyBorder="1"/>
    <xf numFmtId="0" fontId="0" fillId="0" borderId="3" xfId="0" applyBorder="1" applyAlignment="1">
      <alignment horizontal="left"/>
    </xf>
    <xf numFmtId="2" fontId="0" fillId="0" borderId="3" xfId="0" applyNumberFormat="1" applyBorder="1"/>
    <xf numFmtId="2" fontId="0" fillId="0" borderId="4" xfId="0" applyNumberFormat="1" applyBorder="1"/>
    <xf numFmtId="2" fontId="0" fillId="0" borderId="5" xfId="0" applyNumberFormat="1" applyBorder="1"/>
    <xf numFmtId="0" fontId="0" fillId="0" borderId="6" xfId="0" applyBorder="1" applyAlignment="1">
      <alignment horizontal="left"/>
    </xf>
    <xf numFmtId="2" fontId="0" fillId="0" borderId="6" xfId="0" applyNumberFormat="1" applyBorder="1"/>
    <xf numFmtId="2" fontId="0" fillId="0" borderId="7" xfId="0" applyNumberFormat="1" applyBorder="1"/>
    <xf numFmtId="2" fontId="0" fillId="0" borderId="8" xfId="0" applyNumberFormat="1" applyBorder="1"/>
    <xf numFmtId="0" fontId="0" fillId="0" borderId="9" xfId="0" applyBorder="1" applyAlignment="1">
      <alignment horizontal="left"/>
    </xf>
    <xf numFmtId="2" fontId="0" fillId="0" borderId="9" xfId="0" applyNumberFormat="1" applyBorder="1"/>
    <xf numFmtId="2" fontId="0" fillId="0" borderId="10" xfId="0" applyNumberFormat="1" applyBorder="1"/>
    <xf numFmtId="2" fontId="0" fillId="0" borderId="11" xfId="0" applyNumberFormat="1" applyBorder="1"/>
    <xf numFmtId="0" fontId="0" fillId="0" borderId="3" xfId="0" pivotButton="1" applyBorder="1"/>
    <xf numFmtId="43" fontId="11" fillId="0" borderId="0" xfId="1" applyFont="1"/>
    <xf numFmtId="43" fontId="11" fillId="0" borderId="0" xfId="1" applyFont="1" applyFill="1"/>
    <xf numFmtId="43" fontId="0" fillId="11" borderId="0" xfId="0" applyNumberFormat="1" applyFill="1"/>
    <xf numFmtId="17" fontId="12" fillId="0" borderId="13" xfId="0" applyNumberFormat="1" applyFont="1" applyBorder="1" applyAlignment="1">
      <alignment horizontal="center" vertical="center"/>
    </xf>
    <xf numFmtId="17" fontId="12" fillId="5" borderId="13" xfId="0" applyNumberFormat="1" applyFont="1" applyFill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4" fillId="5" borderId="14" xfId="16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5" fillId="0" borderId="0" xfId="0" applyFont="1"/>
    <xf numFmtId="0" fontId="15" fillId="0" borderId="0" xfId="0" applyFont="1" applyAlignment="1">
      <alignment horizontal="left"/>
    </xf>
    <xf numFmtId="44" fontId="15" fillId="0" borderId="0" xfId="0" applyNumberFormat="1" applyFont="1"/>
    <xf numFmtId="14" fontId="15" fillId="0" borderId="0" xfId="0" applyNumberFormat="1" applyFont="1"/>
    <xf numFmtId="14" fontId="15" fillId="0" borderId="0" xfId="0" applyNumberFormat="1" applyFont="1" applyAlignment="1">
      <alignment horizontal="right"/>
    </xf>
    <xf numFmtId="44" fontId="16" fillId="0" borderId="0" xfId="0" applyNumberFormat="1" applyFont="1"/>
    <xf numFmtId="0" fontId="2" fillId="0" borderId="0" xfId="0" applyFont="1" applyAlignment="1">
      <alignment horizontal="left"/>
    </xf>
    <xf numFmtId="0" fontId="16" fillId="0" borderId="0" xfId="0" applyFont="1"/>
    <xf numFmtId="44" fontId="17" fillId="0" borderId="0" xfId="0" applyNumberFormat="1" applyFont="1"/>
    <xf numFmtId="8" fontId="15" fillId="0" borderId="0" xfId="0" applyNumberFormat="1" applyFont="1"/>
    <xf numFmtId="0" fontId="18" fillId="0" borderId="0" xfId="0" applyFont="1" applyAlignment="1">
      <alignment horizontal="left"/>
    </xf>
    <xf numFmtId="0" fontId="7" fillId="0" borderId="0" xfId="0" applyFont="1"/>
    <xf numFmtId="44" fontId="0" fillId="0" borderId="0" xfId="0" applyNumberFormat="1"/>
    <xf numFmtId="44" fontId="18" fillId="0" borderId="0" xfId="10" applyNumberFormat="1" applyFont="1"/>
    <xf numFmtId="0" fontId="0" fillId="2" borderId="0" xfId="0" applyFill="1"/>
    <xf numFmtId="2" fontId="3" fillId="0" borderId="0" xfId="0" applyNumberFormat="1" applyFont="1"/>
    <xf numFmtId="164" fontId="19" fillId="2" borderId="0" xfId="0" applyNumberFormat="1" applyFont="1" applyFill="1"/>
    <xf numFmtId="164" fontId="3" fillId="2" borderId="0" xfId="0" applyNumberFormat="1" applyFont="1" applyFill="1"/>
    <xf numFmtId="164" fontId="19" fillId="12" borderId="0" xfId="0" applyNumberFormat="1" applyFont="1" applyFill="1"/>
    <xf numFmtId="2" fontId="3" fillId="2" borderId="0" xfId="0" applyNumberFormat="1" applyFont="1" applyFill="1"/>
    <xf numFmtId="43" fontId="3" fillId="2" borderId="0" xfId="0" applyNumberFormat="1" applyFont="1" applyFill="1"/>
    <xf numFmtId="44" fontId="12" fillId="0" borderId="12" xfId="15" applyFont="1" applyFill="1" applyBorder="1" applyAlignment="1">
      <alignment horizontal="center" vertical="center" wrapText="1"/>
    </xf>
    <xf numFmtId="44" fontId="12" fillId="0" borderId="14" xfId="15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43" fontId="12" fillId="0" borderId="12" xfId="1" applyFont="1" applyFill="1" applyBorder="1" applyAlignment="1">
      <alignment horizontal="center" vertical="center" wrapText="1"/>
    </xf>
    <xf numFmtId="43" fontId="12" fillId="0" borderId="14" xfId="1" applyFont="1" applyFill="1" applyBorder="1" applyAlignment="1">
      <alignment horizontal="center" vertical="center" wrapText="1"/>
    </xf>
    <xf numFmtId="14" fontId="12" fillId="0" borderId="12" xfId="0" applyNumberFormat="1" applyFont="1" applyBorder="1" applyAlignment="1">
      <alignment horizontal="center" vertical="center" wrapText="1"/>
    </xf>
    <xf numFmtId="14" fontId="12" fillId="0" borderId="14" xfId="0" applyNumberFormat="1" applyFont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/>
    </xf>
  </cellXfs>
  <cellStyles count="17">
    <cellStyle name="Comma" xfId="1" builtinId="3"/>
    <cellStyle name="Comma 2" xfId="3" xr:uid="{84294E34-A68B-4857-BD90-108BEE6C2669}"/>
    <cellStyle name="Comma 2 2" xfId="8" xr:uid="{164D51F9-39F8-43A6-BAA2-E3017AF97EF4}"/>
    <cellStyle name="Comma 3" xfId="7" xr:uid="{943AE9E1-ABAB-4A49-8340-7A4E767E74EF}"/>
    <cellStyle name="Comma 5" xfId="13" xr:uid="{32B4D08A-8D52-4349-A68D-6A29E5FFA680}"/>
    <cellStyle name="Currency" xfId="15" builtinId="4"/>
    <cellStyle name="Currency 2" xfId="9" xr:uid="{FB7FBA12-258E-467D-B866-D37A7005BA6C}"/>
    <cellStyle name="Currency 4" xfId="11" xr:uid="{603061A8-DFD6-4855-A039-07D688DD79B9}"/>
    <cellStyle name="Neutral" xfId="16" builtinId="28"/>
    <cellStyle name="Neutral 3" xfId="12" xr:uid="{21758200-4E65-4757-8A4E-0BEBB0574E75}"/>
    <cellStyle name="Normal" xfId="0" builtinId="0"/>
    <cellStyle name="Normal 2" xfId="2" xr:uid="{F3CE63F1-2BDF-4C91-B551-3783E7B3822A}"/>
    <cellStyle name="Normal 3" xfId="4" xr:uid="{86709ABC-37A6-4CF7-BD45-63BEBAC30FB4}"/>
    <cellStyle name="Normal 3 2" xfId="6" xr:uid="{D913A7F1-F688-450C-AB7F-4805CE3816A5}"/>
    <cellStyle name="Normal 7" xfId="10" xr:uid="{22650C5C-88DB-42BD-A289-40CFC567FA8C}"/>
    <cellStyle name="Normal 8" xfId="5" xr:uid="{56DF7936-D43F-4A71-A425-A94088F52657}"/>
    <cellStyle name="Per cent" xfId="14" builtinId="5"/>
  </cellStyles>
  <dxfs count="59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numFmt numFmtId="2" formatCode="0.00"/>
    </dxf>
    <dxf>
      <numFmt numFmtId="35" formatCode="_-* #,##0.00_-;\-* #,##0.00_-;_-* &quot;-&quot;??_-;_-@_-"/>
    </dxf>
    <dxf>
      <numFmt numFmtId="35" formatCode="_-* #,##0.00_-;\-* #,##0.00_-;_-* &quot;-&quot;??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5" formatCode="_-* #,##0.00_-;\-* #,##0.00_-;_-* &quot;-&quot;??_-;_-@_-"/>
    </dxf>
    <dxf>
      <numFmt numFmtId="2" formatCode="0.00"/>
    </dxf>
    <dxf>
      <numFmt numFmtId="2" formatCode="0.0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pivotCacheDefinition" Target="pivotCache/pivotCacheDefinition7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Cultura%20UK%20Deferred%20Maintenance%20-%20%20December%20-%20SD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Book3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microsoft.com/office/2006/relationships/xlExternalLinkPath/xlPathMissing" Target="Book3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2" Type="http://schemas.microsoft.com/office/2006/relationships/xlExternalLinkPath/xlPathMissing" Target="Book2" TargetMode="External"/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2" Type="http://schemas.microsoft.com/office/2006/relationships/xlExternalLinkPath/xlPathMissing" Target="Book3" TargetMode="External"/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veta Doroshenko" refreshedDate="46030.62551539352" createdVersion="8" refreshedVersion="8" minRefreshableVersion="3" recordCount="228" xr:uid="{B46D7201-0D71-48B2-9219-5BEBEA552A41}">
  <cacheSource type="worksheet">
    <worksheetSource ref="A2:Y230" sheet="Def Maint" r:id="rId2"/>
  </cacheSource>
  <cacheFields count="25">
    <cacheField name="Invoice Date" numFmtId="0">
      <sharedItems containsNonDate="0" containsDate="1" containsString="0" containsBlank="1" minDate="2023-06-30T00:00:00" maxDate="2026-01-01T00:00:00"/>
    </cacheField>
    <cacheField name="Location" numFmtId="0">
      <sharedItems containsBlank="1"/>
    </cacheField>
    <cacheField name="Customer Level" numFmtId="0">
      <sharedItems containsBlank="1"/>
    </cacheField>
    <cacheField name="Customer" numFmtId="0">
      <sharedItems containsBlank="1" count="35">
        <m/>
        <s v="AB Agri"/>
        <s v="Adams &amp; Howling"/>
        <s v="ADM Direct"/>
        <s v="Barenbrug"/>
        <s v="Banff &amp; Moray Grain (Marketing) Ltd"/>
        <s v="Canterra Seeds"/>
        <s v="COFCO International"/>
        <s v="Denholm Fish Selling Ltd"/>
        <s v="DL Seeds"/>
        <s v="Dugdale Nutrition"/>
        <s v="Elevator"/>
        <s v="Fram Farmers"/>
        <s v="Frontier Agriculture"/>
        <s v="G Williams Seeds"/>
        <s v="Glasson Grain"/>
        <s v="Gover Horowitz"/>
        <s v="Grainco"/>
        <s v="H J Lea"/>
        <s v="Harlow Agriculture"/>
        <s v="Humphrey Feeds"/>
        <s v="J Stobart &amp; Sons"/>
        <s v="London Metals Ltd"/>
        <s v="North Herts Farmers"/>
        <s v="Openfield"/>
        <s v="Oxbow Coal"/>
        <s v="Pearce Seeds"/>
        <s v="Robin Appel"/>
        <s v="Saxon Agriculture"/>
        <s v="Scott &amp; Newman"/>
        <s v="Simpsons Malt"/>
        <s v="WCF"/>
        <s v="West Gaines Seeds"/>
        <s v="Wynnstay Group"/>
        <s v="Banff &amp; Moray Grain " u="1"/>
      </sharedItems>
    </cacheField>
    <cacheField name="Inv Number" numFmtId="0">
      <sharedItems containsBlank="1"/>
    </cacheField>
    <cacheField name="Inv Value" numFmtId="44">
      <sharedItems containsString="0" containsBlank="1" containsNumber="1" minValue="-2549.61" maxValue="1459813.16"/>
    </cacheField>
    <cacheField name="Start Date" numFmtId="14">
      <sharedItems containsNonDate="0" containsDate="1" containsString="0" containsBlank="1" minDate="2023-06-23T00:00:00" maxDate="2026-01-06T00:00:00"/>
    </cacheField>
    <cacheField name="End Date" numFmtId="14">
      <sharedItems containsNonDate="0" containsDate="1" containsString="0" containsBlank="1" minDate="2025-01-03T00:00:00" maxDate="2027-01-05T00:00:00"/>
    </cacheField>
    <cacheField name="No Of Days" numFmtId="0">
      <sharedItems containsString="0" containsBlank="1" containsNumber="1" containsInteger="1" minValue="15" maxValue="765"/>
    </cacheField>
    <cacheField name="Def rev remaining @ 31.12.24 (B/F)" numFmtId="0">
      <sharedItems containsString="0" containsBlank="1" containsNumber="1" minValue="1.1765384615384562" maxValue="381426.5085714286"/>
    </cacheField>
    <cacheField name="Jan-25" numFmtId="0">
      <sharedItems containsString="0" containsBlank="1" containsNumber="1" minValue="0.87882352941176467" maxValue="125277.13142857143"/>
    </cacheField>
    <cacheField name="Feb-25" numFmtId="0">
      <sharedItems containsString="0" containsBlank="1" containsNumber="1" minValue="1.3960869565217391" maxValue="112293.32"/>
    </cacheField>
    <cacheField name="Mar-25" numFmtId="0">
      <sharedItems containsString="0" containsBlank="1" containsNumber="1" minValue="-91.057500000000005" maxValue="124324.74714285714"/>
    </cacheField>
    <cacheField name="Apr-25" numFmtId="0">
      <sharedItems containsString="0" containsBlank="1" containsNumber="1" minValue="-210.13269230769231" maxValue="120314.27142857143"/>
    </cacheField>
    <cacheField name="May-25" numFmtId="0">
      <sharedItems containsString="0" containsBlank="1" containsNumber="1" minValue="-217.13711538461538" maxValue="124324.74714285714"/>
    </cacheField>
    <cacheField name="Jun-25" numFmtId="0">
      <sharedItems containsString="0" containsBlank="1" containsNumber="1" minValue="-210.13269230769231" maxValue="120314.27142857143"/>
    </cacheField>
    <cacheField name="Jul-25" numFmtId="0">
      <sharedItems containsString="0" containsBlank="1" containsNumber="1" minValue="-217.13711538461538" maxValue="124324.74714285714"/>
    </cacheField>
    <cacheField name="Aug-25" numFmtId="0">
      <sharedItems containsString="0" containsBlank="1" containsNumber="1" minValue="-217.13711538461538" maxValue="124324.74714285714"/>
    </cacheField>
    <cacheField name="Sep-25" numFmtId="0">
      <sharedItems containsString="0" containsBlank="1" containsNumber="1" minValue="-3320.39" maxValue="120314.27142857143"/>
    </cacheField>
    <cacheField name="Oct-25" numFmtId="0">
      <sharedItems containsString="0" containsBlank="1" containsNumber="1" minValue="-217.13711538461538" maxValue="124324.74714285714"/>
    </cacheField>
    <cacheField name="Nov-25" numFmtId="0">
      <sharedItems containsString="0" containsBlank="1" containsNumber="1" minValue="-210.13269230769231" maxValue="120314.27142857143"/>
    </cacheField>
    <cacheField name="Dec-25" numFmtId="0">
      <sharedItems containsString="0" containsBlank="1" containsNumber="1" minValue="-217.13711538461538" maxValue="119361.89"/>
    </cacheField>
    <cacheField name="Total Income 2025" numFmtId="44">
      <sharedItems containsString="0" containsBlank="1" containsNumber="1" minValue="-2017.2738461538461" maxValue="1459813.162857143"/>
    </cacheField>
    <cacheField name="Invoiced YTD" numFmtId="0">
      <sharedItems containsString="0" containsBlank="1" containsNumber="1" minValue="-2549.61" maxValue="1459813.16"/>
    </cacheField>
    <cacheField name="Amount Deferred YTD Rev " numFmtId="44">
      <sharedItems containsString="0" containsBlank="1" containsNumber="1" minValue="-532.33615384615405" maxValue="407761.372197802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veta Doroshenko" refreshedDate="46034.70270115741" createdVersion="8" refreshedVersion="8" minRefreshableVersion="3" recordCount="127" xr:uid="{D100F3CD-0AD2-4AD0-806A-B9E1420DE99F}">
  <cacheSource type="worksheet">
    <worksheetSource ref="B2:AC129" sheet="Sheet1" r:id="rId2"/>
  </cacheSource>
  <cacheFields count="27">
    <cacheField name="Month" numFmtId="0">
      <sharedItems containsNonDate="0" containsDate="1" containsString="0" containsBlank="1" minDate="2023-12-31T00:00:00" maxDate="2026-01-01T00:00:00"/>
    </cacheField>
    <cacheField name="Type" numFmtId="0">
      <sharedItems containsBlank="1"/>
    </cacheField>
    <cacheField name="Location" numFmtId="0">
      <sharedItems containsBlank="1"/>
    </cacheField>
    <cacheField name="Customer Level" numFmtId="0">
      <sharedItems containsBlank="1"/>
    </cacheField>
    <cacheField name="Customer" numFmtId="0">
      <sharedItems containsBlank="1" count="35">
        <m/>
        <s v="Barenbrug"/>
        <s v="Canterra Seeds"/>
        <s v="COFCO International"/>
        <s v="Confluence Genetics"/>
        <s v="Denholm Fish Selling Ltd"/>
        <s v="DL Seeds"/>
        <s v="Elevator"/>
        <s v="Gover Horowitz"/>
        <s v="Integra Petrochemicals"/>
        <s v="London Metals Ltd"/>
        <s v="Oxbow Coal"/>
        <s v="Pearce Seeds"/>
        <s v="West Gaines Seeds"/>
        <s v="Wynnstay Group"/>
        <s v="Adams &amp; Howling"/>
        <s v="Banff &amp; Moray Grain (Marketing) Ltd"/>
        <s v="Dugdale Nutrition"/>
        <s v="Fram Farmers"/>
        <s v="G Williams Seeds"/>
        <s v="Glasson Grain"/>
        <s v="Grainco"/>
        <s v="H J Lea"/>
        <s v="Harlow Agriculture"/>
        <s v="Humphrey Feeds"/>
        <s v="J E Porter"/>
        <s v="J Stobart &amp; Sons"/>
        <s v="North Herts Farmers"/>
        <s v="Openfield"/>
        <s v="Robin Appel"/>
        <s v="Saxon Agriculture"/>
        <s v="Scott &amp; Newman"/>
        <s v="Simpsons Malt"/>
        <s v="WCF"/>
        <s v="Frontier Agriculture"/>
      </sharedItems>
    </cacheField>
    <cacheField name="Inv Number" numFmtId="0">
      <sharedItems containsBlank="1"/>
    </cacheField>
    <cacheField name="Description" numFmtId="0">
      <sharedItems containsBlank="1"/>
    </cacheField>
    <cacheField name="Inv Value" numFmtId="0">
      <sharedItems containsString="0" containsBlank="1" containsNumber="1" minValue="-6850.66" maxValue="188093.75"/>
    </cacheField>
    <cacheField name="Start Date" numFmtId="14">
      <sharedItems containsNonDate="0" containsDate="1" containsString="0" containsBlank="1" minDate="2024-01-06T00:00:00" maxDate="2026-03-06T00:00:00"/>
    </cacheField>
    <cacheField name="End Date" numFmtId="14">
      <sharedItems containsNonDate="0" containsDate="1" containsString="0" containsBlank="1" minDate="2025-01-05T00:00:00" maxDate="2027-03-06T00:00:00"/>
    </cacheField>
    <cacheField name="No Of Days" numFmtId="0">
      <sharedItems containsString="0" containsBlank="1" containsNumber="1" containsInteger="1" minValue="217" maxValue="366"/>
    </cacheField>
    <cacheField name="Def rev remaining @ 31.12.23 (B/F)" numFmtId="44">
      <sharedItems containsString="0" containsBlank="1" containsNumber="1" minValue="-5834.353296703297" maxValue="43551.1"/>
    </cacheField>
    <cacheField name="Jan-25" numFmtId="0">
      <sharedItems containsString="0" containsBlank="1" containsNumber="1" minValue="-583.43532967032968" maxValue="15169.482939560439"/>
    </cacheField>
    <cacheField name="Feb-25" numFmtId="0">
      <sharedItems containsString="0" containsBlank="1" containsNumber="1" minValue="-545.79434065934061" maxValue="14190.806620879121"/>
    </cacheField>
    <cacheField name="Mar-25" numFmtId="0">
      <sharedItems containsString="0" containsBlank="1" containsNumber="1" minValue="-583.43532967032968" maxValue="14190.81"/>
    </cacheField>
    <cacheField name="Apr-25" numFmtId="0">
      <sharedItems containsString="0" containsBlank="1" containsNumber="1" minValue="-564.6148351648352" maxValue="15502.232142857143"/>
    </cacheField>
    <cacheField name="May-25" numFmtId="0">
      <sharedItems containsString="0" containsBlank="1" containsNumber="1" minValue="-583.43532967032968" maxValue="16018.973214285716"/>
    </cacheField>
    <cacheField name="Jun-25" numFmtId="0">
      <sharedItems containsString="0" containsBlank="1" containsNumber="1" minValue="-564.6148351648352" maxValue="15502.232142857143"/>
    </cacheField>
    <cacheField name="Jul-25" numFmtId="0">
      <sharedItems containsString="0" containsBlank="1" containsNumber="1" minValue="-583.43532967032968" maxValue="16018.973214285716"/>
    </cacheField>
    <cacheField name="Aug-25" numFmtId="0">
      <sharedItems containsString="0" containsBlank="1" containsNumber="1" minValue="-583.43532967032968" maxValue="16018.973214285716"/>
    </cacheField>
    <cacheField name="Sep-25" numFmtId="0">
      <sharedItems containsString="0" containsBlank="1" containsNumber="1" minValue="-564.6148351648352" maxValue="15502.23"/>
    </cacheField>
    <cacheField name="Oct-25" numFmtId="0">
      <sharedItems containsString="0" containsBlank="1" containsNumber="1" minValue="-583.43532967032968" maxValue="16018.97"/>
    </cacheField>
    <cacheField name="Nov-25" numFmtId="0">
      <sharedItems containsString="0" containsBlank="1" containsNumber="1" minValue="-127.00109589041095" maxValue="15502.23"/>
    </cacheField>
    <cacheField name="Dec-25" numFmtId="0">
      <sharedItems containsString="0" containsBlank="1" containsNumber="1" minValue="-131.23446575342464" maxValue="16018.97"/>
    </cacheField>
    <cacheField name="Total Income 2025" numFmtId="0">
      <sharedItems containsString="0" containsBlank="1" containsNumber="1" minValue="-5834.3508241758245" maxValue="142103.78392857141"/>
    </cacheField>
    <cacheField name="Invoiced YTD" numFmtId="0">
      <sharedItems containsString="0" containsBlank="1" containsNumber="1" minValue="-1545.18" maxValue="188093.75"/>
    </cacheField>
    <cacheField name="Amount Deferred YTD Rev " numFmtId="0">
      <sharedItems containsString="0" containsBlank="1" containsNumber="1" minValue="-270.93567123287698" maxValue="43551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veta Doroshenko" refreshedDate="46036.419664583336" createdVersion="8" refreshedVersion="8" minRefreshableVersion="3" recordCount="36" xr:uid="{3B648054-4C8D-4CE9-918F-744B6ADA2D81}">
  <cacheSource type="worksheet">
    <worksheetSource ref="A9:O45" sheet="IFRS15 Licenses"/>
  </cacheSource>
  <cacheFields count="15">
    <cacheField name="Quote Ref" numFmtId="0">
      <sharedItems containsBlank="1"/>
    </cacheField>
    <cacheField name="P&amp;L" numFmtId="0">
      <sharedItems/>
    </cacheField>
    <cacheField name="Customer" numFmtId="0">
      <sharedItems count="15">
        <s v="Barenbrug"/>
        <s v="Fram Farmers"/>
        <s v="J E Porter"/>
        <s v="Saxon Agriculture"/>
        <s v="West Gaines Seeds"/>
        <s v="H J Lea"/>
        <s v="Simpsons Malt"/>
        <s v="J Stobart &amp; Sons"/>
        <s v="Canterra Seeds"/>
        <s v="Wynnstay Group"/>
        <s v="Dugdale Nutrition"/>
        <s v="Banff &amp; Moray Grain (Marketing) Ltd"/>
        <s v="Harlow Agriculture"/>
        <s v="Glasson Grain"/>
        <s v="Confluence Genetics"/>
      </sharedItems>
    </cacheField>
    <cacheField name="Description" numFmtId="0">
      <sharedItems/>
    </cacheField>
    <cacheField name="Invoice Ref" numFmtId="0">
      <sharedItems/>
    </cacheField>
    <cacheField name="Total License Val." numFmtId="43">
      <sharedItems containsSemiMixedTypes="0" containsString="0" containsNumber="1" minValue="990" maxValue="40695"/>
    </cacheField>
    <cacheField name="Annual License Start Date" numFmtId="14">
      <sharedItems containsSemiMixedTypes="0" containsNonDate="0" containsDate="1" containsString="0" minDate="2021-01-01T00:00:00" maxDate="2025-12-02T00:00:00"/>
    </cacheField>
    <cacheField name="Revenue Rec Renewal Date" numFmtId="14">
      <sharedItems containsNonDate="0" containsDate="1" containsString="0" containsBlank="1" minDate="2021-07-31T00:00:00" maxDate="2025-10-02T00:00:00"/>
    </cacheField>
    <cacheField name="License renewal Month" numFmtId="14">
      <sharedItems containsBlank="1" count="13">
        <s v="January"/>
        <s v="February"/>
        <s v="March"/>
        <s v="May"/>
        <s v="June"/>
        <s v="August"/>
        <s v="October"/>
        <s v="December"/>
        <s v="November"/>
        <s v="April"/>
        <s v="July"/>
        <s v="September"/>
        <m u="1"/>
      </sharedItems>
    </cacheField>
    <cacheField name="2020" numFmtId="43">
      <sharedItems containsNonDate="0" containsString="0" containsBlank="1"/>
    </cacheField>
    <cacheField name="2021" numFmtId="43">
      <sharedItems containsString="0" containsBlank="1" containsNumber="1" minValue="500" maxValue="8139"/>
    </cacheField>
    <cacheField name="2022" numFmtId="43">
      <sharedItems containsString="0" containsBlank="1" containsNumber="1" minValue="198" maxValue="8139"/>
    </cacheField>
    <cacheField name="2023" numFmtId="43">
      <sharedItems containsString="0" containsBlank="1" containsNumber="1" minValue="198" maxValue="8139"/>
    </cacheField>
    <cacheField name="2024" numFmtId="43">
      <sharedItems containsString="0" containsBlank="1" containsNumber="1" minValue="198" maxValue="8139"/>
    </cacheField>
    <cacheField name="2025" numFmtId="43">
      <sharedItems containsString="0" containsBlank="1" containsNumber="1" minValue="198" maxValue="81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veta Doroshenko" refreshedDate="46036.487181018521" createdVersion="8" refreshedVersion="8" minRefreshableVersion="3" recordCount="37" xr:uid="{B2F1B8DE-C625-438A-A039-CC6255E0A2A7}">
  <cacheSource type="worksheet">
    <worksheetSource ref="A1:AB38" sheet="Sheet1" r:id="rId2"/>
  </cacheSource>
  <cacheFields count="28">
    <cacheField name="Month" numFmtId="0">
      <sharedItems containsBlank="1"/>
    </cacheField>
    <cacheField name="Customer Level" numFmtId="0">
      <sharedItems containsNonDate="0" containsString="0" containsBlank="1"/>
    </cacheField>
    <cacheField name="Location" numFmtId="0">
      <sharedItems containsBlank="1"/>
    </cacheField>
    <cacheField name="Customer" numFmtId="0">
      <sharedItems containsBlank="1" count="22">
        <m/>
        <s v="Adams &amp; Howling Limited"/>
        <s v="Barenbrug"/>
        <s v="Canterra Seeds"/>
        <s v="Confluence Genetics"/>
        <s v="COFCO"/>
        <s v="DL Seeds"/>
        <s v="Denholm Fish Selling Ltd"/>
        <s v="Dugdale Nutrition"/>
        <s v="Frontier"/>
        <s v="Fram Farmers Ltd"/>
        <s v="G Williams Seeds"/>
        <s v="Grainco"/>
        <s v="Glasson Grain"/>
        <s v="Openfield Agriculture Ltd"/>
        <s v="Robin Appel Ltd"/>
        <s v="J Stobart &amp; Sons"/>
        <s v="Morning Foods"/>
        <s v="Saxon Agriculture"/>
        <s v="Simpsons Malt"/>
        <s v="North Herts Farmers"/>
        <s v="West Gaines Seeds"/>
      </sharedItems>
    </cacheField>
    <cacheField name="Quote Number" numFmtId="0">
      <sharedItems containsNonDate="0" containsString="0" containsBlank="1"/>
    </cacheField>
    <cacheField name="Invoice Number" numFmtId="0">
      <sharedItems containsBlank="1"/>
    </cacheField>
    <cacheField name="Description" numFmtId="0">
      <sharedItems containsBlank="1"/>
    </cacheField>
    <cacheField name="Inv Value" numFmtId="0">
      <sharedItems containsString="0" containsBlank="1" containsNumber="1" minValue="399.37" maxValue="520000"/>
    </cacheField>
    <cacheField name="Start Date" numFmtId="0">
      <sharedItems containsDate="1" containsBlank="1" containsMixedTypes="1" minDate="2024-07-01T00:00:00" maxDate="2026-01-02T00:00:00"/>
    </cacheField>
    <cacheField name="End Date" numFmtId="0">
      <sharedItems containsNonDate="0" containsDate="1" containsString="0" containsBlank="1" minDate="2025-06-30T00:00:00" maxDate="2027-01-01T00:00:00"/>
    </cacheField>
    <cacheField name="No Of Days" numFmtId="0">
      <sharedItems containsString="0" containsBlank="1" containsNumber="1" containsInteger="1" minValue="0" maxValue="365"/>
    </cacheField>
    <cacheField name="Def Days" numFmtId="0">
      <sharedItems containsNonDate="0" containsString="0" containsBlank="1"/>
    </cacheField>
    <cacheField name="Def rev remaining @ 31.12.23 (B/F)" numFmtId="0">
      <sharedItems containsString="0" containsBlank="1" containsNumber="1" minValue="448.37" maxValue="5075"/>
    </cacheField>
    <cacheField name="Jan-25" numFmtId="0">
      <sharedItems containsBlank="1" containsMixedTypes="1" containsNumber="1" minValue="31" maxValue="43333.33"/>
    </cacheField>
    <cacheField name="Feb-25" numFmtId="0">
      <sharedItems containsString="0" containsBlank="1" containsNumber="1" minValue="29" maxValue="43333.33"/>
    </cacheField>
    <cacheField name="Mar-25" numFmtId="0">
      <sharedItems containsString="0" containsBlank="1" containsNumber="1" minValue="31" maxValue="43333.33"/>
    </cacheField>
    <cacheField name="Apr-25" numFmtId="0">
      <sharedItems containsString="0" containsBlank="1" containsNumber="1" minValue="30" maxValue="43333.33"/>
    </cacheField>
    <cacheField name="May-25" numFmtId="0">
      <sharedItems containsString="0" containsBlank="1" containsNumber="1" minValue="31" maxValue="43333.33"/>
    </cacheField>
    <cacheField name="Jun-25" numFmtId="0">
      <sharedItems containsString="0" containsBlank="1" containsNumber="1" minValue="30" maxValue="43333.33"/>
    </cacheField>
    <cacheField name="Jul-25" numFmtId="0">
      <sharedItems containsString="0" containsBlank="1" containsNumber="1" minValue="31" maxValue="43333.33"/>
    </cacheField>
    <cacheField name="Aug-25" numFmtId="0">
      <sharedItems containsString="0" containsBlank="1" containsNumber="1" minValue="31" maxValue="43333.33"/>
    </cacheField>
    <cacheField name="Sep-25" numFmtId="0">
      <sharedItems containsString="0" containsBlank="1" containsNumber="1" minValue="30" maxValue="43333.33"/>
    </cacheField>
    <cacheField name="Oct-25" numFmtId="0">
      <sharedItems containsString="0" containsBlank="1" containsNumber="1" minValue="31" maxValue="43333.33"/>
    </cacheField>
    <cacheField name="Nov-25" numFmtId="0">
      <sharedItems containsString="0" containsBlank="1" containsNumber="1" minValue="-3406.29" maxValue="43333.33"/>
    </cacheField>
    <cacheField name="Dec-25" numFmtId="0">
      <sharedItems containsString="0" containsBlank="1" containsNumber="1" minValue="31" maxValue="43333.33"/>
    </cacheField>
    <cacheField name="Total Income 2025" numFmtId="0">
      <sharedItems containsString="0" containsBlank="1" containsNumber="1" minValue="0" maxValue="519999.96000000014"/>
    </cacheField>
    <cacheField name="Invoiced YTD" numFmtId="0">
      <sharedItems containsString="0" containsBlank="1" containsNumber="1" minValue="399.37" maxValue="520000"/>
    </cacheField>
    <cacheField name="Amount Deferred YTD Rev " numFmtId="0">
      <sharedItems containsString="0" containsBlank="1" containsNumber="1" minValue="0" maxValue="50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veta Doroshenko" refreshedDate="46036.506829398146" createdVersion="8" refreshedVersion="8" minRefreshableVersion="3" recordCount="270" xr:uid="{55D7C066-BFA2-4C3A-905D-4EC5FB145D56}">
  <cacheSource type="worksheet">
    <worksheetSource ref="A1:Y271" sheet="PS data"/>
  </cacheSource>
  <cacheFields count="25">
    <cacheField name="Journal Entry" numFmtId="0">
      <sharedItems containsSemiMixedTypes="0" containsString="0" containsNumber="1" containsInteger="1" minValue="101035" maxValue="104405"/>
    </cacheField>
    <cacheField name="Series" numFmtId="0">
      <sharedItems/>
    </cacheField>
    <cacheField name="TRX Date" numFmtId="14">
      <sharedItems containsSemiMixedTypes="0" containsNonDate="0" containsDate="1" containsString="0" minDate="2025-01-01T00:00:00" maxDate="2026-01-01T00:00:00"/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Account Number" numFmtId="0">
      <sharedItems/>
    </cacheField>
    <cacheField name="Account Description" numFmtId="0">
      <sharedItems/>
    </cacheField>
    <cacheField name="Currency ID" numFmtId="0">
      <sharedItems/>
    </cacheField>
    <cacheField name="Reference" numFmtId="0">
      <sharedItems/>
    </cacheField>
    <cacheField name="Exchange Rate" numFmtId="0">
      <sharedItems containsString="0" containsBlank="1" containsNumber="1" containsInteger="1" minValue="0" maxValue="0"/>
    </cacheField>
    <cacheField name="Debit Amount" numFmtId="0">
      <sharedItems containsString="0" containsBlank="1" containsNumber="1" minValue="0" maxValue="21869.123866666669"/>
    </cacheField>
    <cacheField name="Credit Amount" numFmtId="0">
      <sharedItems containsString="0" containsBlank="1" containsNumber="1" minValue="0" maxValue="23561.599999999999"/>
    </cacheField>
    <cacheField name="Balance " numFmtId="0">
      <sharedItems containsSemiMixedTypes="0" containsString="0" containsNumber="1" minValue="-23561.599999999999" maxValue="21869.123866666669"/>
    </cacheField>
    <cacheField name="Currency Index" numFmtId="0">
      <sharedItems containsString="0" containsBlank="1" containsNumber="1" containsInteger="1" minValue="1062" maxValue="1062"/>
    </cacheField>
    <cacheField name="Originating Debit Amount" numFmtId="0">
      <sharedItems containsString="0" containsBlank="1" containsNumber="1" minValue="0" maxValue="18693.689999999999"/>
    </cacheField>
    <cacheField name="Originating Credit Amount" numFmtId="0">
      <sharedItems containsString="0" containsBlank="1" containsNumber="1" minValue="0" maxValue="45918.93"/>
    </cacheField>
    <cacheField name="Originating Control Number" numFmtId="0">
      <sharedItems containsBlank="1"/>
    </cacheField>
    <cacheField name="Originating Document Number" numFmtId="0">
      <sharedItems containsBlank="1"/>
    </cacheField>
    <cacheField name="Originating Master ID" numFmtId="0">
      <sharedItems containsString="0" containsBlank="1" containsNumber="1" containsInteger="1" minValue="750" maxValue="9995"/>
    </cacheField>
    <cacheField name="Originating Posted Date" numFmtId="0">
      <sharedItems containsSemiMixedTypes="0" containsDate="1" containsString="0" containsMixedTypes="1" minDate="2025-01-29T00:00:00" maxDate="1900-01-05T05:51:04"/>
    </cacheField>
    <cacheField name="Originating Source" numFmtId="0">
      <sharedItems containsBlank="1"/>
    </cacheField>
    <cacheField name="Source Document" numFmtId="0">
      <sharedItems/>
    </cacheField>
    <cacheField name="TRX Source" numFmtId="0">
      <sharedItems/>
    </cacheField>
    <cacheField name="Description" numFmtId="0">
      <sharedItems containsBlank="1"/>
    </cacheField>
    <cacheField name="User Who Posted" numFmtId="0">
      <sharedItems/>
    </cacheField>
    <cacheField name="Originating Master Name" numFmtId="0">
      <sharedItems count="22">
        <s v="DL Seeds"/>
        <s v="Glasson Grain"/>
        <s v="Simpsons Malt"/>
        <s v="West Gaines Seeds"/>
        <s v="COFCO International"/>
        <s v="Openfield"/>
        <s v="Saxon Agriculture"/>
        <s v="Canterra Seeds"/>
        <s v="J Stobart &amp; Sons"/>
        <s v="Grainco"/>
        <s v="H J Lea"/>
        <s v="Stonegate"/>
        <s v="Dugdale Nutrition"/>
        <s v="G Williams Seeds"/>
        <s v="Adams &amp; Howling"/>
        <s v="Robin Appel"/>
        <s v="North Herts Farmers"/>
        <s v="Banff &amp; Moray Grain (Marketing) Ltd"/>
        <s v="Confluence Genetics"/>
        <s v="Denholm Fish Selling Ltd"/>
        <s v="Fram Farmers"/>
        <s v="Cope Seed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veta Doroshenko" refreshedDate="46037.504326273149" createdVersion="8" refreshedVersion="8" minRefreshableVersion="3" recordCount="15" xr:uid="{E185E29A-6C26-441C-AEE9-F2BDCC16D190}">
  <cacheSource type="worksheet">
    <worksheetSource ref="C1:Z16" sheet="Sheet1" r:id="rId2"/>
  </cacheSource>
  <cacheFields count="24">
    <cacheField name="Location" numFmtId="0">
      <sharedItems containsBlank="1"/>
    </cacheField>
    <cacheField name="Customer" numFmtId="0">
      <sharedItems containsBlank="1" count="13">
        <m/>
        <s v="Barenbrug "/>
        <s v="Confluence Genetics"/>
        <s v="Dugdale Nutrition Ltd "/>
        <s v="Grainco"/>
        <s v="G Williams &amp; Co"/>
        <s v="Glasson Grain"/>
        <s v="J Stobart &amp; Sons"/>
        <s v="Scott &amp; Newman Ltd "/>
        <s v="Saxon  Agriculture"/>
        <s v=" North Herts  Farmers Grain Ltd"/>
        <s v="Openfield Agriculture"/>
        <s v="Robin Appel Ltd"/>
      </sharedItems>
    </cacheField>
    <cacheField name="Inv Number" numFmtId="0">
      <sharedItems containsBlank="1"/>
    </cacheField>
    <cacheField name="Description" numFmtId="44">
      <sharedItems containsBlank="1"/>
    </cacheField>
    <cacheField name="Inv Value" numFmtId="44">
      <sharedItems containsString="0" containsBlank="1" containsNumber="1" minValue="-5720" maxValue="-246.29"/>
    </cacheField>
    <cacheField name="Start Date" numFmtId="14">
      <sharedItems containsDate="1" containsBlank="1" containsMixedTypes="1" minDate="2025-01-01T00:00:00" maxDate="2026-01-02T00:00:00"/>
    </cacheField>
    <cacheField name="End Date" numFmtId="14">
      <sharedItems containsNonDate="0" containsDate="1" containsString="0" containsBlank="1" minDate="2025-12-31T00:00:00" maxDate="2027-01-01T00:00:00"/>
    </cacheField>
    <cacheField name="No Of Days" numFmtId="0">
      <sharedItems containsString="0" containsBlank="1" containsNumber="1" containsInteger="1" minValue="364" maxValue="364"/>
    </cacheField>
    <cacheField name="Def Days" numFmtId="0">
      <sharedItems containsNonDate="0" containsString="0" containsBlank="1"/>
    </cacheField>
    <cacheField name="Def COGS remaining @ 31.12.22 (B/F)" numFmtId="44">
      <sharedItems containsString="0" containsBlank="1" containsNumber="1" minValue="-1194.06" maxValue="-334.33"/>
    </cacheField>
    <cacheField name="Jan-25" numFmtId="0">
      <sharedItems containsString="0" containsBlank="1" containsNumber="1" minValue="-1194.06" maxValue="31"/>
    </cacheField>
    <cacheField name="Feb-25" numFmtId="0">
      <sharedItems containsString="0" containsBlank="1" containsNumber="1" containsInteger="1" minValue="28" maxValue="28"/>
    </cacheField>
    <cacheField name="Mar-25" numFmtId="0">
      <sharedItems containsString="0" containsBlank="1" containsNumber="1" minValue="-382.1" maxValue="31"/>
    </cacheField>
    <cacheField name="Apr-25" numFmtId="0">
      <sharedItems containsString="0" containsBlank="1" containsNumber="1" minValue="-334.33" maxValue="30"/>
    </cacheField>
    <cacheField name="May-25" numFmtId="0">
      <sharedItems containsString="0" containsBlank="1" containsNumber="1" minValue="-477.62" maxValue="31"/>
    </cacheField>
    <cacheField name="Jun-25" numFmtId="0">
      <sharedItems containsString="0" containsBlank="1" containsNumber="1" containsInteger="1" minValue="30" maxValue="30"/>
    </cacheField>
    <cacheField name="Jul-25" numFmtId="0">
      <sharedItems containsString="0" containsBlank="1" containsNumber="1" minValue="-5720" maxValue="31"/>
    </cacheField>
    <cacheField name="Aug-25" numFmtId="0">
      <sharedItems containsString="0" containsBlank="1" containsNumber="1" minValue="-334.33" maxValue="31"/>
    </cacheField>
    <cacheField name="Sep-25" numFmtId="0">
      <sharedItems containsString="0" containsBlank="1" containsNumber="1" minValue="-334.95" maxValue="5720"/>
    </cacheField>
    <cacheField name="Oct-25" numFmtId="0">
      <sharedItems containsString="0" containsBlank="1" containsNumber="1" minValue="-574.41" maxValue="31"/>
    </cacheField>
    <cacheField name="Nov-25" numFmtId="0">
      <sharedItems containsString="0" containsBlank="1" containsNumber="1" containsInteger="1" minValue="-5720" maxValue="30"/>
    </cacheField>
    <cacheField name="Dec-25" numFmtId="0">
      <sharedItems containsString="0" containsBlank="1" containsNumber="1" minValue="-396.6" maxValue="31"/>
    </cacheField>
    <cacheField name="Total Income 2025" numFmtId="0">
      <sharedItems containsString="0" containsBlank="1" containsNumber="1" minValue="-5720" maxValue="0"/>
    </cacheField>
    <cacheField name="Invoiced YTD" numFmtId="0">
      <sharedItems containsString="0" containsBlank="1" containsNumber="1" minValue="-5720" maxValue="-246.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veta Doroshenko" refreshedDate="46037.559333101854" createdVersion="8" refreshedVersion="8" minRefreshableVersion="3" recordCount="155" xr:uid="{6818006E-EFD0-4F47-8980-48A6CDC84053}">
  <cacheSource type="worksheet">
    <worksheetSource ref="A1:Z156" sheet="Sheet1" r:id="rId2"/>
  </cacheSource>
  <cacheFields count="26">
    <cacheField name="Location" numFmtId="0">
      <sharedItems containsBlank="1"/>
    </cacheField>
    <cacheField name="Customer Level" numFmtId="0">
      <sharedItems containsBlank="1"/>
    </cacheField>
    <cacheField name="Customer" numFmtId="0">
      <sharedItems containsBlank="1" count="37">
        <m/>
        <s v="Barenbrug"/>
        <s v="Canterra Seeds"/>
        <s v="COFCO International"/>
        <s v="Confluence Genetics"/>
        <s v="Denholm Fish Selling Ltd"/>
        <s v="DL Seeds"/>
        <s v="Elevator"/>
        <s v="Gover Horowitz"/>
        <s v="Integra Petrochemicals"/>
        <s v="London Metals Ltd"/>
        <s v="Oxbow Coal"/>
        <s v="Pearce Seeds"/>
        <s v="West Gaines Seeds"/>
        <s v="Wynnstay Group"/>
        <s v="Adams &amp; Howling"/>
        <s v="Banff &amp; Moray Grain (Marketing) Ltd"/>
        <s v="Dugdale Nutrition"/>
        <s v="E B Bradshaws"/>
        <s v="Fram Farmers"/>
        <s v="G Williams Seeds"/>
        <s v="Glasson Grain"/>
        <s v="Grainco"/>
        <s v="H J Lea"/>
        <s v="Harlow Agriculture"/>
        <s v="Humphrey Feeds"/>
        <s v="J E Porter"/>
        <s v="J Stobart &amp; Sons"/>
        <s v="North Herts Farmers"/>
        <s v="Openfield"/>
        <s v="Robin Appel"/>
        <s v="Saxon Agriculture"/>
        <s v="Scott &amp; Newman"/>
        <s v="Simpsons Malt"/>
        <s v="WCF"/>
        <s v="Frontier Agriculture"/>
        <s v="E B Bradshaw" u="1"/>
      </sharedItems>
    </cacheField>
    <cacheField name="Inv Number" numFmtId="0">
      <sharedItems containsBlank="1" containsMixedTypes="1" containsNumber="1" containsInteger="1" minValue="21681" maxValue="608410"/>
    </cacheField>
    <cacheField name="Description" numFmtId="0">
      <sharedItems containsBlank="1"/>
    </cacheField>
    <cacheField name="Inv Value" numFmtId="44">
      <sharedItems containsString="0" containsBlank="1" containsNumber="1" minValue="-129359.57" maxValue="1236.32"/>
    </cacheField>
    <cacheField name="Start Date" numFmtId="0">
      <sharedItems containsNonDate="0" containsDate="1" containsString="0" containsBlank="1" minDate="2024-01-06T00:00:00" maxDate="2026-01-12T00:00:00"/>
    </cacheField>
    <cacheField name="End Date" numFmtId="0">
      <sharedItems containsNonDate="0" containsDate="1" containsString="0" containsBlank="1" minDate="2025-01-05T00:00:00" maxDate="2027-01-11T00:00:00"/>
    </cacheField>
    <cacheField name="No Of Days" numFmtId="0">
      <sharedItems containsString="0" containsBlank="1" containsNumber="1" containsInteger="1" minValue="0" maxValue="366"/>
    </cacheField>
    <cacheField name="Def rev remaining @ 31.12.24 (B/F)" numFmtId="0">
      <sharedItems containsString="0" containsBlank="1" containsNumber="1" minValue="-27119.996868131871" maxValue="111.22586301369859"/>
    </cacheField>
    <cacheField name="Jan-25" numFmtId="0">
      <sharedItems containsString="0" containsBlank="1" containsNumber="1" minValue="-9446.2910439560437" maxValue="66.307726027397266"/>
    </cacheField>
    <cacheField name="Feb-25" numFmtId="0">
      <sharedItems containsString="0" containsBlank="1" containsNumber="1" minValue="-8836.852912087912" maxValue="44.92"/>
    </cacheField>
    <cacheField name="Mar-25" numFmtId="0">
      <sharedItems containsString="0" containsBlank="1" containsNumber="1" minValue="-8836.85" maxValue="516.26549450549453"/>
    </cacheField>
    <cacheField name="Apr-25" numFmtId="0">
      <sharedItems containsString="0" containsBlank="1" containsNumber="1" minValue="-10632.293424657535" maxValue="720.05"/>
    </cacheField>
    <cacheField name="May-25" numFmtId="0">
      <sharedItems containsString="0" containsBlank="1" containsNumber="1" minValue="-10986.703205479453" maxValue="31"/>
    </cacheField>
    <cacheField name="Jun-25" numFmtId="0">
      <sharedItems containsString="0" containsBlank="1" containsNumber="1" minValue="-10632.293424657535" maxValue="30"/>
    </cacheField>
    <cacheField name="Jul-25" numFmtId="0">
      <sharedItems containsString="0" containsBlank="1" containsNumber="1" minValue="-10986.703205479453" maxValue="31"/>
    </cacheField>
    <cacheField name="Aug-25" numFmtId="0">
      <sharedItems containsString="0" containsBlank="1" containsNumber="1" minValue="-10986.703205479453" maxValue="31"/>
    </cacheField>
    <cacheField name="Sep-25" numFmtId="0">
      <sharedItems containsString="0" containsBlank="1" containsNumber="1" minValue="-10632.293424657535" maxValue="104.44"/>
    </cacheField>
    <cacheField name="Oct-25" numFmtId="0">
      <sharedItems containsString="0" containsBlank="1" containsNumber="1" minValue="-10986.703205479453" maxValue="31"/>
    </cacheField>
    <cacheField name="Nov-25" numFmtId="0">
      <sharedItems containsString="0" containsBlank="1" containsNumber="1" minValue="-10632.293424657535" maxValue="30"/>
    </cacheField>
    <cacheField name="Dec-25" numFmtId="0">
      <sharedItems containsString="0" containsBlank="1" containsNumber="1" minValue="-10986.703205479453" maxValue="31"/>
    </cacheField>
    <cacheField name="Total Income 2025" numFmtId="0">
      <sharedItems containsString="0" containsBlank="1" containsNumber="1" minValue="-97462.689726027398" maxValue="1236.3154945054944"/>
    </cacheField>
    <cacheField name="Invoiced YTD" numFmtId="0">
      <sharedItems containsString="0" containsBlank="1" containsNumber="1" minValue="-129359.57" maxValue="1236.32"/>
    </cacheField>
    <cacheField name="Amount Deferred YTD Rev " numFmtId="0">
      <sharedItems containsString="0" containsBlank="1" containsNumber="1" minValue="-278.22000000000003" maxValue="-278.22000000000003"/>
    </cacheField>
    <cacheField name="Amount Deferred YTD COGS" numFmtId="0">
      <sharedItems containsString="0" containsBlank="1" containsNumber="1" minValue="-31896.880273972609" maxValue="4.8633879774797606E-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8">
  <r>
    <m/>
    <m/>
    <m/>
    <x v="0"/>
    <m/>
    <m/>
    <m/>
    <m/>
    <m/>
    <m/>
    <n v="31"/>
    <n v="28"/>
    <n v="31"/>
    <n v="30"/>
    <n v="31"/>
    <n v="30"/>
    <n v="31"/>
    <n v="31"/>
    <n v="30"/>
    <n v="31"/>
    <n v="30"/>
    <n v="31"/>
    <m/>
    <m/>
    <m/>
  </r>
  <r>
    <d v="2024-02-29T00:00:00"/>
    <s v="Primetics CHO"/>
    <s v="PRIME"/>
    <x v="1"/>
    <s v="DQ24020033"/>
    <n v="84160"/>
    <d v="2024-03-02T00:00:00"/>
    <d v="2025-03-02T00:00:00"/>
    <n v="365"/>
    <n v="14065.095890410943"/>
    <n v="7147.8356164383567"/>
    <n v="6456.1095890410961"/>
    <n v="461.17"/>
    <m/>
    <m/>
    <m/>
    <m/>
    <m/>
    <m/>
    <m/>
    <m/>
    <m/>
    <n v="14065.115205479453"/>
    <m/>
    <n v="6.8493149003188633E-4"/>
  </r>
  <r>
    <d v="2025-03-31T00:00:00"/>
    <s v="Primetics CHO"/>
    <s v="PRIME"/>
    <x v="1"/>
    <s v="DQ25030036"/>
    <n v="87189.759999999995"/>
    <d v="2025-03-02T00:00:00"/>
    <d v="2026-03-01T00:00:00"/>
    <n v="364"/>
    <m/>
    <m/>
    <m/>
    <n v="6946.4369230769225"/>
    <n v="7185.9692307692303"/>
    <n v="7425.5015384615381"/>
    <n v="7185.9692307692303"/>
    <n v="7425.5015384615381"/>
    <n v="7425.5015384615381"/>
    <n v="7185.9692307692303"/>
    <n v="7425.5015384615381"/>
    <n v="7185.9692307692303"/>
    <n v="7425.5015384615381"/>
    <n v="72817.821538461547"/>
    <n v="87189.759999999995"/>
    <n v="14371.958461538448"/>
  </r>
  <r>
    <m/>
    <m/>
    <m/>
    <x v="0"/>
    <m/>
    <m/>
    <m/>
    <m/>
    <m/>
    <m/>
    <m/>
    <m/>
    <m/>
    <m/>
    <m/>
    <m/>
    <m/>
    <m/>
    <m/>
    <m/>
    <m/>
    <m/>
    <m/>
    <m/>
    <m/>
  </r>
  <r>
    <d v="2024-06-30T00:00:00"/>
    <s v="Primetics CHO"/>
    <s v="PRIME"/>
    <x v="2"/>
    <s v="DQ24060144"/>
    <n v="29896.42"/>
    <d v="2024-07-01T00:00:00"/>
    <d v="2025-06-30T00:00:00"/>
    <n v="364"/>
    <n v="14783.943956043957"/>
    <n v="2546.1236813186811"/>
    <n v="2299.7246153846154"/>
    <n v="2546.1236813186811"/>
    <n v="2463.990659340659"/>
    <n v="2546.1236813186811"/>
    <n v="2381.86"/>
    <m/>
    <m/>
    <m/>
    <m/>
    <m/>
    <m/>
    <n v="14783.946318681317"/>
    <m/>
    <n v="-2.3626373604201945E-3"/>
  </r>
  <r>
    <d v="2025-05-31T00:00:00"/>
    <s v="Primetics CHO"/>
    <s v="PRIME"/>
    <x v="2"/>
    <s v="DQ25050082"/>
    <n v="31451.040000000001"/>
    <d v="2025-07-01T00:00:00"/>
    <d v="2026-06-30T00:00:00"/>
    <n v="364"/>
    <m/>
    <m/>
    <m/>
    <m/>
    <m/>
    <m/>
    <m/>
    <n v="2678.5226373626374"/>
    <n v="2678.5226373626374"/>
    <n v="2592.1186813186814"/>
    <n v="2678.5226373626374"/>
    <n v="2592.1186813186814"/>
    <n v="2678.5226373626374"/>
    <n v="15898.327912087912"/>
    <n v="31451.040000000001"/>
    <n v="15552.712087912088"/>
  </r>
  <r>
    <m/>
    <m/>
    <m/>
    <x v="0"/>
    <m/>
    <m/>
    <m/>
    <m/>
    <m/>
    <m/>
    <m/>
    <m/>
    <m/>
    <m/>
    <m/>
    <m/>
    <m/>
    <m/>
    <m/>
    <m/>
    <m/>
    <m/>
    <m/>
    <m/>
    <m/>
  </r>
  <r>
    <d v="2024-06-30T00:00:00"/>
    <s v="Primetics CHO"/>
    <s v="PRIME"/>
    <x v="3"/>
    <s v="DQ24060130"/>
    <n v="49639.81"/>
    <d v="2024-06-01T00:00:00"/>
    <d v="2025-05-31T00:00:00"/>
    <n v="364"/>
    <n v="24683.531895604392"/>
    <n v="4227.5662362637368"/>
    <n v="3818.4469230769232"/>
    <n v="4227.5662362637368"/>
    <n v="4091.1931318681318"/>
    <n v="8318.76"/>
    <m/>
    <m/>
    <m/>
    <m/>
    <m/>
    <m/>
    <m/>
    <n v="24683.532527472526"/>
    <m/>
    <n v="-6.3186813349602744E-4"/>
  </r>
  <r>
    <m/>
    <m/>
    <m/>
    <x v="0"/>
    <m/>
    <m/>
    <m/>
    <m/>
    <m/>
    <m/>
    <m/>
    <m/>
    <m/>
    <m/>
    <m/>
    <m/>
    <m/>
    <m/>
    <m/>
    <m/>
    <m/>
    <m/>
    <m/>
    <m/>
    <m/>
  </r>
  <r>
    <d v="2024-12-31T00:00:00"/>
    <s v="Primetics GEN NA"/>
    <s v="SEED"/>
    <x v="4"/>
    <s v="DQ24120271"/>
    <n v="3833.9"/>
    <d v="2025-01-01T00:00:00"/>
    <d v="2025-01-31T00:00:00"/>
    <n v="30"/>
    <n v="3833.9"/>
    <n v="3833.9"/>
    <m/>
    <m/>
    <m/>
    <m/>
    <m/>
    <m/>
    <m/>
    <m/>
    <m/>
    <m/>
    <m/>
    <n v="3833.9"/>
    <m/>
    <n v="0"/>
  </r>
  <r>
    <d v="2025-01-31T00:00:00"/>
    <s v="Primetics GEN NA"/>
    <s v="SEED"/>
    <x v="4"/>
    <s v="DQ25010007"/>
    <n v="3833.9"/>
    <d v="2025-02-01T00:00:00"/>
    <d v="2025-02-28T00:00:00"/>
    <n v="27"/>
    <m/>
    <m/>
    <n v="3833.9"/>
    <m/>
    <m/>
    <m/>
    <m/>
    <m/>
    <m/>
    <m/>
    <m/>
    <m/>
    <m/>
    <n v="3833.9"/>
    <n v="3833.9"/>
    <n v="0"/>
  </r>
  <r>
    <d v="2025-02-28T00:00:00"/>
    <s v="Primetics GEN NA"/>
    <s v="SEED"/>
    <x v="4"/>
    <s v="DQ25020031"/>
    <n v="3833.9"/>
    <d v="2025-03-01T00:00:00"/>
    <d v="2025-03-31T00:00:00"/>
    <n v="30"/>
    <m/>
    <m/>
    <m/>
    <n v="3833.9"/>
    <m/>
    <m/>
    <m/>
    <m/>
    <m/>
    <m/>
    <m/>
    <m/>
    <m/>
    <n v="3833.9"/>
    <n v="3833.9"/>
    <n v="0"/>
  </r>
  <r>
    <d v="2025-03-31T00:00:00"/>
    <s v="Primetics GEN NA"/>
    <s v="SEED"/>
    <x v="4"/>
    <s v="DQ25030050"/>
    <n v="3833.9"/>
    <d v="2025-04-01T00:00:00"/>
    <d v="2025-04-30T00:00:00"/>
    <n v="29"/>
    <m/>
    <m/>
    <m/>
    <m/>
    <n v="3833.9"/>
    <m/>
    <m/>
    <m/>
    <m/>
    <m/>
    <m/>
    <m/>
    <m/>
    <n v="3833.9"/>
    <n v="3833.9"/>
    <n v="0"/>
  </r>
  <r>
    <d v="2025-04-30T00:00:00"/>
    <s v="Primetics GEN NA"/>
    <s v="SEED"/>
    <x v="4"/>
    <s v="DQ25040064"/>
    <n v="3833.9"/>
    <d v="2025-05-01T00:00:00"/>
    <d v="2025-05-31T00:00:00"/>
    <n v="30"/>
    <m/>
    <m/>
    <m/>
    <m/>
    <m/>
    <n v="3833.9"/>
    <m/>
    <m/>
    <m/>
    <m/>
    <m/>
    <m/>
    <m/>
    <n v="3833.9"/>
    <n v="3833.9"/>
    <n v="0"/>
  </r>
  <r>
    <d v="2025-05-31T00:00:00"/>
    <s v="Primetics GEN NA"/>
    <s v="SEED"/>
    <x v="4"/>
    <s v="DQ25050078"/>
    <n v="3833.9"/>
    <d v="2025-06-01T00:00:00"/>
    <d v="2025-06-30T00:00:00"/>
    <n v="29"/>
    <m/>
    <m/>
    <m/>
    <m/>
    <m/>
    <m/>
    <n v="3833.9"/>
    <m/>
    <m/>
    <m/>
    <m/>
    <m/>
    <m/>
    <n v="3833.9"/>
    <n v="3833.9"/>
    <n v="0"/>
  </r>
  <r>
    <d v="2025-06-30T00:00:00"/>
    <s v="Primetics GEN NA"/>
    <s v="SEED"/>
    <x v="4"/>
    <s v="DQ25060100"/>
    <n v="3990.59"/>
    <d v="2025-07-01T00:00:00"/>
    <d v="2025-07-31T00:00:00"/>
    <n v="30"/>
    <m/>
    <m/>
    <m/>
    <m/>
    <m/>
    <m/>
    <m/>
    <n v="3990.59"/>
    <m/>
    <m/>
    <m/>
    <m/>
    <m/>
    <n v="3990.59"/>
    <n v="3990.59"/>
    <n v="0"/>
  </r>
  <r>
    <d v="2025-07-31T00:00:00"/>
    <s v="Primetics GEN NA"/>
    <s v="SEED"/>
    <x v="4"/>
    <s v="DQ25070124"/>
    <n v="3990.59"/>
    <d v="2025-08-01T00:00:00"/>
    <d v="2025-08-31T00:00:00"/>
    <n v="30"/>
    <m/>
    <m/>
    <m/>
    <m/>
    <m/>
    <m/>
    <m/>
    <m/>
    <n v="3990.59"/>
    <m/>
    <m/>
    <m/>
    <m/>
    <n v="3990.59"/>
    <n v="3990.59"/>
    <n v="0"/>
  </r>
  <r>
    <d v="2025-08-31T00:00:00"/>
    <s v="Primetics GEN NA"/>
    <s v="SEED"/>
    <x v="4"/>
    <s v="DQ25090139"/>
    <n v="3990.59"/>
    <d v="2025-09-01T00:00:00"/>
    <d v="2025-09-30T00:00:00"/>
    <n v="29"/>
    <m/>
    <m/>
    <m/>
    <m/>
    <m/>
    <m/>
    <m/>
    <m/>
    <m/>
    <n v="3990.59"/>
    <m/>
    <m/>
    <m/>
    <n v="3990.59"/>
    <n v="3990.59"/>
    <n v="0"/>
  </r>
  <r>
    <d v="2025-09-30T00:00:00"/>
    <s v="Primetics GEN NA"/>
    <s v="SEED"/>
    <x v="4"/>
    <s v="DQ25090152"/>
    <n v="3990.59"/>
    <d v="2025-10-01T00:00:00"/>
    <d v="2025-10-31T00:00:00"/>
    <n v="30"/>
    <m/>
    <m/>
    <m/>
    <m/>
    <m/>
    <m/>
    <m/>
    <m/>
    <m/>
    <m/>
    <n v="3990.59"/>
    <m/>
    <m/>
    <n v="3990.59"/>
    <n v="3990.59"/>
    <n v="0"/>
  </r>
  <r>
    <d v="2025-10-31T00:00:00"/>
    <s v="Primetics GEN NA"/>
    <s v="SEED"/>
    <x v="4"/>
    <s v="DQ25100168"/>
    <n v="3990.59"/>
    <d v="2025-11-01T00:00:00"/>
    <d v="2025-11-30T00:00:00"/>
    <n v="29"/>
    <m/>
    <m/>
    <m/>
    <m/>
    <m/>
    <m/>
    <m/>
    <m/>
    <m/>
    <m/>
    <m/>
    <n v="3990.59"/>
    <m/>
    <n v="3990.59"/>
    <n v="3990.59"/>
    <n v="0"/>
  </r>
  <r>
    <d v="2025-11-30T00:00:00"/>
    <s v="Primetics GEN NA"/>
    <s v="SEED"/>
    <x v="4"/>
    <s v="DQ25110189"/>
    <n v="3990.59"/>
    <d v="2025-12-01T00:00:00"/>
    <d v="2025-12-31T00:00:00"/>
    <n v="30"/>
    <m/>
    <m/>
    <m/>
    <m/>
    <m/>
    <m/>
    <m/>
    <m/>
    <m/>
    <m/>
    <m/>
    <m/>
    <n v="3990.59"/>
    <n v="3990.59"/>
    <n v="3990.59"/>
    <n v="0"/>
  </r>
  <r>
    <d v="2025-12-31T00:00:00"/>
    <s v="Primetics GEN NA"/>
    <s v="SEED"/>
    <x v="4"/>
    <s v="DQ25120205"/>
    <n v="3990.59"/>
    <d v="2026-01-01T00:00:00"/>
    <d v="2026-01-31T00:00:00"/>
    <n v="30"/>
    <m/>
    <m/>
    <m/>
    <m/>
    <m/>
    <m/>
    <m/>
    <m/>
    <m/>
    <m/>
    <m/>
    <m/>
    <m/>
    <n v="0"/>
    <n v="3990.59"/>
    <n v="3990.59"/>
  </r>
  <r>
    <m/>
    <m/>
    <m/>
    <x v="0"/>
    <m/>
    <m/>
    <m/>
    <m/>
    <m/>
    <m/>
    <m/>
    <m/>
    <m/>
    <m/>
    <m/>
    <m/>
    <m/>
    <m/>
    <m/>
    <m/>
    <m/>
    <m/>
    <m/>
    <m/>
    <m/>
  </r>
  <r>
    <d v="2024-09-30T00:00:00"/>
    <s v="Primetics CHO"/>
    <s v="PRIME"/>
    <x v="5"/>
    <s v="DQ24090189"/>
    <n v="11550"/>
    <d v="2024-09-01T00:00:00"/>
    <d v="2025-08-31T00:00:00"/>
    <n v="364"/>
    <n v="7678.8461538461543"/>
    <n v="983.65384615384608"/>
    <n v="888.46153846153845"/>
    <n v="983.65384615384608"/>
    <n v="951.92307692307691"/>
    <n v="983.65384615384608"/>
    <n v="951.92307692307691"/>
    <n v="983.65384615384608"/>
    <n v="951.92"/>
    <m/>
    <m/>
    <m/>
    <m/>
    <n v="7678.8430769230763"/>
    <m/>
    <n v="3.0769230779696954E-3"/>
  </r>
  <r>
    <d v="2025-09-30T00:00:00"/>
    <s v="Primetics CHO"/>
    <s v="PRIME"/>
    <x v="5"/>
    <s v="DQ25090154"/>
    <n v="12104.4"/>
    <d v="2025-09-01T00:00:00"/>
    <d v="2026-08-31T00:00:00"/>
    <n v="364"/>
    <m/>
    <m/>
    <m/>
    <m/>
    <m/>
    <m/>
    <m/>
    <m/>
    <m/>
    <n v="997.61538461538464"/>
    <n v="1030.8692307692309"/>
    <n v="997.61538461538464"/>
    <n v="1030.8692307692309"/>
    <n v="4056.9692307692312"/>
    <n v="12104.4"/>
    <n v="8047.4307692307684"/>
  </r>
  <r>
    <d v="2025-09-30T00:00:00"/>
    <s v="Primetics CHO"/>
    <s v="PRIME"/>
    <x v="5"/>
    <s v="DQ25090161"/>
    <n v="550.98"/>
    <d v="2025-09-16T00:00:00"/>
    <d v="2026-08-29T00:00:00"/>
    <n v="347"/>
    <m/>
    <m/>
    <m/>
    <m/>
    <m/>
    <m/>
    <m/>
    <m/>
    <m/>
    <n v="22.229740634005765"/>
    <n v="49.222997118155618"/>
    <n v="47.63515850144092"/>
    <n v="49.222997118155618"/>
    <n v="168.31089337175791"/>
    <n v="550.98"/>
    <n v="382.6691066282421"/>
  </r>
  <r>
    <m/>
    <m/>
    <m/>
    <x v="0"/>
    <m/>
    <m/>
    <m/>
    <m/>
    <m/>
    <m/>
    <m/>
    <m/>
    <m/>
    <m/>
    <m/>
    <m/>
    <m/>
    <m/>
    <m/>
    <m/>
    <m/>
    <m/>
    <m/>
    <m/>
    <m/>
  </r>
  <r>
    <d v="2023-12-31T00:00:00"/>
    <s v="Primetics GEN NA"/>
    <s v="SEED"/>
    <x v="6"/>
    <s v="DQ23120301"/>
    <n v="53948.15"/>
    <d v="2024-01-23T00:00:00"/>
    <d v="2025-01-22T00:00:00"/>
    <n v="365"/>
    <n v="3399.4724657534171"/>
    <n v="3399.47"/>
    <m/>
    <m/>
    <m/>
    <m/>
    <m/>
    <m/>
    <m/>
    <m/>
    <m/>
    <m/>
    <m/>
    <n v="3399.47"/>
    <m/>
    <n v="2.4657534172547457E-3"/>
  </r>
  <r>
    <d v="2024-10-31T00:00:00"/>
    <s v="Primetics GEN NA"/>
    <s v="SEED"/>
    <x v="6"/>
    <s v="DQ24100215"/>
    <n v="61.36"/>
    <d v="2024-10-24T00:00:00"/>
    <d v="2025-01-21T00:00:00"/>
    <n v="89"/>
    <n v="14.478202247191007"/>
    <n v="14.48"/>
    <m/>
    <m/>
    <m/>
    <m/>
    <m/>
    <m/>
    <m/>
    <m/>
    <m/>
    <m/>
    <m/>
    <n v="14.48"/>
    <m/>
    <n v="-1.7977528089936357E-3"/>
  </r>
  <r>
    <d v="2024-12-31T00:00:00"/>
    <s v="Primetics GEN NA"/>
    <s v="SEED"/>
    <x v="6"/>
    <s v="DQ24120252"/>
    <n v="215.51"/>
    <d v="2024-12-06T00:00:00"/>
    <d v="2025-01-21T00:00:00"/>
    <n v="46"/>
    <n v="98.385000000000005"/>
    <n v="98.39"/>
    <m/>
    <m/>
    <m/>
    <m/>
    <m/>
    <m/>
    <m/>
    <m/>
    <m/>
    <m/>
    <m/>
    <n v="98.39"/>
    <m/>
    <n v="-4.9999999999954525E-3"/>
  </r>
  <r>
    <d v="2024-12-31T00:00:00"/>
    <s v="Primetics GEN NA"/>
    <s v="SEED"/>
    <x v="6"/>
    <s v="DQ24120268"/>
    <n v="55706"/>
    <d v="2025-01-23T00:00:00"/>
    <d v="2026-01-22T00:00:00"/>
    <n v="364"/>
    <n v="55706"/>
    <n v="1224.3076923076924"/>
    <n v="4285.0769230769238"/>
    <n v="4744.1923076923076"/>
    <n v="4591.1538461538466"/>
    <n v="4744.1923076923076"/>
    <n v="4591.1538461538466"/>
    <n v="4744.1923076923076"/>
    <n v="4744.1923076923076"/>
    <n v="4591.1538461538466"/>
    <n v="4744.1923076923076"/>
    <n v="4591.1538461538466"/>
    <n v="4744.1923076923076"/>
    <n v="52339.153846153837"/>
    <m/>
    <n v="3366.8461538461634"/>
  </r>
  <r>
    <d v="2024-12-31T00:00:00"/>
    <s v="Primetics GEN NA"/>
    <s v="SEED"/>
    <x v="6"/>
    <s v="DQ24120265"/>
    <n v="28"/>
    <d v="2024-12-17T00:00:00"/>
    <d v="2025-01-21T00:00:00"/>
    <n v="35"/>
    <n v="28"/>
    <n v="28"/>
    <m/>
    <m/>
    <m/>
    <m/>
    <m/>
    <m/>
    <m/>
    <m/>
    <m/>
    <m/>
    <m/>
    <n v="28"/>
    <m/>
    <n v="0"/>
  </r>
  <r>
    <d v="2025-02-28T00:00:00"/>
    <s v="Primetics GEN NA"/>
    <s v="SEED"/>
    <x v="6"/>
    <s v="DQ25020023"/>
    <n v="338.78"/>
    <d v="2025-02-19T00:00:00"/>
    <d v="2026-01-21T00:00:00"/>
    <n v="336"/>
    <m/>
    <m/>
    <n v="9.074464285714285"/>
    <n v="31.256488095238094"/>
    <n v="30.248214285714287"/>
    <n v="31.256488095238094"/>
    <n v="30.248214285714287"/>
    <n v="31.256488095238094"/>
    <n v="31.256488095238094"/>
    <n v="30.248214285714287"/>
    <n v="31.256488095238094"/>
    <n v="30.248214285714287"/>
    <n v="31.256488095238094"/>
    <n v="317.60624999999999"/>
    <n v="338.78"/>
    <n v="21.173749999999984"/>
  </r>
  <r>
    <d v="2025-02-28T00:00:00"/>
    <s v="Primetics GEN NA"/>
    <s v="SEED"/>
    <x v="6"/>
    <s v="DQ25020024"/>
    <n v="508.19"/>
    <d v="2025-02-19T00:00:00"/>
    <d v="2026-01-21T00:00:00"/>
    <n v="336"/>
    <m/>
    <m/>
    <n v="13.612232142857144"/>
    <n v="46.886577380952382"/>
    <n v="45.374107142857142"/>
    <n v="46.886577380952382"/>
    <n v="45.374107142857142"/>
    <n v="46.886577380952382"/>
    <n v="46.886577380952382"/>
    <n v="45.374107142857142"/>
    <n v="46.886577380952382"/>
    <n v="45.374107142857142"/>
    <n v="46.886577380952382"/>
    <n v="476.42812500000002"/>
    <n v="508.19"/>
    <n v="31.761874999999975"/>
  </r>
  <r>
    <d v="2025-03-31T00:00:00"/>
    <s v="Primetics GEN NA"/>
    <s v="SEED"/>
    <x v="6"/>
    <s v="DQ25040055"/>
    <n v="73.8"/>
    <d v="2025-03-31T00:00:00"/>
    <d v="2026-01-21T00:00:00"/>
    <n v="296"/>
    <m/>
    <m/>
    <m/>
    <n v="0.2493243243243243"/>
    <n v="7.4797297297297289"/>
    <n v="7.7290540540540533"/>
    <n v="7.4797297297297289"/>
    <n v="7.7290540540540533"/>
    <n v="7.7290540540540533"/>
    <n v="7.4797297297297289"/>
    <n v="7.7290540540540533"/>
    <n v="7.4797297297297289"/>
    <n v="7.7290540540540533"/>
    <n v="68.813513513513499"/>
    <n v="73.8"/>
    <n v="4.9864864864864984"/>
  </r>
  <r>
    <d v="2025-04-30T00:00:00"/>
    <s v="Primetics GEN NA"/>
    <s v="SEED"/>
    <x v="6"/>
    <s v="DQ25040062"/>
    <n v="182.43"/>
    <d v="2025-04-15T00:00:00"/>
    <d v="2026-01-21T00:00:00"/>
    <n v="281"/>
    <m/>
    <m/>
    <m/>
    <m/>
    <n v="10.387473309608541"/>
    <n v="20.125729537366549"/>
    <n v="19.476512455516016"/>
    <n v="20.125729537366549"/>
    <n v="20.125729537366549"/>
    <n v="19.476512455516016"/>
    <n v="20.125729537366549"/>
    <n v="19.476512455516016"/>
    <n v="20.125729537366549"/>
    <n v="169.44565836298935"/>
    <n v="182.43"/>
    <n v="12.984341637010658"/>
  </r>
  <r>
    <d v="2025-07-31T00:00:00"/>
    <s v="Primetics GEN NA"/>
    <s v="SEED"/>
    <x v="6"/>
    <s v="DQ25080126"/>
    <n v="358.88"/>
    <d v="2025-07-31T00:00:00"/>
    <d v="2026-01-21T00:00:00"/>
    <n v="174"/>
    <m/>
    <m/>
    <m/>
    <m/>
    <m/>
    <m/>
    <m/>
    <n v="2.062528735632184"/>
    <n v="63.938390804597702"/>
    <n v="61.875862068965517"/>
    <n v="63.938390804597702"/>
    <n v="61.875862068965517"/>
    <n v="63.938390804597702"/>
    <n v="317.6294252873563"/>
    <n v="358.88"/>
    <n v="41.250574712643697"/>
  </r>
  <r>
    <d v="2025-10-31T00:00:00"/>
    <s v="Primetics GEN NA"/>
    <s v="SEED"/>
    <x v="6"/>
    <s v="DQ25110181"/>
    <n v="264.18"/>
    <d v="2025-10-31T00:00:00"/>
    <d v="2026-01-21T00:00:00"/>
    <n v="82"/>
    <m/>
    <m/>
    <m/>
    <m/>
    <m/>
    <m/>
    <m/>
    <m/>
    <m/>
    <m/>
    <n v="3.2217073170731707"/>
    <n v="96.651219512195127"/>
    <n v="99.872926829268295"/>
    <n v="199.74585365853659"/>
    <n v="264.18"/>
    <n v="64.434146341463418"/>
  </r>
  <r>
    <d v="2025-10-31T00:00:00"/>
    <s v="Primetics GEN NA"/>
    <s v="SEED"/>
    <x v="6"/>
    <s v="DQ25110182"/>
    <n v="213.62"/>
    <d v="2025-10-31T00:00:00"/>
    <d v="2026-01-21T00:00:00"/>
    <n v="82"/>
    <m/>
    <m/>
    <m/>
    <m/>
    <m/>
    <m/>
    <m/>
    <m/>
    <m/>
    <m/>
    <n v="2.6051219512195121"/>
    <n v="78.153658536585368"/>
    <n v="80.75878048780487"/>
    <n v="161.51756097560974"/>
    <n v="213.62"/>
    <n v="52.102439024390264"/>
  </r>
  <r>
    <m/>
    <m/>
    <m/>
    <x v="0"/>
    <m/>
    <m/>
    <m/>
    <m/>
    <m/>
    <m/>
    <m/>
    <m/>
    <m/>
    <m/>
    <m/>
    <m/>
    <m/>
    <m/>
    <m/>
    <m/>
    <m/>
    <m/>
    <m/>
    <m/>
    <m/>
  </r>
  <r>
    <d v="2024-08-31T00:00:00"/>
    <s v="Methven"/>
    <s v="KIT"/>
    <x v="7"/>
    <s v="DQ24080175"/>
    <n v="47018.14"/>
    <d v="2024-10-01T00:00:00"/>
    <d v="2025-09-30T00:00:00"/>
    <n v="364"/>
    <n v="35134.434285714284"/>
    <n v="4004.2921428571431"/>
    <n v="3616.78"/>
    <n v="4004.2921428571431"/>
    <n v="3875.1214285714291"/>
    <n v="4004.2921428571431"/>
    <n v="3875.1214285714291"/>
    <n v="4004.2921428571431"/>
    <n v="4004.2921428571431"/>
    <n v="3745.95"/>
    <m/>
    <m/>
    <m/>
    <n v="35134.43357142857"/>
    <m/>
    <n v="7.1428571391152218E-4"/>
  </r>
  <r>
    <d v="2025-09-30T00:00:00"/>
    <s v="Methven"/>
    <s v="KIT"/>
    <x v="7"/>
    <s v="DQ25090148"/>
    <n v="49234.68"/>
    <d v="2025-10-01T00:00:00"/>
    <d v="2026-09-30T00:00:00"/>
    <n v="364"/>
    <m/>
    <m/>
    <m/>
    <m/>
    <m/>
    <m/>
    <m/>
    <m/>
    <m/>
    <m/>
    <n v="4193.0634065934073"/>
    <n v="4057.8032967032968"/>
    <n v="4193.0634065934073"/>
    <n v="12443.930109890112"/>
    <n v="49234.68"/>
    <n v="36790.749890109888"/>
  </r>
  <r>
    <m/>
    <m/>
    <m/>
    <x v="0"/>
    <m/>
    <m/>
    <m/>
    <m/>
    <m/>
    <m/>
    <m/>
    <m/>
    <m/>
    <m/>
    <m/>
    <m/>
    <m/>
    <m/>
    <m/>
    <m/>
    <m/>
    <m/>
    <m/>
    <m/>
    <m/>
  </r>
  <r>
    <d v="2024-04-30T00:00:00"/>
    <s v="Methven"/>
    <s v="KIT"/>
    <x v="8"/>
    <s v="DQ24040086"/>
    <n v="51744"/>
    <d v="2024-04-01T00:00:00"/>
    <d v="2025-03-31T00:00:00"/>
    <n v="364"/>
    <n v="12651.692307692298"/>
    <n v="4406.7692307692314"/>
    <n v="3980.3076923076924"/>
    <n v="4264.62"/>
    <m/>
    <m/>
    <m/>
    <m/>
    <m/>
    <m/>
    <m/>
    <m/>
    <m/>
    <n v="12651.696923076925"/>
    <m/>
    <n v="-4.6153846269589849E-3"/>
  </r>
  <r>
    <d v="2024-06-30T00:00:00"/>
    <s v="Methven"/>
    <s v="KIT"/>
    <x v="8"/>
    <s v="DQ24060124"/>
    <n v="1029.92"/>
    <d v="2024-06-07T00:00:00"/>
    <d v="2025-03-30T00:00:00"/>
    <n v="296"/>
    <n v="309.66888513513527"/>
    <n v="107.86324324324325"/>
    <n v="97.424864864864873"/>
    <n v="104.38"/>
    <m/>
    <m/>
    <m/>
    <m/>
    <m/>
    <m/>
    <m/>
    <m/>
    <m/>
    <n v="309.66810810810813"/>
    <m/>
    <n v="7.7702702714077532E-4"/>
  </r>
  <r>
    <d v="2025-03-31T00:00:00"/>
    <s v="Methven"/>
    <s v="KIT"/>
    <x v="8"/>
    <s v="DQ25030046"/>
    <n v="54909.59"/>
    <d v="2025-03-31T00:00:00"/>
    <d v="2026-03-30T00:00:00"/>
    <n v="364"/>
    <m/>
    <m/>
    <m/>
    <n v="150.85052197802196"/>
    <n v="4525.5156593406591"/>
    <n v="4676.3661813186809"/>
    <n v="4525.5156593406591"/>
    <n v="4676.3661813186809"/>
    <n v="4676.3661813186809"/>
    <n v="4525.5156593406591"/>
    <n v="4676.3661813186809"/>
    <n v="4525.5156593406591"/>
    <n v="4676.3661813186809"/>
    <n v="41634.744065934065"/>
    <n v="54909.59"/>
    <n v="13274.845934065932"/>
  </r>
  <r>
    <d v="2025-12-31T00:00:00"/>
    <s v="Methven"/>
    <s v="KIT"/>
    <x v="8"/>
    <s v="DQ25120204"/>
    <n v="247.55"/>
    <d v="2025-12-10T00:00:00"/>
    <d v="2026-03-30T00:00:00"/>
    <n v="110"/>
    <m/>
    <m/>
    <m/>
    <m/>
    <m/>
    <m/>
    <m/>
    <m/>
    <m/>
    <m/>
    <m/>
    <m/>
    <n v="47.259545454545453"/>
    <n v="47.259545454545453"/>
    <n v="247.55"/>
    <n v="200.29045454545457"/>
  </r>
  <r>
    <m/>
    <m/>
    <m/>
    <x v="0"/>
    <m/>
    <m/>
    <m/>
    <m/>
    <m/>
    <m/>
    <m/>
    <m/>
    <m/>
    <m/>
    <m/>
    <m/>
    <m/>
    <m/>
    <m/>
    <m/>
    <m/>
    <m/>
    <m/>
    <m/>
    <m/>
  </r>
  <r>
    <d v="2024-04-30T00:00:00"/>
    <s v="Primetics GEN NA"/>
    <s v="SEED"/>
    <x v="9"/>
    <s v="DQ24040092"/>
    <n v="17304.41"/>
    <d v="2024-05-15T00:00:00"/>
    <d v="2025-05-14T00:00:00"/>
    <n v="364"/>
    <n v="6370.3047802197798"/>
    <n v="1473.7272252747252"/>
    <n v="1331.1084615384616"/>
    <n v="1473.7272252747252"/>
    <n v="1426.1876373626374"/>
    <n v="665.55"/>
    <m/>
    <m/>
    <m/>
    <m/>
    <m/>
    <m/>
    <m/>
    <n v="6370.3005494505496"/>
    <m/>
    <n v="4.2307692301619682E-3"/>
  </r>
  <r>
    <m/>
    <m/>
    <m/>
    <x v="0"/>
    <m/>
    <m/>
    <m/>
    <m/>
    <m/>
    <m/>
    <m/>
    <m/>
    <m/>
    <m/>
    <m/>
    <m/>
    <m/>
    <m/>
    <m/>
    <m/>
    <m/>
    <m/>
    <m/>
    <m/>
    <m/>
  </r>
  <r>
    <d v="2024-01-31T00:00:00"/>
    <s v="Primetics CHO"/>
    <s v="PRIME"/>
    <x v="10"/>
    <s v="DQ24010008"/>
    <n v="50430.42"/>
    <d v="2024-01-31T00:00:00"/>
    <d v="2025-01-31T00:00:00"/>
    <n v="366"/>
    <n v="4271.429016393442"/>
    <n v="4271.43"/>
    <m/>
    <m/>
    <m/>
    <m/>
    <m/>
    <m/>
    <m/>
    <m/>
    <m/>
    <m/>
    <m/>
    <n v="4271.43"/>
    <m/>
    <n v="-9.8360655829310417E-4"/>
  </r>
  <r>
    <d v="2024-12-31T00:00:00"/>
    <s v="Primetics CHO"/>
    <s v="PRIME"/>
    <x v="10"/>
    <s v="DQ24120262"/>
    <n v="53605.27"/>
    <d v="2025-01-31T00:00:00"/>
    <d v="2026-01-30T00:00:00"/>
    <n v="364"/>
    <n v="53605.279999999999"/>
    <n v="147.26722527472526"/>
    <n v="4123.4823076923076"/>
    <n v="4565.2839835164832"/>
    <n v="4418.016758241758"/>
    <n v="4565.2839835164832"/>
    <n v="4418.016758241758"/>
    <n v="4565.2839835164832"/>
    <n v="4565.2839835164832"/>
    <n v="4418.016758241758"/>
    <n v="4565.2839835164832"/>
    <n v="4418.016758241758"/>
    <n v="4565.2839835164832"/>
    <n v="49334.520467032969"/>
    <m/>
    <n v="4270.7595329670294"/>
  </r>
  <r>
    <d v="2025-07-31T00:00:00"/>
    <s v="Primetics CHO"/>
    <s v="PRIME"/>
    <x v="10"/>
    <s v="DQ25070122"/>
    <n v="169.49"/>
    <d v="2025-07-23T00:00:00"/>
    <d v="2026-01-29T00:00:00"/>
    <n v="190"/>
    <m/>
    <m/>
    <m/>
    <m/>
    <m/>
    <m/>
    <m/>
    <n v="7.1364210526315794"/>
    <n v="27.653631578947369"/>
    <n v="26.761578947368424"/>
    <n v="27.653631578947369"/>
    <n v="26.761578947368424"/>
    <n v="27.653631578947369"/>
    <n v="143.62047368421054"/>
    <n v="169.49"/>
    <n v="25.869526315789471"/>
  </r>
  <r>
    <m/>
    <m/>
    <m/>
    <x v="0"/>
    <m/>
    <m/>
    <m/>
    <m/>
    <m/>
    <m/>
    <m/>
    <m/>
    <m/>
    <m/>
    <m/>
    <m/>
    <m/>
    <m/>
    <m/>
    <m/>
    <m/>
    <m/>
    <m/>
    <m/>
    <m/>
  </r>
  <r>
    <d v="2024-11-30T00:00:00"/>
    <s v="Methven"/>
    <s v="KIT"/>
    <x v="11"/>
    <s v="DQ24110232"/>
    <n v="892.69"/>
    <d v="2024-11-28T00:00:00"/>
    <d v="2025-11-27T00:00:00"/>
    <n v="364"/>
    <n v="811.75931318681319"/>
    <n v="76.025796703296706"/>
    <n v="68.668461538461543"/>
    <n v="76.025796703296706"/>
    <n v="73.573351648351661"/>
    <n v="76.025796703296706"/>
    <n v="73.573351648351661"/>
    <n v="76.025796703296706"/>
    <n v="76.025796703296706"/>
    <n v="73.573351648351661"/>
    <n v="76.025796703296706"/>
    <n v="66.22"/>
    <m/>
    <n v="811.76329670329665"/>
    <m/>
    <n v="-3.9835164834585157E-3"/>
  </r>
  <r>
    <d v="2025-10-31T00:00:00"/>
    <s v="Methven"/>
    <s v="KIT"/>
    <x v="11"/>
    <s v="DQ25100179"/>
    <n v="933.75"/>
    <d v="2025-11-28T00:00:00"/>
    <d v="2026-11-27T00:00:00"/>
    <n v="364"/>
    <m/>
    <m/>
    <m/>
    <m/>
    <m/>
    <m/>
    <m/>
    <m/>
    <m/>
    <m/>
    <m/>
    <n v="5.1304945054945055"/>
    <n v="79.522664835164832"/>
    <n v="84.653159340659343"/>
    <n v="933.75"/>
    <n v="849.09684065934061"/>
  </r>
  <r>
    <m/>
    <m/>
    <m/>
    <x v="0"/>
    <m/>
    <m/>
    <m/>
    <m/>
    <m/>
    <m/>
    <m/>
    <m/>
    <m/>
    <m/>
    <m/>
    <m/>
    <m/>
    <m/>
    <m/>
    <m/>
    <m/>
    <m/>
    <m/>
    <m/>
    <m/>
  </r>
  <r>
    <m/>
    <m/>
    <m/>
    <x v="0"/>
    <m/>
    <m/>
    <m/>
    <m/>
    <m/>
    <m/>
    <m/>
    <m/>
    <m/>
    <m/>
    <m/>
    <m/>
    <m/>
    <m/>
    <m/>
    <m/>
    <m/>
    <m/>
    <m/>
    <m/>
    <m/>
  </r>
  <r>
    <d v="2024-06-30T00:00:00"/>
    <s v="Primetics CHO"/>
    <s v="PRIME"/>
    <x v="12"/>
    <s v="DQ24060146"/>
    <n v="26259.309999999998"/>
    <d v="2024-07-01T00:00:00"/>
    <d v="2025-06-30T00:00:00"/>
    <n v="364"/>
    <n v="12985.373076923075"/>
    <n v="2236.3698076923074"/>
    <n v="2019.9469230769228"/>
    <n v="2236.3698076923074"/>
    <n v="2164.2288461538456"/>
    <n v="2236.3698076923074"/>
    <n v="2092.09"/>
    <m/>
    <m/>
    <m/>
    <m/>
    <m/>
    <m/>
    <n v="12985.375192307689"/>
    <n v="0"/>
    <n v="-2.115384613716742E-3"/>
  </r>
  <r>
    <d v="2024-11-30T00:00:00"/>
    <s v="Primetics CHO"/>
    <s v="PRIME"/>
    <x v="12"/>
    <s v="DQ24110241"/>
    <n v="232.72"/>
    <d v="2024-11-18T00:00:00"/>
    <d v="2025-06-30T00:00:00"/>
    <n v="224"/>
    <n v="188.04607142857142"/>
    <n v="32.206785714285715"/>
    <n v="29.09"/>
    <n v="32.206785714285715"/>
    <n v="31.167857142857144"/>
    <n v="32.206785714285715"/>
    <n v="31.17"/>
    <m/>
    <m/>
    <m/>
    <m/>
    <m/>
    <m/>
    <n v="188.04821428571432"/>
    <m/>
    <n v="-2.1428571428998566E-3"/>
  </r>
  <r>
    <d v="2025-05-31T00:00:00"/>
    <s v="Primetics CHO"/>
    <s v="PRIME"/>
    <x v="12"/>
    <s v="DQ25050080"/>
    <n v="29816.32"/>
    <d v="2025-07-01T00:00:00"/>
    <d v="2026-06-30T00:00:00"/>
    <n v="364"/>
    <m/>
    <m/>
    <m/>
    <m/>
    <m/>
    <m/>
    <m/>
    <n v="2539.3019780219779"/>
    <n v="2539.3019780219779"/>
    <n v="2457.3890109890108"/>
    <n v="2539.3019780219779"/>
    <n v="2457.3890109890108"/>
    <n v="2539.3019780219779"/>
    <n v="15071.985934065933"/>
    <n v="29816.32"/>
    <n v="14744.334065934067"/>
  </r>
  <r>
    <m/>
    <m/>
    <m/>
    <x v="0"/>
    <m/>
    <m/>
    <m/>
    <m/>
    <m/>
    <m/>
    <m/>
    <m/>
    <m/>
    <m/>
    <m/>
    <m/>
    <m/>
    <m/>
    <m/>
    <m/>
    <m/>
    <m/>
    <m/>
    <m/>
    <m/>
  </r>
  <r>
    <d v="2025-01-31T00:00:00"/>
    <s v="Solentra"/>
    <s v="SOL"/>
    <x v="13"/>
    <s v="DQ25010001"/>
    <n v="1459813.16"/>
    <d v="2025-01-01T00:00:00"/>
    <d v="2025-12-31T00:00:00"/>
    <n v="364"/>
    <m/>
    <n v="125277.13142857143"/>
    <n v="112293.32"/>
    <n v="124324.74714285714"/>
    <n v="120314.27142857143"/>
    <n v="124324.74714285714"/>
    <n v="120314.27142857143"/>
    <n v="124324.74714285714"/>
    <n v="124324.74714285714"/>
    <n v="120314.27142857143"/>
    <n v="124324.74714285714"/>
    <n v="120314.27142857143"/>
    <n v="119361.89"/>
    <n v="1459813.162857143"/>
    <n v="1459813.16"/>
    <n v="-2.8571430593729019E-3"/>
  </r>
  <r>
    <m/>
    <m/>
    <m/>
    <x v="0"/>
    <m/>
    <m/>
    <m/>
    <m/>
    <m/>
    <m/>
    <m/>
    <m/>
    <m/>
    <m/>
    <m/>
    <m/>
    <m/>
    <m/>
    <m/>
    <m/>
    <m/>
    <m/>
    <m/>
    <m/>
    <m/>
  </r>
  <r>
    <d v="2024-02-29T00:00:00"/>
    <s v="Primetics CHO"/>
    <s v="PRIME"/>
    <x v="14"/>
    <s v="DQ24020035"/>
    <n v="17086.75"/>
    <d v="2024-04-13T00:00:00"/>
    <d v="2025-04-13T00:00:00"/>
    <n v="365"/>
    <n v="4821.7404109589042"/>
    <n v="1451.2034246575342"/>
    <n v="1310.7643835616439"/>
    <n v="1451.2034246575342"/>
    <n v="608.57000000000005"/>
    <m/>
    <m/>
    <m/>
    <m/>
    <m/>
    <m/>
    <m/>
    <m/>
    <n v="4821.7412328767123"/>
    <m/>
    <n v="-8.2191780802531866E-4"/>
  </r>
  <r>
    <d v="2025-03-31T00:00:00"/>
    <s v="Primetics CHO"/>
    <s v="PRIME"/>
    <x v="14"/>
    <s v="DQ25030038"/>
    <n v="17701.87"/>
    <d v="2025-04-13T00:00:00"/>
    <d v="2026-04-12T00:00:00"/>
    <n v="364"/>
    <m/>
    <m/>
    <m/>
    <m/>
    <n v="826.7356868131867"/>
    <n v="1507.5768406593404"/>
    <n v="1458.9453296703296"/>
    <n v="1507.5768406593404"/>
    <n v="1507.5768406593404"/>
    <n v="1458.9453296703296"/>
    <n v="1507.5768406593404"/>
    <n v="1458.9453296703296"/>
    <n v="1507.5768406593404"/>
    <n v="12741.455879120878"/>
    <n v="17701.87"/>
    <n v="4960.4141208791207"/>
  </r>
  <r>
    <m/>
    <m/>
    <m/>
    <x v="0"/>
    <m/>
    <m/>
    <m/>
    <m/>
    <m/>
    <m/>
    <m/>
    <m/>
    <m/>
    <m/>
    <m/>
    <m/>
    <m/>
    <m/>
    <m/>
    <m/>
    <m/>
    <m/>
    <m/>
    <m/>
    <m/>
  </r>
  <r>
    <d v="2023-09-30T00:00:00"/>
    <s v="Primetics CHO"/>
    <s v="KEY"/>
    <x v="15"/>
    <s v="DQ23100239"/>
    <n v="2977.58"/>
    <d v="2023-09-30T00:00:00"/>
    <d v="2025-08-30T00:00:00"/>
    <n v="700"/>
    <n v="2063.0362"/>
    <n v="131.86425714285713"/>
    <n v="119.10319999999999"/>
    <n v="131.86425714285713"/>
    <n v="127.61057142857142"/>
    <n v="131.86425714285713"/>
    <n v="127.61057142857142"/>
    <n v="131.86425714285713"/>
    <n v="1161.25"/>
    <m/>
    <m/>
    <m/>
    <m/>
    <n v="2063.0313714285712"/>
    <m/>
    <n v="4.8285714287885639E-3"/>
  </r>
  <r>
    <d v="2024-08-31T00:00:00"/>
    <s v="Primetics CHO"/>
    <s v="KEY"/>
    <x v="15"/>
    <s v="DQ24080176"/>
    <n v="78502.509999999995"/>
    <d v="2024-09-01T00:00:00"/>
    <d v="2025-08-31T00:00:00"/>
    <n v="364"/>
    <n v="52191.229175824177"/>
    <n v="6685.6533241758234"/>
    <n v="6038.6546153846148"/>
    <n v="6685.6533241758234"/>
    <n v="6469.9870879120872"/>
    <n v="6685.6533241758234"/>
    <n v="6469.9870879120872"/>
    <n v="6685.6533241758234"/>
    <n v="6469.99"/>
    <m/>
    <m/>
    <m/>
    <m/>
    <n v="52191.232087912082"/>
    <m/>
    <n v="-2.9120879044057801E-3"/>
  </r>
  <r>
    <d v="2024-10-31T00:00:00"/>
    <s v="Primetics CHO"/>
    <s v="KEY"/>
    <x v="15"/>
    <s v="DQ24100223"/>
    <n v="322.77"/>
    <d v="2024-10-29T00:00:00"/>
    <d v="2025-08-30T00:00:00"/>
    <n v="305"/>
    <n v="258.20193564129937"/>
    <n v="32.806131147540981"/>
    <n v="29.63134426229508"/>
    <n v="32.806131147540981"/>
    <n v="31.747868852459014"/>
    <n v="32.806131147540981"/>
    <n v="31.747868852459014"/>
    <n v="32.806131147540981"/>
    <n v="33.85"/>
    <m/>
    <m/>
    <m/>
    <m/>
    <n v="258.20160655737703"/>
    <m/>
    <n v="3.290839223382136E-4"/>
  </r>
  <r>
    <d v="2025-08-31T00:00:00"/>
    <s v="Primetics CHO"/>
    <s v="KEY"/>
    <x v="15"/>
    <s v="DQ25090140"/>
    <n v="82323.240000000005"/>
    <d v="2025-09-01T00:00:00"/>
    <d v="2026-08-31T00:00:00"/>
    <n v="364"/>
    <m/>
    <m/>
    <m/>
    <m/>
    <m/>
    <m/>
    <m/>
    <m/>
    <m/>
    <n v="6784.8824175824184"/>
    <n v="7011.0451648351655"/>
    <n v="6784.8824175824184"/>
    <n v="7011.0451648351655"/>
    <n v="27591.855164835168"/>
    <n v="82323.240000000005"/>
    <n v="54731.384835164834"/>
  </r>
  <r>
    <m/>
    <m/>
    <m/>
    <x v="0"/>
    <m/>
    <m/>
    <m/>
    <m/>
    <m/>
    <m/>
    <m/>
    <m/>
    <m/>
    <m/>
    <m/>
    <m/>
    <m/>
    <m/>
    <m/>
    <m/>
    <m/>
    <m/>
    <m/>
    <m/>
    <m/>
  </r>
  <r>
    <d v="2024-07-31T00:00:00"/>
    <s v="Methven"/>
    <s v="KIT"/>
    <x v="16"/>
    <s v="DQ24070149"/>
    <n v="8419.5"/>
    <d v="2024-06-28T00:00:00"/>
    <d v="2025-06-27T00:00:00"/>
    <n v="364"/>
    <n v="4117.2280219780214"/>
    <n v="717.04532967032969"/>
    <n v="647.65384615384619"/>
    <n v="717.04532967032969"/>
    <n v="693.91483516483527"/>
    <n v="717.04532967032969"/>
    <n v="624.52"/>
    <m/>
    <m/>
    <m/>
    <m/>
    <m/>
    <m/>
    <n v="4117.2246703296714"/>
    <m/>
    <n v="3.3516483499624883E-3"/>
  </r>
  <r>
    <d v="2025-05-31T00:00:00"/>
    <s v="Methven"/>
    <s v="KIT"/>
    <x v="16"/>
    <s v="DQ25050081"/>
    <n v="8688.92"/>
    <d v="2025-06-28T00:00:00"/>
    <d v="2026-06-27T00:00:00"/>
    <n v="364"/>
    <m/>
    <m/>
    <m/>
    <m/>
    <m/>
    <m/>
    <n v="47.741318681318681"/>
    <n v="739.99043956043954"/>
    <n v="739.99043956043954"/>
    <n v="716.11978021978018"/>
    <n v="739.99043956043954"/>
    <n v="716.11978021978018"/>
    <n v="739.99043956043954"/>
    <n v="4439.9426373626375"/>
    <n v="8688.92"/>
    <n v="4248.9773626373626"/>
  </r>
  <r>
    <m/>
    <m/>
    <m/>
    <x v="0"/>
    <m/>
    <m/>
    <m/>
    <m/>
    <m/>
    <m/>
    <m/>
    <m/>
    <m/>
    <m/>
    <m/>
    <m/>
    <m/>
    <m/>
    <m/>
    <m/>
    <m/>
    <m/>
    <m/>
    <m/>
    <m/>
  </r>
  <r>
    <d v="2024-09-30T00:00:00"/>
    <s v="Primetics CHO"/>
    <s v="PRIME"/>
    <x v="17"/>
    <s v="DQ24090185"/>
    <n v="8593.69"/>
    <d v="2024-10-29T00:00:00"/>
    <d v="2025-10-28T00:00:00"/>
    <n v="364"/>
    <n v="7106.3205769230772"/>
    <n v="731.88019230769237"/>
    <n v="661.05307692307701"/>
    <n v="731.88019230769237"/>
    <n v="708.27115384615388"/>
    <n v="731.88019230769237"/>
    <n v="708.27115384615388"/>
    <n v="731.88019230769237"/>
    <n v="731.88019230769237"/>
    <n v="708.27115384615388"/>
    <n v="661.05"/>
    <m/>
    <m/>
    <n v="7106.3175000000001"/>
    <m/>
    <n v="3.0769230770602007E-3"/>
  </r>
  <r>
    <d v="2024-11-30T00:00:00"/>
    <s v="Primetics CHO"/>
    <s v="PRIME"/>
    <x v="17"/>
    <s v="DQ24110233"/>
    <n v="69131.789999999994"/>
    <d v="2025-01-01T00:00:00"/>
    <d v="2025-12-31T00:00:00"/>
    <n v="364"/>
    <n v="69131.789999999994"/>
    <n v="5887.5974999999999"/>
    <n v="5317.83"/>
    <n v="5887.5974999999999"/>
    <n v="5697.6749999999993"/>
    <n v="5887.5974999999999"/>
    <n v="5697.6749999999993"/>
    <n v="5887.5974999999999"/>
    <n v="5887.5974999999999"/>
    <n v="5697.6749999999993"/>
    <n v="5887.5974999999999"/>
    <n v="5697.6749999999993"/>
    <n v="5697.67"/>
    <n v="69131.785000000018"/>
    <m/>
    <n v="4.9999999755527824E-3"/>
  </r>
  <r>
    <d v="2025-06-30T00:00:00"/>
    <s v="Primetics CHO"/>
    <s v="PRIME"/>
    <x v="17"/>
    <s v="DQ25060105"/>
    <n v="269.76"/>
    <d v="2025-06-25T00:00:00"/>
    <d v="2025-12-31T00:00:00"/>
    <n v="189"/>
    <m/>
    <m/>
    <m/>
    <m/>
    <m/>
    <m/>
    <n v="7.136507936507936"/>
    <n v="44.246349206349208"/>
    <n v="44.246349206349208"/>
    <n v="42.819047619047616"/>
    <n v="44.246349206349208"/>
    <n v="42.819047619047616"/>
    <n v="44.25"/>
    <n v="269.76365079365075"/>
    <n v="269.76"/>
    <n v="-3.6507936507632621E-3"/>
  </r>
  <r>
    <d v="2025-10-31T00:00:00"/>
    <s v="Primetics CHO"/>
    <s v="PRIME"/>
    <x v="17"/>
    <s v="DQ25100178"/>
    <n v="9123.5499999999993"/>
    <d v="2025-10-29T00:00:00"/>
    <d v="2026-10-28T00:00:00"/>
    <n v="364"/>
    <m/>
    <m/>
    <m/>
    <m/>
    <m/>
    <m/>
    <m/>
    <m/>
    <m/>
    <m/>
    <n v="50.129395604395597"/>
    <n v="751.94093406593402"/>
    <n v="777.00563186813179"/>
    <n v="1579.0759615384613"/>
    <n v="9123.5499999999993"/>
    <n v="7544.4740384615379"/>
  </r>
  <r>
    <d v="2025-12-31T00:00:00"/>
    <s v="Primetics CHO"/>
    <s v="PRIME"/>
    <x v="17"/>
    <s v="DQ25120206"/>
    <n v="75392.399999999994"/>
    <d v="2026-01-01T00:00:00"/>
    <d v="2026-12-31T00:00:00"/>
    <n v="364"/>
    <m/>
    <m/>
    <m/>
    <m/>
    <m/>
    <m/>
    <m/>
    <m/>
    <m/>
    <m/>
    <m/>
    <m/>
    <m/>
    <n v="0"/>
    <n v="75392.399999999994"/>
    <n v="75392.399999999994"/>
  </r>
  <r>
    <m/>
    <m/>
    <m/>
    <x v="0"/>
    <m/>
    <m/>
    <m/>
    <m/>
    <m/>
    <m/>
    <m/>
    <m/>
    <m/>
    <m/>
    <m/>
    <m/>
    <m/>
    <m/>
    <m/>
    <m/>
    <m/>
    <m/>
    <m/>
    <m/>
    <m/>
  </r>
  <r>
    <d v="2024-08-31T00:00:00"/>
    <s v="Primetics CHO"/>
    <s v="PRIME"/>
    <x v="18"/>
    <s v="DQ24080172"/>
    <n v="75538.89"/>
    <d v="2024-09-08T00:00:00"/>
    <d v="2025-09-07T00:00:00"/>
    <n v="364"/>
    <n v="47108.044038461536"/>
    <n v="6433.2571153846156"/>
    <n v="5810.6838461538464"/>
    <n v="6433.2571153846156"/>
    <n v="6225.7326923076926"/>
    <n v="6433.2571153846156"/>
    <n v="6225.7326923076926"/>
    <n v="6433.2571153846156"/>
    <n v="6433.2571153846156"/>
    <n v="-3320.39"/>
    <m/>
    <m/>
    <m/>
    <n v="47108.044807692306"/>
    <m/>
    <n v="-7.6923076994717121E-4"/>
  </r>
  <r>
    <d v="2025-09-30T00:00:00"/>
    <s v="Primetics CHO"/>
    <s v="PRIME"/>
    <x v="18"/>
    <s v="DQ25090146"/>
    <n v="78843.820000000007"/>
    <d v="2025-09-08T00:00:00"/>
    <d v="2026-09-07T00:00:00"/>
    <n v="364"/>
    <m/>
    <m/>
    <m/>
    <m/>
    <m/>
    <m/>
    <m/>
    <m/>
    <m/>
    <n v="4765.285824175824"/>
    <n v="6714.7209340659347"/>
    <n v="6498.1170329670331"/>
    <n v="6714.7209340659347"/>
    <n v="24692.844725274725"/>
    <n v="78843.820000000007"/>
    <n v="54150.975274725279"/>
  </r>
  <r>
    <d v="2025-12-31T00:00:00"/>
    <s v="Primetics CHO"/>
    <s v="PRIME"/>
    <x v="18"/>
    <s v="DQ25120212"/>
    <n v="115.52"/>
    <d v="2025-12-22T00:00:00"/>
    <d v="2026-09-07T00:00:00"/>
    <n v="259"/>
    <m/>
    <m/>
    <m/>
    <m/>
    <m/>
    <m/>
    <m/>
    <m/>
    <m/>
    <m/>
    <m/>
    <m/>
    <n v="4.0142084942084937"/>
    <n v="4.0142084942084937"/>
    <n v="115.52"/>
    <n v="111.50579150579151"/>
  </r>
  <r>
    <m/>
    <m/>
    <m/>
    <x v="0"/>
    <m/>
    <m/>
    <m/>
    <m/>
    <m/>
    <m/>
    <m/>
    <m/>
    <m/>
    <m/>
    <m/>
    <m/>
    <m/>
    <m/>
    <m/>
    <m/>
    <m/>
    <m/>
    <m/>
    <m/>
    <m/>
  </r>
  <r>
    <d v="2024-06-30T00:00:00"/>
    <s v="Primetics CHO"/>
    <s v="PRIME"/>
    <x v="19"/>
    <s v="DQ24060147"/>
    <n v="76917.75"/>
    <d v="2024-07-24T00:00:00"/>
    <d v="2025-07-24T00:00:00"/>
    <n v="365"/>
    <n v="43200.380136986299"/>
    <n v="6532.7404109589042"/>
    <n v="5900.5397260273976"/>
    <n v="6532.7404109589042"/>
    <n v="6322.0068493150684"/>
    <n v="6532.7404109589042"/>
    <n v="6322.0068493150684"/>
    <n v="5057.6099999999997"/>
    <m/>
    <m/>
    <m/>
    <m/>
    <m/>
    <n v="43200.384657534247"/>
    <m/>
    <n v="-4.5205479473224841E-3"/>
  </r>
  <r>
    <d v="2025-07-31T00:00:00"/>
    <s v="Primetics CHO"/>
    <s v="PRIME"/>
    <x v="19"/>
    <s v="DQ25060111"/>
    <n v="81763.570000000007"/>
    <d v="2025-07-24T00:00:00"/>
    <d v="2026-07-23T00:00:00"/>
    <n v="364"/>
    <m/>
    <m/>
    <m/>
    <m/>
    <m/>
    <m/>
    <m/>
    <n v="1572.3763461538463"/>
    <n v="6963.3809615384616"/>
    <n v="6738.7557692307691"/>
    <n v="6963.3809615384616"/>
    <n v="6738.7557692307691"/>
    <n v="6963.3809615384616"/>
    <n v="35940.030769230769"/>
    <n v="81763.570000000007"/>
    <n v="45823.539230769238"/>
  </r>
  <r>
    <m/>
    <m/>
    <m/>
    <x v="0"/>
    <m/>
    <m/>
    <m/>
    <m/>
    <m/>
    <m/>
    <m/>
    <m/>
    <m/>
    <m/>
    <m/>
    <m/>
    <m/>
    <m/>
    <m/>
    <m/>
    <m/>
    <m/>
    <m/>
    <m/>
    <m/>
  </r>
  <r>
    <d v="2024-11-30T00:00:00"/>
    <s v="Primetics CHO"/>
    <s v="PRIME"/>
    <x v="20"/>
    <s v="DQ24110243"/>
    <n v="28807.35"/>
    <d v="2025-01-01T00:00:00"/>
    <d v="2025-12-31T00:00:00"/>
    <n v="364"/>
    <n v="28807.35"/>
    <m/>
    <m/>
    <m/>
    <n v="9496.9285714285706"/>
    <n v="2453.3732142857143"/>
    <n v="2374.2321428571427"/>
    <n v="2453.3732142857143"/>
    <n v="2453.3732142857143"/>
    <n v="2374.2321428571427"/>
    <n v="2453.3732142857143"/>
    <n v="2374.2321428571427"/>
    <n v="2374.23"/>
    <n v="28807.347857142853"/>
    <m/>
    <n v="2.1428571453725453E-3"/>
  </r>
  <r>
    <m/>
    <m/>
    <m/>
    <x v="0"/>
    <m/>
    <m/>
    <m/>
    <m/>
    <m/>
    <m/>
    <m/>
    <m/>
    <m/>
    <m/>
    <m/>
    <m/>
    <m/>
    <m/>
    <m/>
    <m/>
    <m/>
    <m/>
    <m/>
    <m/>
    <m/>
  </r>
  <r>
    <m/>
    <m/>
    <m/>
    <x v="0"/>
    <m/>
    <m/>
    <m/>
    <m/>
    <m/>
    <m/>
    <m/>
    <m/>
    <m/>
    <m/>
    <m/>
    <m/>
    <m/>
    <m/>
    <m/>
    <m/>
    <m/>
    <m/>
    <m/>
    <m/>
    <m/>
  </r>
  <r>
    <d v="2024-01-31T00:00:00"/>
    <s v="Primetics CHO"/>
    <s v="PRIME"/>
    <x v="21"/>
    <s v="DQ24010014"/>
    <n v="10148.36"/>
    <d v="2024-03-01T00:00:00"/>
    <d v="2025-02-28T00:00:00"/>
    <n v="364"/>
    <n v="1617.0463736263737"/>
    <n v="864.28340659340665"/>
    <n v="752.76"/>
    <m/>
    <m/>
    <m/>
    <m/>
    <m/>
    <m/>
    <m/>
    <m/>
    <m/>
    <m/>
    <n v="1617.0434065934066"/>
    <m/>
    <n v="2.9670329670352658E-3"/>
  </r>
  <r>
    <d v="2025-02-28T00:00:00"/>
    <s v="Primetics CHO"/>
    <s v="PRIME"/>
    <x v="21"/>
    <s v="DQ25020016"/>
    <n v="10510.99"/>
    <d v="2025-03-01T00:00:00"/>
    <d v="2026-02-28T00:00:00"/>
    <n v="364"/>
    <m/>
    <m/>
    <m/>
    <n v="895.16673076923075"/>
    <n v="866.2903846153846"/>
    <n v="895.16673076923075"/>
    <n v="866.2903846153846"/>
    <n v="895.16673076923075"/>
    <n v="895.16673076923075"/>
    <n v="866.2903846153846"/>
    <n v="895.16673076923075"/>
    <n v="866.2903846153846"/>
    <n v="895.16673076923075"/>
    <n v="8836.1619230769229"/>
    <n v="10510.99"/>
    <n v="1674.8280769230769"/>
  </r>
  <r>
    <m/>
    <m/>
    <m/>
    <x v="0"/>
    <m/>
    <m/>
    <m/>
    <m/>
    <m/>
    <m/>
    <m/>
    <m/>
    <m/>
    <m/>
    <m/>
    <m/>
    <m/>
    <m/>
    <m/>
    <m/>
    <m/>
    <m/>
    <m/>
    <m/>
    <m/>
  </r>
  <r>
    <d v="2024-08-31T00:00:00"/>
    <s v="Methven"/>
    <s v="KIT"/>
    <x v="22"/>
    <s v="DQ24080174"/>
    <n v="21419.02"/>
    <d v="2024-09-30T00:00:00"/>
    <d v="2025-09-29T00:00:00"/>
    <n v="364"/>
    <n v="15946.578076923077"/>
    <n v="1824.1473076923078"/>
    <n v="1647.6169230769231"/>
    <n v="1824.1473076923078"/>
    <n v="1765.3038461538463"/>
    <n v="1824.1473076923078"/>
    <n v="1765.3038461538463"/>
    <n v="1824.1473076923078"/>
    <n v="1824.1473076923078"/>
    <n v="1647.62"/>
    <m/>
    <m/>
    <m/>
    <n v="15946.581153846157"/>
    <m/>
    <n v="-3.0769230797886848E-3"/>
  </r>
  <r>
    <d v="2025-09-30T00:00:00"/>
    <s v="Methven"/>
    <s v="KIT"/>
    <x v="22"/>
    <s v="DQ25090147"/>
    <n v="22447.14"/>
    <d v="2025-09-30T00:00:00"/>
    <d v="2026-09-29T00:00:00"/>
    <n v="364"/>
    <m/>
    <m/>
    <m/>
    <m/>
    <m/>
    <m/>
    <m/>
    <m/>
    <m/>
    <n v="61.667967032967034"/>
    <n v="1911.7069780219781"/>
    <n v="1850.0390109890111"/>
    <n v="1911.7069780219781"/>
    <n v="5735.1209340659343"/>
    <n v="22447.14"/>
    <n v="16712.019065934066"/>
  </r>
  <r>
    <m/>
    <m/>
    <m/>
    <x v="0"/>
    <m/>
    <m/>
    <m/>
    <m/>
    <m/>
    <m/>
    <m/>
    <m/>
    <m/>
    <m/>
    <m/>
    <m/>
    <m/>
    <m/>
    <m/>
    <m/>
    <m/>
    <m/>
    <m/>
    <m/>
    <m/>
  </r>
  <r>
    <d v="2024-02-29T00:00:00"/>
    <s v="Primetics CHO"/>
    <s v="PRIME"/>
    <x v="23"/>
    <s v="DQ24020031"/>
    <n v="15111.51"/>
    <d v="2024-04-11T00:00:00"/>
    <d v="2025-04-10T00:00:00"/>
    <n v="364"/>
    <n v="4151.5137362637379"/>
    <n v="1286.9692582417581"/>
    <n v="1162.4238461538462"/>
    <n v="1286.9692582417581"/>
    <n v="415.15"/>
    <m/>
    <m/>
    <m/>
    <m/>
    <m/>
    <m/>
    <m/>
    <m/>
    <n v="4151.5123626373625"/>
    <m/>
    <n v="1.3736263754253741E-3"/>
  </r>
  <r>
    <d v="2025-03-31T00:00:00"/>
    <s v="Primetics CHO"/>
    <s v="PRIME"/>
    <x v="23"/>
    <s v="DQ25030037"/>
    <n v="15667.55"/>
    <d v="2025-04-11T00:00:00"/>
    <d v="2026-04-10T00:00:00"/>
    <n v="364"/>
    <m/>
    <m/>
    <m/>
    <m/>
    <n v="817.81167582417572"/>
    <n v="1334.324313186813"/>
    <n v="1291.2815934065934"/>
    <n v="1334.324313186813"/>
    <n v="1334.324313186813"/>
    <n v="1291.2815934065934"/>
    <n v="1334.324313186813"/>
    <n v="1291.2815934065934"/>
    <n v="1334.324313186813"/>
    <n v="11363.27802197802"/>
    <n v="15667.55"/>
    <n v="4304.2719780219795"/>
  </r>
  <r>
    <m/>
    <m/>
    <m/>
    <x v="0"/>
    <m/>
    <m/>
    <m/>
    <m/>
    <m/>
    <m/>
    <m/>
    <m/>
    <m/>
    <m/>
    <m/>
    <m/>
    <m/>
    <m/>
    <m/>
    <m/>
    <m/>
    <m/>
    <m/>
    <m/>
    <m/>
  </r>
  <r>
    <d v="2024-07-31T00:00:00"/>
    <s v="Primetics CHO"/>
    <s v="KEY"/>
    <x v="24"/>
    <s v="DQ24060131"/>
    <n v="43854.36"/>
    <d v="2024-07-01T00:00:00"/>
    <d v="2025-06-30T00:00:00"/>
    <n v="364"/>
    <n v="21686.221978021978"/>
    <n v="3734.8493406593407"/>
    <n v="3373.4123076923079"/>
    <n v="3734.8493406593407"/>
    <n v="3614.3703296703297"/>
    <n v="3734.8493406593407"/>
    <n v="3493.89"/>
    <m/>
    <m/>
    <m/>
    <m/>
    <m/>
    <m/>
    <n v="21686.220659340659"/>
    <m/>
    <n v="1.3186813193897251E-3"/>
  </r>
  <r>
    <d v="2024-07-31T00:00:00"/>
    <s v="Primetics CHO"/>
    <s v="KEY"/>
    <x v="24"/>
    <s v="DQ24060132"/>
    <n v="658005.92000000004"/>
    <d v="2024-08-01T00:00:00"/>
    <d v="2025-07-31T00:00:00"/>
    <n v="364"/>
    <n v="381426.5085714286"/>
    <n v="56038.965714285718"/>
    <n v="50615.840000000004"/>
    <n v="56038.965714285718"/>
    <n v="54231.257142857146"/>
    <n v="56038.965714285718"/>
    <n v="54231.257142857146"/>
    <n v="54231.26"/>
    <m/>
    <m/>
    <m/>
    <m/>
    <m/>
    <n v="381426.51142857142"/>
    <m/>
    <n v="-2.8571428265422583E-3"/>
  </r>
  <r>
    <d v="2024-07-31T00:00:00"/>
    <s v="Primetics CHO"/>
    <s v="KEY"/>
    <x v="24"/>
    <s v="DQ24070150"/>
    <n v="6288.52"/>
    <d v="2024-07-08T00:00:00"/>
    <d v="2025-07-30T00:00:00"/>
    <n v="387"/>
    <n v="3428.6245994832043"/>
    <n v="503.73157622739024"/>
    <n v="454.9833591731267"/>
    <n v="503.73157622739024"/>
    <n v="487.48217054263574"/>
    <n v="503.73157622739024"/>
    <n v="487.48217054263574"/>
    <n v="487.48"/>
    <m/>
    <m/>
    <m/>
    <m/>
    <m/>
    <n v="3428.6224289405686"/>
    <m/>
    <n v="2.1705426356675162E-3"/>
  </r>
  <r>
    <d v="2024-07-31T00:00:00"/>
    <s v="Primetics CHO"/>
    <s v="KEY"/>
    <x v="24"/>
    <s v="DQ24070153"/>
    <n v="1396.72"/>
    <d v="2024-07-12T00:00:00"/>
    <d v="2025-07-30T00:00:00"/>
    <n v="383"/>
    <n v="769.47237597911226"/>
    <n v="113.05044386422976"/>
    <n v="102.11007832898173"/>
    <n v="113.05044386422976"/>
    <n v="109.40365535248041"/>
    <n v="113.05044386422976"/>
    <n v="109.40365535248041"/>
    <n v="109.4"/>
    <m/>
    <m/>
    <m/>
    <m/>
    <m/>
    <n v="769.46872062663181"/>
    <m/>
    <n v="3.6553524804503468E-3"/>
  </r>
  <r>
    <d v="2024-07-31T00:00:00"/>
    <s v="Primetics CHO"/>
    <s v="KEY"/>
    <x v="24"/>
    <s v="DQ24080167"/>
    <n v="1892.77"/>
    <d v="2024-07-30T00:00:00"/>
    <d v="2025-07-30T00:00:00"/>
    <n v="365"/>
    <n v="1094.1766301369862"/>
    <n v="160.75580821917811"/>
    <n v="145.19879452054795"/>
    <n v="160.75580821917811"/>
    <n v="155.57013698630138"/>
    <n v="160.75580821917811"/>
    <n v="155.57013698630138"/>
    <n v="155.57"/>
    <m/>
    <m/>
    <m/>
    <m/>
    <m/>
    <n v="1094.176493150685"/>
    <m/>
    <n v="1.3698630118597066E-4"/>
  </r>
  <r>
    <d v="2024-09-30T00:00:00"/>
    <s v="Primetics CHO"/>
    <s v="KEY"/>
    <x v="24"/>
    <s v="DQ24090195"/>
    <n v="476.75"/>
    <d v="2024-09-24T00:00:00"/>
    <d v="2025-07-30T00:00:00"/>
    <n v="309"/>
    <n v="325.54773462783169"/>
    <n v="47.829288025889966"/>
    <n v="43.200647249190936"/>
    <n v="47.829288025889966"/>
    <n v="46.286407766990294"/>
    <n v="47.829288025889966"/>
    <n v="46.286407766990294"/>
    <n v="46.29"/>
    <m/>
    <m/>
    <m/>
    <m/>
    <m/>
    <n v="325.55132686084147"/>
    <m/>
    <n v="-3.5922330097832855E-3"/>
  </r>
  <r>
    <d v="2024-09-30T00:00:00"/>
    <s v="Primetics CHO"/>
    <s v="KEY"/>
    <x v="24"/>
    <s v="DQ24090196"/>
    <n v="158.91999999999999"/>
    <d v="2024-09-24T00:00:00"/>
    <d v="2025-07-30T00:00:00"/>
    <n v="309"/>
    <n v="108.51818770226538"/>
    <n v="15.943430420711971"/>
    <n v="14.400517799352748"/>
    <n v="15.943430420711971"/>
    <n v="15.42912621359223"/>
    <n v="15.943430420711971"/>
    <n v="15.42912621359223"/>
    <n v="15.43"/>
    <m/>
    <m/>
    <m/>
    <m/>
    <m/>
    <n v="108.51906148867312"/>
    <m/>
    <n v="-8.7378640773749794E-4"/>
  </r>
  <r>
    <d v="2024-10-31T00:00:00"/>
    <s v="Primetics CHO"/>
    <s v="KEY"/>
    <x v="24"/>
    <s v="DQ24100226"/>
    <n v="899.67"/>
    <d v="2024-10-31T00:00:00"/>
    <d v="2025-07-30T00:00:00"/>
    <n v="272"/>
    <n v="530.27341911764711"/>
    <n v="102.53591911764705"/>
    <n v="92.613088235294114"/>
    <n v="102.53591911764705"/>
    <n v="99.228308823529417"/>
    <n v="102.53591911764705"/>
    <n v="99.228308823529417"/>
    <n v="-68.400000000000006"/>
    <m/>
    <m/>
    <m/>
    <m/>
    <m/>
    <n v="530.27746323529414"/>
    <m/>
    <n v="-4.0441176470267237E-3"/>
  </r>
  <r>
    <d v="2024-11-30T00:00:00"/>
    <s v="Primetics CHO"/>
    <s v="KEY"/>
    <x v="24"/>
    <s v="DQ24110248"/>
    <n v="276.97000000000003"/>
    <d v="2024-11-29T00:00:00"/>
    <d v="2025-07-30T00:00:00"/>
    <n v="243"/>
    <n v="240.49658436213994"/>
    <n v="35.333621399176955"/>
    <n v="31.914238683127575"/>
    <n v="35.333621399176955"/>
    <n v="34.193827160493832"/>
    <n v="35.333621399176955"/>
    <n v="34.193827160493832"/>
    <n v="34.19"/>
    <m/>
    <m/>
    <m/>
    <m/>
    <m/>
    <n v="240.49275720164613"/>
    <m/>
    <n v="3.8271604938131532E-3"/>
  </r>
  <r>
    <d v="2024-11-30T00:00:00"/>
    <s v="Primetics CHO"/>
    <s v="KEY"/>
    <x v="24"/>
    <s v="DQ24110249"/>
    <n v="562.87"/>
    <d v="2024-11-29T00:00:00"/>
    <d v="2025-07-30T00:00:00"/>
    <n v="243"/>
    <n v="488.74720164609056"/>
    <n v="71.806460905349795"/>
    <n v="64.857448559670772"/>
    <n v="71.806460905349795"/>
    <n v="69.490123456790116"/>
    <n v="71.806460905349795"/>
    <n v="69.490123456790116"/>
    <n v="69.489999999999995"/>
    <m/>
    <m/>
    <m/>
    <m/>
    <m/>
    <n v="488.7470781893004"/>
    <m/>
    <n v="1.2345679016334543E-4"/>
  </r>
  <r>
    <d v="2024-11-30T00:00:00"/>
    <s v="Primetics CHO"/>
    <s v="KEY"/>
    <x v="24"/>
    <s v="DQ24120250"/>
    <n v="533.88"/>
    <d v="2024-11-29T00:00:00"/>
    <d v="2025-07-30T00:00:00"/>
    <n v="243"/>
    <n v="463.56613168724277"/>
    <n v="68.108148148148146"/>
    <n v="61.517037037037035"/>
    <n v="68.108148148148146"/>
    <n v="65.911111111111111"/>
    <n v="68.108148148148146"/>
    <n v="65.911111111111111"/>
    <n v="65.900000000000006"/>
    <m/>
    <m/>
    <m/>
    <m/>
    <m/>
    <n v="463.56370370370371"/>
    <m/>
    <n v="2.4279835390643711E-3"/>
  </r>
  <r>
    <d v="2024-12-31T00:00:00"/>
    <s v="Primetics CHO"/>
    <s v="KEY"/>
    <x v="24"/>
    <s v="DQ24120270"/>
    <n v="955.37"/>
    <d v="2024-12-20T00:00:00"/>
    <d v="2025-07-30T00:00:00"/>
    <n v="222"/>
    <n v="908.02234234234231"/>
    <n v="133.4075225225225"/>
    <n v="120.49711711711711"/>
    <n v="133.4075225225225"/>
    <n v="129.10405405405405"/>
    <n v="133.4075225225225"/>
    <n v="129.10405405405405"/>
    <n v="129.09"/>
    <m/>
    <m/>
    <m/>
    <m/>
    <m/>
    <n v="908.01779279279276"/>
    <m/>
    <n v="4.549549549551557E-3"/>
  </r>
  <r>
    <d v="2025-02-28T00:00:00"/>
    <s v="Primetics CHO"/>
    <s v="KEY"/>
    <x v="24"/>
    <s v="DQ25020014"/>
    <n v="383.19"/>
    <d v="2025-02-10T00:00:00"/>
    <d v="2025-07-30T00:00:00"/>
    <n v="170"/>
    <m/>
    <m/>
    <n v="40.573058823529415"/>
    <n v="69.875823529411775"/>
    <n v="67.621764705882356"/>
    <n v="69.875823529411775"/>
    <n v="67.621764705882356"/>
    <n v="67.62"/>
    <m/>
    <m/>
    <m/>
    <m/>
    <m/>
    <n v="383.1882352941177"/>
    <n v="383.19"/>
    <n v="1.7647058822944928E-3"/>
  </r>
  <r>
    <d v="2025-03-31T00:00:00"/>
    <s v="Primetics CHO"/>
    <s v="KEY"/>
    <x v="24"/>
    <s v="DQ25030035"/>
    <n v="1600.17"/>
    <d v="2025-03-10T00:00:00"/>
    <d v="2025-07-30T00:00:00"/>
    <n v="142"/>
    <m/>
    <m/>
    <m/>
    <n v="236.64485915492961"/>
    <n v="338.06408450704231"/>
    <n v="349.33288732394368"/>
    <n v="338.06408450704231"/>
    <n v="338.06"/>
    <m/>
    <m/>
    <m/>
    <m/>
    <m/>
    <n v="1600.1659154929578"/>
    <n v="1600.17"/>
    <n v="4.0845070423074503E-3"/>
  </r>
  <r>
    <d v="2025-04-30T00:00:00"/>
    <s v="Primetics CHO"/>
    <s v="KEY"/>
    <x v="24"/>
    <s v="DQ25050068"/>
    <n v="57.45"/>
    <d v="2025-04-30T00:00:00"/>
    <d v="2025-07-30T00:00:00"/>
    <n v="91"/>
    <m/>
    <m/>
    <m/>
    <m/>
    <n v="0.6313186813186813"/>
    <n v="19.57087912087912"/>
    <n v="18.939560439560438"/>
    <n v="18.309999999999999"/>
    <m/>
    <m/>
    <m/>
    <m/>
    <m/>
    <n v="57.451758241758242"/>
    <n v="57.45"/>
    <n v="-1.7582417582389098E-3"/>
  </r>
  <r>
    <d v="2025-04-30T00:00:00"/>
    <s v="Primetics CHO"/>
    <s v="KEY"/>
    <x v="24"/>
    <s v="DQ25050069"/>
    <n v="77.97"/>
    <d v="2025-04-30T00:00:00"/>
    <d v="2025-07-30T00:00:00"/>
    <n v="91"/>
    <m/>
    <m/>
    <m/>
    <m/>
    <n v="0.85681318681318686"/>
    <n v="26.561208791208792"/>
    <n v="25.704395604395607"/>
    <n v="24.85"/>
    <m/>
    <m/>
    <m/>
    <m/>
    <m/>
    <n v="77.972417582417592"/>
    <n v="77.97"/>
    <n v="-2.4175824175927119E-3"/>
  </r>
  <r>
    <d v="2025-04-30T00:00:00"/>
    <s v="Primetics CHO"/>
    <s v="KEY"/>
    <x v="24"/>
    <s v="DQ25050070"/>
    <n v="41.03"/>
    <d v="2025-04-30T00:00:00"/>
    <d v="2025-07-30T00:00:00"/>
    <n v="91"/>
    <m/>
    <m/>
    <m/>
    <m/>
    <n v="0.45087912087912091"/>
    <n v="13.977252747252749"/>
    <n v="13.526373626373628"/>
    <n v="13.08"/>
    <m/>
    <m/>
    <m/>
    <m/>
    <m/>
    <n v="41.034505494505495"/>
    <n v="41.03"/>
    <n v="-4.5054945054943119E-3"/>
  </r>
  <r>
    <d v="2025-04-30T00:00:00"/>
    <s v="Primetics CHO"/>
    <s v="KEY"/>
    <x v="24"/>
    <s v="DQ25050073"/>
    <n v="393.11"/>
    <d v="2025-04-30T00:00:00"/>
    <d v="2025-07-30T00:00:00"/>
    <n v="91"/>
    <m/>
    <m/>
    <m/>
    <m/>
    <n v="4.3198901098901104"/>
    <n v="133.91659340659342"/>
    <n v="129.59670329670331"/>
    <n v="125.28"/>
    <m/>
    <m/>
    <m/>
    <m/>
    <m/>
    <n v="393.11318681318687"/>
    <n v="393.11"/>
    <n v="-3.186813186857762E-3"/>
  </r>
  <r>
    <d v="2025-06-30T00:00:00"/>
    <s v="Primetics CHO"/>
    <s v="KEY"/>
    <x v="24"/>
    <s v="DQ25060102"/>
    <n v="122.12"/>
    <d v="2025-06-24T00:00:00"/>
    <d v="2025-07-30T00:00:00"/>
    <n v="36"/>
    <m/>
    <m/>
    <m/>
    <m/>
    <m/>
    <m/>
    <n v="20.353333333333332"/>
    <n v="101.77"/>
    <m/>
    <m/>
    <m/>
    <m/>
    <m/>
    <n v="122.12333333333333"/>
    <n v="122.12"/>
    <n v="-3.3333333333303017E-3"/>
  </r>
  <r>
    <d v="2025-06-30T00:00:00"/>
    <s v="Primetics CHO"/>
    <s v="KEY"/>
    <x v="24"/>
    <s v="DQ25060103"/>
    <n v="24.09"/>
    <d v="2025-06-24T00:00:00"/>
    <d v="2025-07-30T00:00:00"/>
    <n v="36"/>
    <m/>
    <m/>
    <m/>
    <m/>
    <m/>
    <m/>
    <n v="4.0150000000000006"/>
    <n v="20.079999999999998"/>
    <m/>
    <m/>
    <m/>
    <m/>
    <m/>
    <n v="24.094999999999999"/>
    <n v="24.09"/>
    <n v="-4.9999999999990052E-3"/>
  </r>
  <r>
    <d v="2025-06-30T00:00:00"/>
    <s v="Primetics CHO"/>
    <s v="KEY"/>
    <x v="24"/>
    <s v="DQ25070114"/>
    <n v="55.31"/>
    <d v="2025-06-30T00:00:00"/>
    <d v="2025-07-30T00:00:00"/>
    <n v="30"/>
    <m/>
    <m/>
    <m/>
    <m/>
    <m/>
    <m/>
    <n v="1.8436666666666668"/>
    <n v="53.47"/>
    <m/>
    <m/>
    <m/>
    <m/>
    <m/>
    <n v="55.313666666666663"/>
    <n v="55.31"/>
    <n v="-3.6666666666604897E-3"/>
  </r>
  <r>
    <d v="2025-07-31T00:00:00"/>
    <s v="Primetics CHO"/>
    <s v="KEY"/>
    <x v="24"/>
    <s v="DQ25060110"/>
    <n v="45559.27"/>
    <d v="2025-07-01T00:00:00"/>
    <d v="2026-06-30T00:00:00"/>
    <n v="364"/>
    <m/>
    <m/>
    <m/>
    <m/>
    <m/>
    <m/>
    <m/>
    <n v="3880.0477197802193"/>
    <n v="3880.0477197802193"/>
    <n v="3754.8848901098895"/>
    <n v="3880.0477197802193"/>
    <n v="3754.8848901098895"/>
    <n v="3880.0477197802193"/>
    <n v="23029.960659340657"/>
    <n v="45559.27"/>
    <n v="22529.30934065934"/>
  </r>
  <r>
    <d v="2025-07-31T00:00:00"/>
    <s v="Primetics CHO"/>
    <s v="KEY"/>
    <x v="24"/>
    <s v="DQ25070116"/>
    <n v="35.68"/>
    <d v="2025-07-15T00:00:00"/>
    <d v="2025-07-30T00:00:00"/>
    <n v="15"/>
    <m/>
    <m/>
    <m/>
    <m/>
    <m/>
    <m/>
    <m/>
    <n v="35.68"/>
    <m/>
    <m/>
    <m/>
    <m/>
    <m/>
    <n v="35.68"/>
    <n v="35.68"/>
    <n v="0"/>
  </r>
  <r>
    <d v="2025-07-31T00:00:00"/>
    <s v="Primetics CHO"/>
    <s v="KEY"/>
    <x v="24"/>
    <s v="DQ25070119"/>
    <n v="703436.68"/>
    <d v="2025-08-01T00:00:00"/>
    <d v="2026-07-31T00:00:00"/>
    <n v="364"/>
    <m/>
    <m/>
    <m/>
    <m/>
    <m/>
    <m/>
    <m/>
    <m/>
    <n v="59908.068901098908"/>
    <n v="57975.550549450556"/>
    <n v="59908.068901098908"/>
    <n v="57975.550549450556"/>
    <n v="59908.068901098908"/>
    <n v="295675.30780219781"/>
    <n v="703436.68"/>
    <n v="407761.37219780224"/>
  </r>
  <r>
    <d v="2025-07-31T00:00:00"/>
    <s v="Primetics CHO"/>
    <s v="KEY"/>
    <x v="24"/>
    <s v="DQ25070117"/>
    <n v="42.82"/>
    <d v="2025-07-15T00:00:00"/>
    <d v="2025-07-30T00:00:00"/>
    <n v="15"/>
    <m/>
    <m/>
    <m/>
    <m/>
    <m/>
    <m/>
    <m/>
    <n v="42.82"/>
    <m/>
    <m/>
    <m/>
    <m/>
    <m/>
    <n v="42.82"/>
    <n v="42.82"/>
    <n v="0"/>
  </r>
  <r>
    <d v="2025-09-30T00:00:00"/>
    <s v="Primetics CHO"/>
    <s v="KEY"/>
    <x v="24"/>
    <s v="DQ25090160"/>
    <n v="255.2"/>
    <d v="2025-09-16T00:00:00"/>
    <d v="2026-07-30T00:00:00"/>
    <n v="317"/>
    <m/>
    <m/>
    <m/>
    <m/>
    <m/>
    <m/>
    <m/>
    <m/>
    <m/>
    <n v="11.270662460567822"/>
    <n v="24.956466876971607"/>
    <n v="24.151419558359621"/>
    <n v="24.956466876971607"/>
    <n v="85.335015772870662"/>
    <n v="255.2"/>
    <n v="169.86498422712933"/>
  </r>
  <r>
    <d v="2025-09-30T00:00:00"/>
    <s v="Primetics CHO"/>
    <s v="KEY"/>
    <x v="24"/>
    <s v="DQ25090162"/>
    <n v="318.17"/>
    <d v="2025-09-18T00:00:00"/>
    <d v="2026-07-30T00:00:00"/>
    <n v="315"/>
    <m/>
    <m/>
    <m/>
    <m/>
    <m/>
    <m/>
    <m/>
    <m/>
    <m/>
    <n v="12.120761904761906"/>
    <n v="31.311968253968256"/>
    <n v="30.301904761904762"/>
    <n v="31.311968253968256"/>
    <n v="105.04660317460319"/>
    <n v="318.17"/>
    <n v="213.12339682539681"/>
  </r>
  <r>
    <d v="2025-09-30T00:00:00"/>
    <s v="Primetics CHO"/>
    <s v="KEY"/>
    <x v="24"/>
    <s v="DQ25100166"/>
    <n v="1285.04"/>
    <d v="2025-09-16T00:00:00"/>
    <d v="2026-07-31T00:00:00"/>
    <n v="318"/>
    <m/>
    <m/>
    <m/>
    <m/>
    <m/>
    <m/>
    <m/>
    <m/>
    <m/>
    <n v="56.574088050314465"/>
    <n v="125.27119496855346"/>
    <n v="121.23018867924527"/>
    <n v="125.27119496855346"/>
    <n v="428.34666666666664"/>
    <n v="1285.04"/>
    <n v="856.69333333333338"/>
  </r>
  <r>
    <d v="2025-10-31T00:00:00"/>
    <s v="Primetics CHO"/>
    <s v="KEY"/>
    <x v="24"/>
    <s v="DQ25110183"/>
    <n v="304.41000000000003"/>
    <d v="2025-10-31T00:00:00"/>
    <d v="2026-07-30T00:00:00"/>
    <n v="272"/>
    <m/>
    <m/>
    <m/>
    <m/>
    <m/>
    <m/>
    <m/>
    <m/>
    <m/>
    <m/>
    <n v="1.1191544117647059"/>
    <n v="33.57463235294118"/>
    <n v="34.693786764705884"/>
    <n v="69.387573529411767"/>
    <n v="304.41000000000003"/>
    <n v="235.02242647058824"/>
  </r>
  <r>
    <d v="2025-10-31T00:00:00"/>
    <s v="Primetics CHO"/>
    <s v="KEY"/>
    <x v="24"/>
    <s v="DQ25110184"/>
    <n v="121.77"/>
    <d v="2025-10-31T00:00:00"/>
    <d v="2026-07-30T00:00:00"/>
    <n v="272"/>
    <m/>
    <m/>
    <m/>
    <m/>
    <m/>
    <m/>
    <m/>
    <m/>
    <m/>
    <m/>
    <n v="0.44768382352941177"/>
    <n v="13.430514705882354"/>
    <n v="13.878198529411765"/>
    <n v="27.756397058823531"/>
    <n v="121.77"/>
    <n v="94.013602941176458"/>
  </r>
  <r>
    <d v="2025-10-31T00:00:00"/>
    <s v="Primetics CHO"/>
    <s v="KEY"/>
    <x v="24"/>
    <s v="DQ25110185"/>
    <n v="3100.14"/>
    <d v="2025-10-31T00:00:00"/>
    <d v="2026-07-30T00:00:00"/>
    <n v="272"/>
    <m/>
    <m/>
    <m/>
    <m/>
    <m/>
    <m/>
    <m/>
    <m/>
    <m/>
    <m/>
    <n v="11.397573529411764"/>
    <n v="341.92720588235289"/>
    <n v="353.32477941176467"/>
    <n v="706.64955882352933"/>
    <n v="3100.14"/>
    <n v="2393.4904411764705"/>
  </r>
  <r>
    <d v="2025-11-30T00:00:00"/>
    <s v="Primetics CHO"/>
    <s v="KEY"/>
    <x v="24"/>
    <s v="DQ25120198"/>
    <n v="109.28"/>
    <d v="2025-11-28T00:00:00"/>
    <d v="2026-07-30T00:00:00"/>
    <n v="244"/>
    <m/>
    <m/>
    <m/>
    <m/>
    <m/>
    <m/>
    <m/>
    <m/>
    <m/>
    <m/>
    <m/>
    <n v="0.89573770491803284"/>
    <n v="13.883934426229509"/>
    <n v="14.779672131147542"/>
    <n v="109.28"/>
    <n v="94.500327868852452"/>
  </r>
  <r>
    <d v="2025-12-31T00:00:00"/>
    <s v="Primetics CHO"/>
    <s v="KEY"/>
    <x v="24"/>
    <s v="DQ25120210"/>
    <n v="1478.58"/>
    <d v="2025-12-22T00:00:00"/>
    <d v="2026-07-30T00:00:00"/>
    <n v="220"/>
    <m/>
    <m/>
    <m/>
    <m/>
    <m/>
    <m/>
    <m/>
    <m/>
    <m/>
    <m/>
    <m/>
    <m/>
    <n v="60.487363636363632"/>
    <n v="60.487363636363632"/>
    <n v="1478.58"/>
    <n v="1418.0926363636363"/>
  </r>
  <r>
    <m/>
    <m/>
    <m/>
    <x v="0"/>
    <m/>
    <m/>
    <m/>
    <m/>
    <m/>
    <m/>
    <m/>
    <m/>
    <m/>
    <m/>
    <m/>
    <m/>
    <m/>
    <m/>
    <m/>
    <m/>
    <m/>
    <m/>
    <m/>
    <m/>
    <m/>
  </r>
  <r>
    <d v="2024-11-30T00:00:00"/>
    <s v="Methven"/>
    <s v="KIT"/>
    <x v="25"/>
    <s v="DQ24110242"/>
    <n v="164612.18"/>
    <d v="2025-01-01T00:00:00"/>
    <d v="2025-12-31T00:00:00"/>
    <n v="364"/>
    <n v="164612.18"/>
    <n v="14019.169175824176"/>
    <n v="12662.475384615384"/>
    <n v="14019.169175824176"/>
    <n v="13566.937912087911"/>
    <n v="14019.169175824176"/>
    <n v="13566.937912087911"/>
    <n v="14019.169175824176"/>
    <n v="14019.169175824176"/>
    <n v="13566.937912087911"/>
    <n v="14019.169175824176"/>
    <n v="13566.937912087911"/>
    <n v="13566.94"/>
    <n v="164612.18208791211"/>
    <m/>
    <n v="-2.087912114802748E-3"/>
  </r>
  <r>
    <d v="2025-12-31T00:00:00"/>
    <s v="Methven"/>
    <s v="KIT"/>
    <x v="25"/>
    <s v="DQ25120207"/>
    <n v="171604.84"/>
    <d v="2026-01-01T00:00:00"/>
    <d v="2026-12-31T00:00:00"/>
    <n v="364"/>
    <m/>
    <m/>
    <m/>
    <m/>
    <m/>
    <m/>
    <m/>
    <m/>
    <m/>
    <m/>
    <m/>
    <m/>
    <m/>
    <n v="0"/>
    <n v="171604.84"/>
    <n v="171604.84"/>
  </r>
  <r>
    <m/>
    <m/>
    <m/>
    <x v="0"/>
    <m/>
    <m/>
    <m/>
    <m/>
    <m/>
    <m/>
    <m/>
    <m/>
    <m/>
    <m/>
    <m/>
    <m/>
    <m/>
    <m/>
    <m/>
    <m/>
    <m/>
    <m/>
    <m/>
    <m/>
    <m/>
  </r>
  <r>
    <d v="2024-12-31T00:00:00"/>
    <s v="Primetics GEN NA"/>
    <s v="SEED"/>
    <x v="26"/>
    <s v="DQ24120269"/>
    <n v="1318.68"/>
    <d v="2025-01-01T00:00:00"/>
    <d v="2025-01-31T00:00:00"/>
    <n v="30"/>
    <n v="1318.68"/>
    <n v="1318.68"/>
    <m/>
    <m/>
    <m/>
    <m/>
    <m/>
    <m/>
    <m/>
    <m/>
    <m/>
    <m/>
    <m/>
    <n v="1318.68"/>
    <m/>
    <n v="0"/>
  </r>
  <r>
    <d v="2025-01-31T00:00:00"/>
    <s v="Primetics GEN NA"/>
    <s v="SEED"/>
    <x v="26"/>
    <s v="DQ25010006"/>
    <n v="1318.68"/>
    <d v="2025-02-01T00:00:00"/>
    <d v="2025-02-28T00:00:00"/>
    <n v="27"/>
    <m/>
    <m/>
    <n v="1318.68"/>
    <m/>
    <m/>
    <m/>
    <m/>
    <m/>
    <m/>
    <m/>
    <m/>
    <m/>
    <m/>
    <n v="1318.68"/>
    <n v="1318.68"/>
    <n v="0"/>
  </r>
  <r>
    <d v="2025-02-28T00:00:00"/>
    <s v="Primetics GEN NA"/>
    <s v="SEED"/>
    <x v="26"/>
    <s v="DQ25020030"/>
    <n v="1318.68"/>
    <d v="2025-03-01T00:00:00"/>
    <d v="2025-03-31T00:00:00"/>
    <n v="30"/>
    <m/>
    <m/>
    <m/>
    <n v="1318.68"/>
    <m/>
    <m/>
    <m/>
    <m/>
    <m/>
    <m/>
    <m/>
    <m/>
    <m/>
    <n v="1318.68"/>
    <n v="1318.68"/>
    <n v="0"/>
  </r>
  <r>
    <d v="2025-03-31T00:00:00"/>
    <s v="Primetics GEN NA"/>
    <s v="SEED"/>
    <x v="26"/>
    <s v="DQ25030049"/>
    <n v="1318.68"/>
    <d v="2025-04-01T00:00:00"/>
    <d v="2025-04-30T00:00:00"/>
    <n v="29"/>
    <m/>
    <m/>
    <m/>
    <m/>
    <n v="1318.68"/>
    <m/>
    <m/>
    <m/>
    <m/>
    <m/>
    <m/>
    <m/>
    <m/>
    <n v="1318.68"/>
    <n v="1318.68"/>
    <n v="0"/>
  </r>
  <r>
    <d v="2025-04-30T00:00:00"/>
    <s v="Primetics GEN NA"/>
    <s v="SEED"/>
    <x v="26"/>
    <s v="DQ25040063"/>
    <n v="1318.68"/>
    <d v="2025-05-01T00:00:00"/>
    <d v="2025-05-31T00:00:00"/>
    <n v="30"/>
    <m/>
    <m/>
    <m/>
    <m/>
    <m/>
    <n v="1318.68"/>
    <m/>
    <m/>
    <m/>
    <m/>
    <m/>
    <m/>
    <m/>
    <n v="1318.68"/>
    <n v="1318.68"/>
    <n v="0"/>
  </r>
  <r>
    <d v="2025-05-31T00:00:00"/>
    <s v="Primetics GEN NA"/>
    <s v="SEED"/>
    <x v="26"/>
    <s v="DQ25050077"/>
    <n v="1318.68"/>
    <d v="2025-06-01T00:00:00"/>
    <d v="2025-06-30T00:00:00"/>
    <n v="29"/>
    <m/>
    <m/>
    <m/>
    <m/>
    <m/>
    <m/>
    <n v="1318.68"/>
    <m/>
    <m/>
    <m/>
    <m/>
    <m/>
    <m/>
    <n v="1318.68"/>
    <n v="1318.68"/>
    <n v="0"/>
  </r>
  <r>
    <d v="2025-06-30T00:00:00"/>
    <s v="Primetics GEN NA"/>
    <s v="SEED"/>
    <x v="26"/>
    <s v="DQ25060101"/>
    <n v="1318.68"/>
    <d v="2025-07-01T00:00:00"/>
    <d v="2025-07-31T00:00:00"/>
    <n v="30"/>
    <m/>
    <m/>
    <m/>
    <m/>
    <m/>
    <m/>
    <m/>
    <n v="1318.68"/>
    <m/>
    <m/>
    <m/>
    <m/>
    <m/>
    <n v="1318.68"/>
    <n v="1318.68"/>
    <n v="0"/>
  </r>
  <r>
    <m/>
    <m/>
    <m/>
    <x v="0"/>
    <m/>
    <m/>
    <m/>
    <m/>
    <m/>
    <m/>
    <m/>
    <m/>
    <m/>
    <m/>
    <m/>
    <m/>
    <m/>
    <m/>
    <m/>
    <m/>
    <m/>
    <m/>
    <m/>
    <m/>
    <m/>
  </r>
  <r>
    <d v="2023-12-31T00:00:00"/>
    <s v="Primetics CHO"/>
    <s v="PRIME"/>
    <x v="27"/>
    <s v="DQ23120302"/>
    <n v="41379"/>
    <d v="2024-02-01T00:00:00"/>
    <d v="2025-01-31T00:00:00"/>
    <n v="365"/>
    <n v="3514.3808219178027"/>
    <n v="3514.38"/>
    <m/>
    <m/>
    <m/>
    <m/>
    <m/>
    <m/>
    <m/>
    <m/>
    <m/>
    <m/>
    <m/>
    <n v="3514.38"/>
    <m/>
    <n v="8.2191780256835045E-4"/>
  </r>
  <r>
    <d v="2024-07-31T00:00:00"/>
    <s v="Primetics CHO"/>
    <s v="PRIME"/>
    <x v="27"/>
    <s v="DQ24080163"/>
    <n v="978.18"/>
    <d v="2024-07-11T00:00:00"/>
    <d v="2025-07-10T00:00:00"/>
    <n v="364"/>
    <n v="513.27576923076924"/>
    <n v="83.306538461538452"/>
    <n v="75.244615384615386"/>
    <n v="83.306538461538452"/>
    <n v="80.619230769230768"/>
    <n v="83.306538461538452"/>
    <n v="80.619230769230768"/>
    <n v="26.87"/>
    <m/>
    <m/>
    <m/>
    <m/>
    <m/>
    <n v="513.2726923076923"/>
    <m/>
    <n v="3.0769230769465139E-3"/>
  </r>
  <r>
    <d v="2024-12-31T00:00:00"/>
    <s v="Primetics CHO"/>
    <s v="PRIME"/>
    <x v="27"/>
    <s v="DQ24120261"/>
    <n v="43520.49"/>
    <d v="2025-02-01T00:00:00"/>
    <d v="2026-01-31T00:00:00"/>
    <n v="364"/>
    <n v="43520.49"/>
    <m/>
    <n v="3347.7299999999996"/>
    <n v="3706.4153571428569"/>
    <n v="3586.8535714285713"/>
    <n v="3706.4153571428569"/>
    <n v="3586.8535714285713"/>
    <n v="3706.4153571428569"/>
    <n v="3706.4153571428569"/>
    <n v="3586.8535714285713"/>
    <n v="3706.4153571428569"/>
    <n v="3586.8535714285713"/>
    <n v="3706.4153571428569"/>
    <n v="39933.636428571423"/>
    <m/>
    <n v="3586.8535714285754"/>
  </r>
  <r>
    <d v="2025-08-31T00:00:00"/>
    <s v="Primetics CHO"/>
    <s v="PRIME"/>
    <x v="27"/>
    <s v="DQ25080131"/>
    <n v="301.51"/>
    <d v="2025-08-14T00:00:00"/>
    <d v="2026-01-30T00:00:00"/>
    <n v="169"/>
    <m/>
    <m/>
    <m/>
    <m/>
    <m/>
    <m/>
    <m/>
    <m/>
    <n v="30.329408284023668"/>
    <n v="53.522485207100594"/>
    <n v="55.306568047337279"/>
    <n v="53.522485207100594"/>
    <n v="55.306568047337279"/>
    <n v="247.98751479289945"/>
    <n v="301.51"/>
    <n v="53.522485207100544"/>
  </r>
  <r>
    <m/>
    <m/>
    <m/>
    <x v="0"/>
    <m/>
    <m/>
    <m/>
    <m/>
    <m/>
    <m/>
    <m/>
    <m/>
    <m/>
    <m/>
    <m/>
    <m/>
    <m/>
    <m/>
    <m/>
    <m/>
    <m/>
    <m/>
    <m/>
    <m/>
    <m/>
  </r>
  <r>
    <d v="2024-02-29T00:00:00"/>
    <s v="Primetics CHO"/>
    <s v="PRIME"/>
    <x v="28"/>
    <s v="DQ24020030"/>
    <n v="91355.38"/>
    <d v="2024-03-25T00:00:00"/>
    <d v="2025-03-25T00:00:00"/>
    <n v="365"/>
    <n v="21024.251835616436"/>
    <n v="7758.9500821917809"/>
    <n v="7008.0839452054797"/>
    <n v="6257.22"/>
    <m/>
    <m/>
    <m/>
    <m/>
    <m/>
    <m/>
    <m/>
    <m/>
    <m/>
    <n v="21024.254027397263"/>
    <m/>
    <n v="-2.1917808262514882E-3"/>
  </r>
  <r>
    <d v="2024-02-29T00:00:00"/>
    <s v="Primetics CHO"/>
    <s v="PRIME"/>
    <x v="28"/>
    <s v="DQ24030051"/>
    <n v="335.29"/>
    <d v="2024-02-29T00:00:00"/>
    <d v="2025-03-23T00:00:00"/>
    <n v="388"/>
    <n v="96.784742268041242"/>
    <n v="26.788634020618559"/>
    <n v="24.196185567010311"/>
    <n v="45.8"/>
    <m/>
    <m/>
    <m/>
    <m/>
    <m/>
    <m/>
    <m/>
    <m/>
    <m/>
    <n v="96.784819587628874"/>
    <m/>
    <n v="-7.7319587632018738E-5"/>
  </r>
  <r>
    <d v="2024-02-29T00:00:00"/>
    <s v="Primetics CHO"/>
    <s v="PRIME"/>
    <x v="28"/>
    <s v="DQ24030052"/>
    <n v="672.3"/>
    <d v="2024-02-28T00:00:00"/>
    <d v="2025-03-23T00:00:00"/>
    <n v="389"/>
    <n v="195.29537275064257"/>
    <n v="53.576606683804627"/>
    <n v="48.391773778920303"/>
    <n v="93.33"/>
    <m/>
    <m/>
    <m/>
    <m/>
    <m/>
    <m/>
    <m/>
    <m/>
    <m/>
    <n v="195.29838046272494"/>
    <m/>
    <n v="-3.0077120823648329E-3"/>
  </r>
  <r>
    <d v="2024-09-30T00:00:00"/>
    <s v="Primetics CHO"/>
    <s v="PRIME"/>
    <x v="28"/>
    <s v="DQ24090194"/>
    <n v="2340.11"/>
    <d v="2024-09-24T00:00:00"/>
    <d v="2025-03-23T00:00:00"/>
    <n v="180"/>
    <n v="1066.0501111111112"/>
    <n v="403.01894444444451"/>
    <n v="364.01711111111115"/>
    <n v="299.01"/>
    <m/>
    <m/>
    <m/>
    <m/>
    <m/>
    <m/>
    <m/>
    <m/>
    <m/>
    <n v="1066.0460555555555"/>
    <m/>
    <n v="4.0555555556238687E-3"/>
  </r>
  <r>
    <d v="2024-09-30T00:00:00"/>
    <s v="Primetics CHO"/>
    <s v="PRIME"/>
    <x v="28"/>
    <s v="DQ24100204"/>
    <n v="301.67"/>
    <d v="2024-09-30T00:00:00"/>
    <d v="2025-03-23T00:00:00"/>
    <n v="174"/>
    <n v="140.43258620689656"/>
    <n v="53.745804597701152"/>
    <n v="48.544597701149428"/>
    <n v="38.14"/>
    <m/>
    <m/>
    <m/>
    <m/>
    <m/>
    <m/>
    <m/>
    <m/>
    <m/>
    <n v="140.43040229885059"/>
    <m/>
    <n v="2.1839080459642446E-3"/>
  </r>
  <r>
    <d v="2024-09-30T00:00:00"/>
    <s v="Primetics CHO"/>
    <s v="PRIME"/>
    <x v="28"/>
    <s v="DQ24100205"/>
    <n v="512.84"/>
    <d v="2024-09-30T00:00:00"/>
    <d v="2025-03-23T00:00:00"/>
    <n v="174"/>
    <n v="238.7358620689655"/>
    <n v="91.368045977011505"/>
    <n v="82.525977011494263"/>
    <n v="64.84"/>
    <m/>
    <m/>
    <m/>
    <m/>
    <m/>
    <m/>
    <m/>
    <m/>
    <m/>
    <n v="238.73402298850576"/>
    <m/>
    <n v="1.839080459745901E-3"/>
  </r>
  <r>
    <d v="2024-11-30T00:00:00"/>
    <s v="Primetics CHO"/>
    <s v="PRIME"/>
    <x v="28"/>
    <s v="DQ24110240"/>
    <n v="651.61"/>
    <d v="2024-11-18T00:00:00"/>
    <d v="2025-03-23T00:00:00"/>
    <n v="125"/>
    <n v="427.45616000000001"/>
    <n v="161.59927999999999"/>
    <n v="145.96064000000001"/>
    <n v="119.9"/>
    <m/>
    <m/>
    <m/>
    <m/>
    <m/>
    <m/>
    <m/>
    <m/>
    <m/>
    <n v="427.45992000000001"/>
    <m/>
    <n v="-3.7599999999997635E-3"/>
  </r>
  <r>
    <d v="2025-01-31T00:00:00"/>
    <s v="Primetics CHO"/>
    <s v="PRIME"/>
    <x v="28"/>
    <s v="DQ25010008"/>
    <n v="44.82"/>
    <d v="2025-01-31T00:00:00"/>
    <d v="2025-03-23T00:00:00"/>
    <n v="51"/>
    <m/>
    <n v="0.87882352941176467"/>
    <n v="24.60705882352941"/>
    <n v="19.329999999999998"/>
    <m/>
    <m/>
    <m/>
    <m/>
    <m/>
    <m/>
    <m/>
    <m/>
    <m/>
    <n v="44.815882352941173"/>
    <n v="44.82"/>
    <n v="4.1176470588268899E-3"/>
  </r>
  <r>
    <d v="2025-02-28T00:00:00"/>
    <s v="Primetics CHO"/>
    <s v="PRIME"/>
    <x v="28"/>
    <s v="DQ25030032"/>
    <n v="32.11"/>
    <d v="2025-02-28T00:00:00"/>
    <d v="2025-03-23T00:00:00"/>
    <n v="23"/>
    <m/>
    <m/>
    <n v="1.3960869565217391"/>
    <n v="30.71"/>
    <m/>
    <m/>
    <m/>
    <m/>
    <m/>
    <m/>
    <m/>
    <m/>
    <m/>
    <n v="32.106086956521743"/>
    <n v="32.11"/>
    <n v="3.9130434782563839E-3"/>
  </r>
  <r>
    <d v="2025-02-28T00:00:00"/>
    <s v="Primetics CHO"/>
    <s v="PRIME"/>
    <x v="28"/>
    <s v="DQ25030033"/>
    <n v="112.4"/>
    <d v="2025-02-28T00:00:00"/>
    <d v="2025-03-23T00:00:00"/>
    <n v="23"/>
    <m/>
    <m/>
    <n v="4.8869565217391306"/>
    <n v="107.51"/>
    <m/>
    <m/>
    <m/>
    <m/>
    <m/>
    <m/>
    <m/>
    <m/>
    <m/>
    <n v="112.39695652173914"/>
    <n v="112.4"/>
    <n v="3.0434782608637079E-3"/>
  </r>
  <r>
    <d v="2025-03-31T00:00:00"/>
    <s v="Primetics CHO"/>
    <s v="PRIME"/>
    <x v="28"/>
    <s v="DQ25030048"/>
    <n v="108503.95"/>
    <d v="2025-03-25T00:00:00"/>
    <d v="2026-03-24T00:00:00"/>
    <n v="364"/>
    <m/>
    <m/>
    <m/>
    <n v="1788.5266483516482"/>
    <n v="8942.6332417582416"/>
    <n v="9240.721016483516"/>
    <n v="8942.6332417582416"/>
    <n v="9240.721016483516"/>
    <n v="9240.721016483516"/>
    <n v="8942.6332417582416"/>
    <n v="9240.721016483516"/>
    <n v="8942.6332417582416"/>
    <n v="9240.721016483516"/>
    <n v="83762.664697802189"/>
    <n v="108503.95"/>
    <n v="24741.285302197808"/>
  </r>
  <r>
    <d v="2025-04-30T00:00:00"/>
    <s v="Primetics CHO"/>
    <s v="PRIME"/>
    <x v="28"/>
    <s v="DQ25050071"/>
    <n v="1097.23"/>
    <d v="2025-04-30T00:00:00"/>
    <d v="2026-03-23T00:00:00"/>
    <n v="327"/>
    <m/>
    <m/>
    <m/>
    <m/>
    <n v="3.3554434250764524"/>
    <n v="104.01874617737002"/>
    <n v="100.66330275229357"/>
    <n v="104.01874617737002"/>
    <n v="104.01874617737002"/>
    <n v="100.66330275229357"/>
    <n v="104.01874617737002"/>
    <n v="100.66330275229357"/>
    <n v="104.01874617737002"/>
    <n v="825.43908256880718"/>
    <n v="1097.23"/>
    <n v="271.79091743119284"/>
  </r>
  <r>
    <d v="2025-04-30T00:00:00"/>
    <s v="Primetics CHO"/>
    <s v="PRIME"/>
    <x v="28"/>
    <s v="DQ25050072"/>
    <n v="351.11"/>
    <d v="2025-04-30T00:00:00"/>
    <d v="2026-03-23T00:00:00"/>
    <n v="327"/>
    <m/>
    <m/>
    <m/>
    <m/>
    <n v="1.0737308868501529"/>
    <n v="33.285657492354744"/>
    <n v="32.211926605504587"/>
    <n v="33.285657492354744"/>
    <n v="33.285657492354744"/>
    <n v="32.211926605504587"/>
    <n v="33.285657492354744"/>
    <n v="32.211926605504587"/>
    <n v="33.285657492354744"/>
    <n v="264.13779816513761"/>
    <n v="351.11"/>
    <n v="86.972201834862403"/>
  </r>
  <r>
    <d v="2025-05-31T00:00:00"/>
    <s v="Primetics CHO"/>
    <s v="PRIME"/>
    <x v="28"/>
    <s v="DQ25060087"/>
    <n v="1589.64"/>
    <d v="2025-05-31T00:00:00"/>
    <d v="2026-03-23T00:00:00"/>
    <n v="296"/>
    <m/>
    <m/>
    <m/>
    <m/>
    <m/>
    <n v="5.370405405405406"/>
    <n v="161.11216216216218"/>
    <n v="166.4825675675676"/>
    <n v="166.4825675675676"/>
    <n v="161.11216216216218"/>
    <n v="166.4825675675676"/>
    <n v="161.11216216216218"/>
    <n v="166.4825675675676"/>
    <n v="1154.6371621621624"/>
    <n v="1589.64"/>
    <n v="435.00283783783766"/>
  </r>
  <r>
    <d v="2025-05-31T00:00:00"/>
    <s v="Primetics CHO"/>
    <s v="PRIME"/>
    <x v="28"/>
    <s v="DQ25060088"/>
    <n v="1390.94"/>
    <d v="2025-05-31T00:00:00"/>
    <d v="2026-03-23T00:00:00"/>
    <n v="296"/>
    <m/>
    <m/>
    <m/>
    <m/>
    <m/>
    <n v="4.6991216216216216"/>
    <n v="140.97364864864863"/>
    <n v="145.67277027027026"/>
    <n v="145.67277027027026"/>
    <n v="140.97364864864863"/>
    <n v="145.67277027027026"/>
    <n v="140.97364864864863"/>
    <n v="145.67277027027026"/>
    <n v="1010.3111486486486"/>
    <n v="1390.94"/>
    <n v="380.6288513513515"/>
  </r>
  <r>
    <d v="2025-06-30T00:00:00"/>
    <s v="Primetics CHO"/>
    <s v="PRIME"/>
    <x v="28"/>
    <s v="DQ25070115"/>
    <n v="95.27"/>
    <d v="2025-06-30T00:00:00"/>
    <d v="2026-03-23T00:00:00"/>
    <n v="266"/>
    <m/>
    <m/>
    <m/>
    <m/>
    <m/>
    <m/>
    <n v="0.35815789473684206"/>
    <n v="11.102894736842105"/>
    <n v="11.102894736842105"/>
    <n v="10.744736842105262"/>
    <n v="11.102894736842105"/>
    <n v="10.744736842105262"/>
    <n v="11.102894736842105"/>
    <n v="66.259210526315783"/>
    <n v="95.27"/>
    <n v="29.010789473684213"/>
  </r>
  <r>
    <d v="2025-09-30T00:00:00"/>
    <s v="Primetics CHO"/>
    <s v="PRIME"/>
    <x v="28"/>
    <s v="DQ25090156"/>
    <n v="1011.59"/>
    <d v="2025-09-16T00:00:00"/>
    <d v="2026-03-23T00:00:00"/>
    <n v="188"/>
    <m/>
    <m/>
    <m/>
    <m/>
    <m/>
    <m/>
    <m/>
    <m/>
    <m/>
    <n v="75.331170212765969"/>
    <n v="166.80473404255321"/>
    <n v="161.42393617021278"/>
    <n v="166.80473404255321"/>
    <n v="570.36457446808527"/>
    <n v="1011.59"/>
    <n v="441.22542553191477"/>
  </r>
  <r>
    <m/>
    <m/>
    <m/>
    <x v="0"/>
    <m/>
    <m/>
    <m/>
    <m/>
    <m/>
    <m/>
    <m/>
    <m/>
    <m/>
    <m/>
    <m/>
    <m/>
    <m/>
    <m/>
    <m/>
    <m/>
    <m/>
    <m/>
    <m/>
    <m/>
    <m/>
  </r>
  <r>
    <d v="2024-01-31T00:00:00"/>
    <s v="Primetics CHO"/>
    <s v="PRIME"/>
    <x v="29"/>
    <s v="DQ24010017"/>
    <n v="13433.58"/>
    <d v="2024-03-05T00:00:00"/>
    <d v="2025-03-04T00:00:00"/>
    <n v="364"/>
    <n v="2325.0426923076939"/>
    <n v="1144.0686263736263"/>
    <n v="1033.3523076923077"/>
    <n v="147.62"/>
    <m/>
    <m/>
    <m/>
    <m/>
    <m/>
    <m/>
    <m/>
    <m/>
    <m/>
    <n v="2325.0409340659339"/>
    <m/>
    <n v="1.7582417599442124E-3"/>
  </r>
  <r>
    <d v="2025-02-28T00:00:00"/>
    <s v="Primetics CHO"/>
    <s v="PRIME"/>
    <x v="29"/>
    <s v="DQ25020015"/>
    <n v="13907.31"/>
    <d v="2025-03-05T00:00:00"/>
    <d v="2026-03-04T00:00:00"/>
    <n v="364"/>
    <m/>
    <m/>
    <m/>
    <n v="993.37928571428574"/>
    <n v="1146.2068681318681"/>
    <n v="1184.4137637362637"/>
    <n v="1146.2068681318681"/>
    <n v="1184.4137637362637"/>
    <n v="1184.4137637362637"/>
    <n v="1146.2068681318681"/>
    <n v="1184.4137637362637"/>
    <n v="1146.2068681318681"/>
    <n v="1184.4137637362637"/>
    <n v="11500.275576923077"/>
    <n v="13907.31"/>
    <n v="2407.0344230769224"/>
  </r>
  <r>
    <m/>
    <m/>
    <m/>
    <x v="0"/>
    <m/>
    <m/>
    <m/>
    <m/>
    <m/>
    <m/>
    <m/>
    <m/>
    <m/>
    <m/>
    <m/>
    <m/>
    <m/>
    <m/>
    <m/>
    <m/>
    <m/>
    <m/>
    <m/>
    <m/>
    <m/>
  </r>
  <r>
    <d v="2023-12-31T00:00:00"/>
    <s v="Primetics CHO"/>
    <s v="KEY"/>
    <x v="30"/>
    <s v="DQ23120296"/>
    <n v="714.77"/>
    <d v="2023-12-08T00:00:00"/>
    <d v="2026-01-03T00:00:00"/>
    <n v="757"/>
    <n v="348.41496697490095"/>
    <n v="29.270634081902248"/>
    <n v="26.437992073976222"/>
    <n v="29.270634081902248"/>
    <n v="28.326420079260238"/>
    <n v="29.270634081902248"/>
    <n v="28.326420079260238"/>
    <n v="29.270634081902248"/>
    <n v="29.270634081902248"/>
    <n v="28.326420079260238"/>
    <n v="29.270634081902248"/>
    <n v="28.326420079260238"/>
    <n v="29.270634081902248"/>
    <n v="344.6381109643329"/>
    <m/>
    <n v="3.7768560105680535"/>
  </r>
  <r>
    <d v="2023-12-31T00:00:00"/>
    <s v="Primetics CHO"/>
    <s v="KEY"/>
    <x v="30"/>
    <s v="DQ23120295"/>
    <n v="2392.0500000000002"/>
    <d v="2023-12-11T00:00:00"/>
    <d v="2026-01-03T00:00:00"/>
    <n v="754"/>
    <n v="1170.6451591511936"/>
    <n v="98.346883289124676"/>
    <n v="88.829442970822285"/>
    <n v="98.346883289124676"/>
    <n v="95.174403183023884"/>
    <n v="98.346883289124676"/>
    <n v="95.174403183023884"/>
    <n v="98.346883289124676"/>
    <n v="98.346883289124676"/>
    <n v="95.174403183023884"/>
    <n v="98.346883289124676"/>
    <n v="95.174403183023884"/>
    <n v="98.346883289124676"/>
    <n v="1157.9552387267904"/>
    <m/>
    <n v="12.689920424403226"/>
  </r>
  <r>
    <d v="2023-11-30T00:00:00"/>
    <s v="Primetics CHO"/>
    <s v="KEY"/>
    <x v="30"/>
    <s v="DQ23120293"/>
    <n v="4834.59"/>
    <d v="2023-11-30T00:00:00"/>
    <d v="2026-01-03T00:00:00"/>
    <n v="765"/>
    <n v="2325.6589803921574"/>
    <n v="195.91149019607843"/>
    <n v="176.9523137254902"/>
    <n v="195.91149019607843"/>
    <n v="189.59176470588235"/>
    <n v="195.91149019607843"/>
    <n v="189.59176470588235"/>
    <n v="195.91149019607843"/>
    <n v="195.91149019607843"/>
    <n v="189.59176470588235"/>
    <n v="195.91149019607843"/>
    <n v="189.59176470588235"/>
    <n v="195.91149019607843"/>
    <n v="2306.6998039215682"/>
    <m/>
    <n v="18.959176470589227"/>
  </r>
  <r>
    <d v="2023-11-20T00:00:00"/>
    <s v="Primetics CHO"/>
    <s v="KEY"/>
    <x v="30"/>
    <s v="DQ23110281"/>
    <n v="235864.74"/>
    <d v="2024-01-05T00:00:00"/>
    <d v="2025-01-04T00:00:00"/>
    <n v="365"/>
    <n v="3231.0238356164773"/>
    <n v="3231.02"/>
    <m/>
    <m/>
    <m/>
    <m/>
    <m/>
    <m/>
    <m/>
    <m/>
    <m/>
    <m/>
    <m/>
    <n v="3231.02"/>
    <m/>
    <n v="3.8356164773176715E-3"/>
  </r>
  <r>
    <d v="2024-01-01T00:00:00"/>
    <s v="Primetics CHO"/>
    <s v="KEY"/>
    <x v="30"/>
    <s v="DQ24010025"/>
    <n v="889.92"/>
    <d v="2024-01-30T00:00:00"/>
    <d v="2025-01-04T00:00:00"/>
    <n v="340"/>
    <n v="10.469647058823398"/>
    <n v="10.47"/>
    <m/>
    <m/>
    <m/>
    <m/>
    <m/>
    <m/>
    <m/>
    <m/>
    <m/>
    <m/>
    <m/>
    <n v="10.47"/>
    <m/>
    <n v="-3.5294117660278346E-4"/>
  </r>
  <r>
    <d v="2024-01-01T00:00:00"/>
    <s v="Primetics CHO"/>
    <s v="KEY"/>
    <x v="30"/>
    <s v="DQ24010026"/>
    <n v="3114.71"/>
    <d v="2024-01-30T00:00:00"/>
    <d v="2025-01-04T00:00:00"/>
    <n v="340"/>
    <n v="36.643647058822808"/>
    <n v="36.64"/>
    <m/>
    <m/>
    <m/>
    <m/>
    <m/>
    <m/>
    <m/>
    <m/>
    <m/>
    <m/>
    <m/>
    <n v="36.64"/>
    <m/>
    <n v="3.6470588228070255E-3"/>
  </r>
  <r>
    <d v="2024-02-29T00:00:00"/>
    <s v="Primetics CHO"/>
    <s v="KEY"/>
    <x v="30"/>
    <s v="DQ24030055"/>
    <n v="157.03"/>
    <d v="2024-02-28T00:00:00"/>
    <d v="2025-01-03T00:00:00"/>
    <n v="310"/>
    <n v="1.5196451612903275"/>
    <n v="1.52"/>
    <m/>
    <m/>
    <m/>
    <m/>
    <m/>
    <m/>
    <m/>
    <m/>
    <m/>
    <m/>
    <m/>
    <n v="1.52"/>
    <m/>
    <n v="-3.5483870967256692E-4"/>
  </r>
  <r>
    <d v="2024-02-29T00:00:00"/>
    <s v="Primetics CHO"/>
    <s v="KEY"/>
    <x v="30"/>
    <s v="DQ24030056"/>
    <n v="1472.15"/>
    <d v="2024-02-28T00:00:00"/>
    <d v="2025-01-03T00:00:00"/>
    <n v="310"/>
    <n v="14.246612903225923"/>
    <n v="14.25"/>
    <m/>
    <m/>
    <m/>
    <m/>
    <m/>
    <m/>
    <m/>
    <m/>
    <m/>
    <m/>
    <m/>
    <n v="14.25"/>
    <m/>
    <n v="-3.387096774076781E-3"/>
  </r>
  <r>
    <d v="2024-02-29T00:00:00"/>
    <s v="Primetics CHO"/>
    <s v="KEY"/>
    <x v="30"/>
    <s v="DQ24030057"/>
    <n v="785.15"/>
    <d v="2024-02-28T00:00:00"/>
    <d v="2025-01-03T00:00:00"/>
    <n v="310"/>
    <n v="7.5982258064516373"/>
    <n v="7.6"/>
    <m/>
    <m/>
    <m/>
    <m/>
    <m/>
    <m/>
    <m/>
    <m/>
    <m/>
    <m/>
    <m/>
    <n v="7.6"/>
    <m/>
    <n v="-1.7741935483623905E-3"/>
  </r>
  <r>
    <d v="2024-02-29T00:00:00"/>
    <s v="Primetics CHO"/>
    <s v="KEY"/>
    <x v="30"/>
    <s v="DQ24030058"/>
    <n v="294.43"/>
    <d v="2024-02-28T00:00:00"/>
    <d v="2025-01-03T00:00:00"/>
    <n v="310"/>
    <n v="2.8493225806451505"/>
    <n v="2.85"/>
    <m/>
    <m/>
    <m/>
    <m/>
    <m/>
    <m/>
    <m/>
    <m/>
    <m/>
    <m/>
    <m/>
    <n v="2.85"/>
    <m/>
    <n v="-6.7741935484955107E-4"/>
  </r>
  <r>
    <d v="2024-03-31T00:00:00"/>
    <s v="Primetics CHO"/>
    <s v="KEY"/>
    <x v="30"/>
    <s v="DQ24030083"/>
    <n v="355.97"/>
    <d v="2024-03-28T00:00:00"/>
    <d v="2025-01-03T00:00:00"/>
    <n v="281"/>
    <n v="3.8003914590747172"/>
    <n v="3.8"/>
    <m/>
    <m/>
    <m/>
    <m/>
    <m/>
    <m/>
    <m/>
    <m/>
    <m/>
    <m/>
    <m/>
    <n v="3.8"/>
    <m/>
    <n v="3.9145907471738184E-4"/>
  </r>
  <r>
    <d v="2024-03-31T00:00:00"/>
    <s v="Primetics CHO"/>
    <s v="KEY"/>
    <x v="30"/>
    <s v="DQ24030084"/>
    <n v="1235.71"/>
    <d v="2024-03-28T00:00:00"/>
    <d v="2025-01-03T00:00:00"/>
    <n v="281"/>
    <n v="13.19263345195759"/>
    <n v="13.19"/>
    <m/>
    <m/>
    <m/>
    <m/>
    <m/>
    <m/>
    <m/>
    <m/>
    <m/>
    <m/>
    <m/>
    <n v="13.19"/>
    <m/>
    <n v="2.6334519575907933E-3"/>
  </r>
  <r>
    <d v="2024-05-31T00:00:00"/>
    <s v="Primetics CHO"/>
    <s v="KEY"/>
    <x v="30"/>
    <s v="DQ24050106"/>
    <n v="353.48"/>
    <d v="2024-05-07T00:00:00"/>
    <d v="2025-01-03T00:00:00"/>
    <n v="241"/>
    <n v="4.4001659751037892"/>
    <n v="4.4000000000000004"/>
    <m/>
    <m/>
    <m/>
    <m/>
    <m/>
    <m/>
    <m/>
    <m/>
    <m/>
    <m/>
    <m/>
    <n v="4.4000000000000004"/>
    <m/>
    <n v="1.6597510378879576E-4"/>
  </r>
  <r>
    <d v="2024-05-31T00:00:00"/>
    <s v="Primetics CHO"/>
    <s v="KEY"/>
    <x v="30"/>
    <s v="DQ24050107"/>
    <n v="2229.9699999999998"/>
    <d v="2024-05-07T00:00:00"/>
    <d v="2025-01-03T00:00:00"/>
    <n v="241"/>
    <n v="27.758962655601863"/>
    <n v="27.76"/>
    <m/>
    <m/>
    <m/>
    <m/>
    <m/>
    <m/>
    <m/>
    <m/>
    <m/>
    <m/>
    <m/>
    <n v="27.76"/>
    <m/>
    <n v="-1.0373443981386288E-3"/>
  </r>
  <r>
    <d v="2024-06-30T00:00:00"/>
    <s v="Primetics CHO"/>
    <s v="KEY"/>
    <x v="30"/>
    <s v="DQ24060125"/>
    <n v="337.66"/>
    <d v="2024-06-04T00:00:00"/>
    <d v="2025-01-03T00:00:00"/>
    <n v="213"/>
    <n v="4.7557746478872787"/>
    <n v="4.76"/>
    <m/>
    <m/>
    <m/>
    <m/>
    <m/>
    <m/>
    <m/>
    <m/>
    <m/>
    <m/>
    <m/>
    <n v="4.76"/>
    <m/>
    <n v="-4.2253521127211258E-3"/>
  </r>
  <r>
    <d v="2024-06-30T00:00:00"/>
    <s v="Primetics CHO"/>
    <s v="KEY"/>
    <x v="30"/>
    <s v="DQ24060126"/>
    <n v="1080.52"/>
    <d v="2024-06-04T00:00:00"/>
    <d v="2025-01-03T00:00:00"/>
    <n v="213"/>
    <n v="15.218591549295752"/>
    <n v="15.22"/>
    <m/>
    <m/>
    <m/>
    <m/>
    <m/>
    <m/>
    <m/>
    <m/>
    <m/>
    <m/>
    <m/>
    <n v="15.22"/>
    <m/>
    <n v="-1.4084507042486649E-3"/>
  </r>
  <r>
    <d v="2024-06-30T00:00:00"/>
    <s v="Primetics CHO"/>
    <s v="KEY"/>
    <x v="30"/>
    <s v="DQ24060128"/>
    <n v="871"/>
    <d v="2024-06-11T00:00:00"/>
    <d v="2025-01-03T00:00:00"/>
    <n v="206"/>
    <n v="12.6844660194173"/>
    <n v="12.68"/>
    <m/>
    <m/>
    <m/>
    <m/>
    <m/>
    <m/>
    <m/>
    <m/>
    <m/>
    <m/>
    <m/>
    <n v="12.68"/>
    <m/>
    <n v="4.4660194173005152E-3"/>
  </r>
  <r>
    <d v="2024-07-31T00:00:00"/>
    <s v="Primetics CHO"/>
    <s v="KEY"/>
    <x v="30"/>
    <s v="DQ24070154"/>
    <n v="564.25"/>
    <d v="2024-03-12T00:00:00"/>
    <d v="2025-01-03T00:00:00"/>
    <n v="297"/>
    <n v="5.6994949494950333"/>
    <n v="5.7"/>
    <m/>
    <m/>
    <m/>
    <m/>
    <m/>
    <m/>
    <m/>
    <m/>
    <m/>
    <m/>
    <m/>
    <n v="5.7"/>
    <m/>
    <n v="-5.05050504966853E-4"/>
  </r>
  <r>
    <d v="2024-07-31T00:00:00"/>
    <s v="Primetics CHO"/>
    <s v="KEY"/>
    <x v="30"/>
    <s v="DQ24080164"/>
    <n v="115.39"/>
    <d v="2024-07-30T00:00:00"/>
    <d v="2025-01-03T00:00:00"/>
    <n v="157"/>
    <n v="2.204904458598719"/>
    <n v="2.2000000000000002"/>
    <m/>
    <m/>
    <m/>
    <m/>
    <m/>
    <m/>
    <m/>
    <m/>
    <m/>
    <m/>
    <m/>
    <n v="2.2000000000000002"/>
    <m/>
    <n v="4.9044585987187972E-3"/>
  </r>
  <r>
    <d v="2024-07-31T00:00:00"/>
    <s v="Primetics CHO"/>
    <s v="KEY"/>
    <x v="30"/>
    <s v="DQ24080165"/>
    <n v="150.01"/>
    <d v="2024-07-30T00:00:00"/>
    <d v="2025-01-03T00:00:00"/>
    <n v="157"/>
    <n v="2.8664331210190994"/>
    <n v="2.87"/>
    <m/>
    <m/>
    <m/>
    <m/>
    <m/>
    <m/>
    <m/>
    <m/>
    <m/>
    <m/>
    <m/>
    <n v="2.87"/>
    <m/>
    <n v="-3.5668789809006896E-3"/>
  </r>
  <r>
    <d v="2024-07-31T00:00:00"/>
    <s v="Primetics CHO"/>
    <s v="KEY"/>
    <x v="30"/>
    <s v="DQ24080168"/>
    <n v="91.77"/>
    <d v="2024-07-31T00:00:00"/>
    <d v="2025-01-03T00:00:00"/>
    <n v="156"/>
    <n v="1.1765384615384562"/>
    <n v="1.18"/>
    <m/>
    <m/>
    <m/>
    <m/>
    <m/>
    <m/>
    <m/>
    <m/>
    <m/>
    <m/>
    <m/>
    <n v="1.18"/>
    <m/>
    <n v="-3.4615384615437339E-3"/>
  </r>
  <r>
    <d v="2024-12-31T00:00:00"/>
    <s v="Primetics CHO"/>
    <s v="KEY"/>
    <x v="30"/>
    <s v="DQ24120254"/>
    <n v="253006.75"/>
    <d v="2025-01-05T00:00:00"/>
    <d v="2026-01-04T00:00:00"/>
    <n v="364"/>
    <n v="253006.75"/>
    <n v="18071.910714285714"/>
    <n v="19462.057692307691"/>
    <n v="21547.278159340658"/>
    <n v="20852.204670329669"/>
    <n v="21547.278159340658"/>
    <n v="20852.204670329669"/>
    <n v="21547.278159340658"/>
    <n v="21547.278159340658"/>
    <n v="20852.204670329669"/>
    <n v="21547.278159340658"/>
    <n v="20852.204670329669"/>
    <n v="21547.278159340658"/>
    <n v="250226.45604395604"/>
    <m/>
    <n v="2780.2939560439554"/>
  </r>
  <r>
    <d v="2025-02-28T00:00:00"/>
    <s v="Primetics CHO"/>
    <s v="KEY"/>
    <x v="30"/>
    <s v="DQ25020013"/>
    <n v="360.31"/>
    <d v="2025-02-10T00:00:00"/>
    <d v="2026-01-03T00:00:00"/>
    <n v="327"/>
    <m/>
    <m/>
    <n v="19.833577981651377"/>
    <n v="34.157828746177373"/>
    <n v="33.055963302752296"/>
    <n v="34.157828746177373"/>
    <n v="33.055963302752296"/>
    <n v="34.157828746177373"/>
    <n v="34.157828746177373"/>
    <n v="33.055963302752296"/>
    <n v="34.157828746177373"/>
    <n v="33.055963302752296"/>
    <n v="34.157828746177373"/>
    <n v="357.00440366972475"/>
    <n v="360.31"/>
    <n v="3.3055963302752502"/>
  </r>
  <r>
    <d v="2025-03-31T00:00:00"/>
    <s v="Primetics CHO"/>
    <s v="KEY"/>
    <x v="30"/>
    <s v="DQ25040056"/>
    <n v="254.26"/>
    <d v="2025-03-31T00:00:00"/>
    <d v="2026-01-03T00:00:00"/>
    <n v="278"/>
    <m/>
    <m/>
    <m/>
    <n v="0.91460431654676255"/>
    <n v="27.438129496402876"/>
    <n v="28.352733812949641"/>
    <n v="27.438129496402876"/>
    <n v="28.352733812949641"/>
    <n v="28.352733812949641"/>
    <n v="27.438129496402876"/>
    <n v="28.352733812949641"/>
    <n v="27.438129496402876"/>
    <n v="28.352733812949641"/>
    <n v="252.43079136690648"/>
    <n v="254.26"/>
    <n v="1.8292086330935149"/>
  </r>
  <r>
    <d v="2025-06-30T00:00:00"/>
    <s v="Primetics CHO"/>
    <s v="KEY"/>
    <x v="30"/>
    <s v="DQ25070113"/>
    <n v="377.34"/>
    <d v="2025-06-30T00:00:00"/>
    <d v="2026-01-03T00:00:00"/>
    <n v="187"/>
    <m/>
    <m/>
    <m/>
    <m/>
    <m/>
    <m/>
    <n v="2.0178609625668447"/>
    <n v="62.553689839572186"/>
    <n v="62.553689839572186"/>
    <n v="60.535828877005343"/>
    <n v="62.553689839572186"/>
    <n v="60.535828877005343"/>
    <n v="62.553689839572186"/>
    <n v="373.30427807486632"/>
    <n v="377.34"/>
    <n v="4.0357219251336574"/>
  </r>
  <r>
    <d v="2025-08-31T00:00:00"/>
    <s v="Primetics CHO"/>
    <s v="KEY"/>
    <x v="30"/>
    <s v="DQ25080132"/>
    <n v="371.99"/>
    <d v="2025-08-18T00:00:00"/>
    <d v="2026-01-03T00:00:00"/>
    <n v="138"/>
    <m/>
    <m/>
    <m/>
    <m/>
    <m/>
    <m/>
    <m/>
    <m/>
    <n v="35.042536231884057"/>
    <n v="80.867391304347834"/>
    <n v="83.56297101449276"/>
    <n v="80.867391304347834"/>
    <n v="83.56297101449276"/>
    <n v="363.90326086956526"/>
    <n v="371.99"/>
    <n v="8.0867391304347507"/>
  </r>
  <r>
    <d v="2025-09-30T00:00:00"/>
    <s v="Primetics CHO"/>
    <s v="KEY"/>
    <x v="30"/>
    <s v="DQ25090157"/>
    <n v="284.57"/>
    <d v="2025-09-16T00:00:00"/>
    <d v="2026-01-03T00:00:00"/>
    <n v="109"/>
    <m/>
    <m/>
    <m/>
    <m/>
    <m/>
    <m/>
    <m/>
    <m/>
    <m/>
    <n v="36.550275229357801"/>
    <n v="80.932752293577977"/>
    <n v="78.322018348623857"/>
    <n v="80.932752293577977"/>
    <n v="276.73779816513763"/>
    <n v="284.57"/>
    <n v="7.8322018348623601"/>
  </r>
  <r>
    <d v="2025-09-30T00:00:00"/>
    <s v="Primetics CHO"/>
    <s v="KEY"/>
    <x v="30"/>
    <s v="DQ25090158"/>
    <n v="81.45"/>
    <d v="2025-09-16T00:00:00"/>
    <d v="2026-01-03T00:00:00"/>
    <n v="109"/>
    <m/>
    <m/>
    <m/>
    <m/>
    <m/>
    <m/>
    <m/>
    <m/>
    <m/>
    <n v="10.461467889908256"/>
    <n v="23.164678899082567"/>
    <n v="22.417431192660551"/>
    <n v="23.164678899082567"/>
    <n v="79.208256880733941"/>
    <n v="81.45"/>
    <n v="2.2417431192660615"/>
  </r>
  <r>
    <d v="2025-09-30T00:00:00"/>
    <s v="Primetics CHO"/>
    <s v="KEY"/>
    <x v="30"/>
    <s v="DQ25090159"/>
    <n v="71.63"/>
    <d v="2025-09-16T00:00:00"/>
    <d v="2026-01-03T00:00:00"/>
    <n v="109"/>
    <m/>
    <m/>
    <m/>
    <m/>
    <m/>
    <m/>
    <m/>
    <m/>
    <m/>
    <n v="9.2001834862385312"/>
    <n v="20.37183486238532"/>
    <n v="19.714678899082568"/>
    <n v="20.37183486238532"/>
    <n v="69.658532110091727"/>
    <n v="71.63"/>
    <n v="1.9714678899082685"/>
  </r>
  <r>
    <d v="2025-11-30T00:00:00"/>
    <s v="Primetics CHO"/>
    <s v="KEY"/>
    <x v="30"/>
    <s v="DQ25110187"/>
    <n v="270380.13"/>
    <d v="2026-01-05T00:00:00"/>
    <d v="2027-01-04T00:00:00"/>
    <n v="364"/>
    <m/>
    <m/>
    <m/>
    <m/>
    <m/>
    <m/>
    <m/>
    <m/>
    <m/>
    <m/>
    <m/>
    <m/>
    <m/>
    <n v="0"/>
    <n v="270380.13"/>
    <n v="270380.13"/>
  </r>
  <r>
    <d v="2025-11-30T00:00:00"/>
    <s v="Primetics CHO"/>
    <s v="KEY"/>
    <x v="30"/>
    <s v="DQ25110197"/>
    <n v="66.45"/>
    <d v="2025-11-14T00:00:00"/>
    <d v="2026-01-03T00:00:00"/>
    <n v="50"/>
    <m/>
    <m/>
    <m/>
    <m/>
    <m/>
    <m/>
    <m/>
    <m/>
    <m/>
    <m/>
    <m/>
    <n v="21.263999999999999"/>
    <n v="41.198999999999998"/>
    <n v="62.462999999999994"/>
    <n v="66.45"/>
    <n v="3.987000000000009"/>
  </r>
  <r>
    <d v="2025-11-30T00:00:00"/>
    <s v="Primetics CHO"/>
    <s v="KEY"/>
    <x v="30"/>
    <s v="DQ25110194"/>
    <n v="379.73"/>
    <d v="2025-11-14T00:00:00"/>
    <d v="2026-01-03T00:00:00"/>
    <n v="50"/>
    <m/>
    <m/>
    <m/>
    <m/>
    <m/>
    <m/>
    <m/>
    <m/>
    <m/>
    <m/>
    <m/>
    <n v="121.51360000000001"/>
    <n v="235.43260000000001"/>
    <n v="356.94620000000003"/>
    <n v="379.73"/>
    <n v="22.783799999999985"/>
  </r>
  <r>
    <m/>
    <m/>
    <m/>
    <x v="0"/>
    <m/>
    <m/>
    <m/>
    <m/>
    <m/>
    <m/>
    <m/>
    <m/>
    <m/>
    <m/>
    <m/>
    <m/>
    <m/>
    <m/>
    <m/>
    <m/>
    <m/>
    <m/>
    <m/>
    <m/>
    <m/>
  </r>
  <r>
    <d v="2024-02-28T00:00:00"/>
    <s v="Primetics CHO"/>
    <s v="PRIME"/>
    <x v="31"/>
    <s v="DQ24020037"/>
    <n v="62924.87"/>
    <d v="2024-03-18T00:00:00"/>
    <d v="2025-03-17T00:00:00"/>
    <n v="364"/>
    <n v="13138.159670329682"/>
    <n v="5358.9861813186817"/>
    <n v="4840.3746153846159"/>
    <n v="2938.8"/>
    <m/>
    <m/>
    <m/>
    <m/>
    <m/>
    <m/>
    <m/>
    <m/>
    <m/>
    <n v="13138.160796703298"/>
    <m/>
    <n v="-1.1263736159889959E-3"/>
  </r>
  <r>
    <d v="2025-02-28T00:00:00"/>
    <s v="Primetics CHO"/>
    <s v="PRIME"/>
    <x v="31"/>
    <s v="DQ25020022"/>
    <n v="65474.48"/>
    <d v="2025-03-18T00:00:00"/>
    <d v="2026-03-17T00:00:00"/>
    <n v="364"/>
    <m/>
    <m/>
    <m/>
    <n v="2338.3742857142861"/>
    <n v="5396.2483516483526"/>
    <n v="5576.1232967032975"/>
    <n v="5396.2483516483526"/>
    <n v="5576.1232967032975"/>
    <n v="5576.1232967032975"/>
    <n v="5396.2483516483526"/>
    <n v="5576.1232967032975"/>
    <n v="5396.2483516483526"/>
    <n v="5576.1232967032975"/>
    <n v="51803.984175824196"/>
    <n v="65474.48"/>
    <n v="13670.495824175807"/>
  </r>
  <r>
    <d v="2025-02-28T00:00:00"/>
    <s v="Primetics CHO"/>
    <s v="PRIME"/>
    <x v="31"/>
    <s v="DQ25020026"/>
    <n v="-2549.61"/>
    <d v="2025-03-18T00:00:00"/>
    <d v="2026-03-17T00:00:00"/>
    <n v="364"/>
    <m/>
    <m/>
    <m/>
    <n v="-91.057500000000005"/>
    <n v="-210.13269230769231"/>
    <n v="-217.13711538461538"/>
    <n v="-210.13269230769231"/>
    <n v="-217.13711538461538"/>
    <n v="-217.13711538461538"/>
    <n v="-210.13269230769231"/>
    <n v="-217.13711538461538"/>
    <n v="-210.13269230769231"/>
    <n v="-217.13711538461538"/>
    <n v="-2017.2738461538461"/>
    <n v="-2549.61"/>
    <n v="-532.33615384615405"/>
  </r>
  <r>
    <m/>
    <m/>
    <m/>
    <x v="0"/>
    <m/>
    <m/>
    <m/>
    <m/>
    <m/>
    <m/>
    <m/>
    <m/>
    <m/>
    <m/>
    <m/>
    <m/>
    <m/>
    <m/>
    <m/>
    <m/>
    <m/>
    <m/>
    <m/>
    <m/>
    <m/>
  </r>
  <r>
    <d v="2024-05-31T00:00:00"/>
    <s v="Primetics GEN NA"/>
    <s v="SEED"/>
    <x v="32"/>
    <s v="DQ24050113"/>
    <n v="457259.61"/>
    <d v="2024-06-01T00:00:00"/>
    <d v="2025-05-31T00:00:00"/>
    <n v="364"/>
    <n v="188431.15796703298"/>
    <n v="38942.439313186813"/>
    <n v="35173.816153846157"/>
    <n v="38942.439313186813"/>
    <n v="37686.231593406592"/>
    <n v="37686.230000000003"/>
    <m/>
    <m/>
    <m/>
    <m/>
    <m/>
    <m/>
    <m/>
    <n v="188431.15637362638"/>
    <m/>
    <n v="1.5934066032059491E-3"/>
  </r>
  <r>
    <d v="2024-10-31T00:00:00"/>
    <s v="Primetics GEN NA"/>
    <s v="SEED"/>
    <x v="32"/>
    <s v="DQ24100216"/>
    <n v="156.54"/>
    <d v="2024-10-24T00:00:00"/>
    <d v="2025-05-30T00:00:00"/>
    <n v="218"/>
    <n v="107.71100917431193"/>
    <n v="22.260275229357799"/>
    <n v="20.10605504587156"/>
    <n v="22.260275229357799"/>
    <n v="21.542201834862386"/>
    <n v="21.54"/>
    <m/>
    <m/>
    <m/>
    <m/>
    <m/>
    <m/>
    <m/>
    <n v="107.70880733944955"/>
    <m/>
    <n v="2.2018348623760176E-3"/>
  </r>
  <r>
    <d v="2024-10-31T00:00:00"/>
    <s v="Primetics GEN NA"/>
    <s v="SEED"/>
    <x v="32"/>
    <s v="DQ24100217"/>
    <n v="199.64"/>
    <d v="2024-10-24T00:00:00"/>
    <d v="2025-05-30T00:00:00"/>
    <n v="218"/>
    <n v="137.36697247706422"/>
    <n v="28.389174311926602"/>
    <n v="25.64183486238532"/>
    <n v="28.389174311926602"/>
    <n v="27.47339449541284"/>
    <n v="27.47"/>
    <m/>
    <m/>
    <m/>
    <m/>
    <m/>
    <m/>
    <m/>
    <n v="137.36357798165136"/>
    <m/>
    <n v="3.3944954128628524E-3"/>
  </r>
  <r>
    <d v="2024-10-31T00:00:00"/>
    <s v="Primetics GEN NA"/>
    <s v="SEED"/>
    <x v="32"/>
    <s v="DQ24100218"/>
    <n v="233.73"/>
    <d v="2024-10-24T00:00:00"/>
    <d v="2025-05-30T00:00:00"/>
    <n v="218"/>
    <n v="160.82339449541286"/>
    <n v="33.236834862385315"/>
    <n v="30.020366972477063"/>
    <n v="33.236834862385315"/>
    <n v="32.164678899082567"/>
    <n v="32.159999999999997"/>
    <m/>
    <m/>
    <m/>
    <m/>
    <m/>
    <m/>
    <m/>
    <n v="160.81871559633026"/>
    <m/>
    <n v="4.6788990825916699E-3"/>
  </r>
  <r>
    <d v="2024-10-31T00:00:00"/>
    <s v="Primetics GEN NA"/>
    <s v="SEED"/>
    <x v="32"/>
    <s v="DQ24100219"/>
    <n v="179.79"/>
    <d v="2024-10-24T00:00:00"/>
    <d v="2025-05-30T00:00:00"/>
    <n v="218"/>
    <n v="123.70871559633026"/>
    <n v="25.566467889908257"/>
    <n v="23.09229357798165"/>
    <n v="25.566467889908257"/>
    <n v="24.741743119266054"/>
    <n v="24.74"/>
    <m/>
    <m/>
    <m/>
    <m/>
    <m/>
    <m/>
    <m/>
    <n v="123.70697247706421"/>
    <m/>
    <n v="1.7431192660524175E-3"/>
  </r>
  <r>
    <d v="2024-10-31T00:00:00"/>
    <s v="Primetics GEN NA"/>
    <s v="SEED"/>
    <x v="32"/>
    <s v="DQ24100221"/>
    <n v="232.67"/>
    <d v="2024-10-25T00:00:00"/>
    <d v="2025-05-30T00:00:00"/>
    <n v="217"/>
    <n v="160.83179723502303"/>
    <n v="33.238571428571426"/>
    <n v="30.021935483870969"/>
    <n v="33.238571428571426"/>
    <n v="32.166359447004609"/>
    <n v="32.17"/>
    <m/>
    <m/>
    <m/>
    <m/>
    <m/>
    <m/>
    <m/>
    <n v="160.83543778801845"/>
    <m/>
    <n v="-3.640552995420876E-3"/>
  </r>
  <r>
    <d v="2024-12-31T00:00:00"/>
    <s v="Primetics GEN NA"/>
    <s v="SEED"/>
    <x v="32"/>
    <s v="DQ24120266"/>
    <n v="204.77"/>
    <d v="2024-12-18T00:00:00"/>
    <d v="2025-05-30T00:00:00"/>
    <n v="163"/>
    <n v="188.43865030674849"/>
    <n v="38.943987730061352"/>
    <n v="35.175214723926381"/>
    <n v="38.943987730061352"/>
    <n v="37.687730061349697"/>
    <n v="37.69"/>
    <m/>
    <m/>
    <m/>
    <m/>
    <m/>
    <m/>
    <m/>
    <n v="188.44092024539879"/>
    <m/>
    <n v="-2.2699386503006735E-3"/>
  </r>
  <r>
    <d v="2024-12-31T00:00:00"/>
    <s v="Primetics GEN NA"/>
    <s v="SEED"/>
    <x v="32"/>
    <s v="DQ24110247"/>
    <n v="210"/>
    <d v="2024-11-27T00:00:00"/>
    <d v="2025-05-30T00:00:00"/>
    <n v="184"/>
    <n v="171.19565217391306"/>
    <n v="35.380434782608695"/>
    <n v="31.956521739130434"/>
    <n v="35.380434782608695"/>
    <n v="34.239130434782609"/>
    <n v="34.24"/>
    <m/>
    <m/>
    <m/>
    <m/>
    <m/>
    <m/>
    <m/>
    <n v="171.19652173913045"/>
    <m/>
    <n v="-8.6956521738557058E-4"/>
  </r>
  <r>
    <d v="2025-04-30T00:00:00"/>
    <s v="Primetics GEN NA"/>
    <s v="SEED"/>
    <x v="32"/>
    <s v="DQ25040061"/>
    <n v="209.88"/>
    <d v="2025-04-14T00:00:00"/>
    <d v="2025-05-30T00:00:00"/>
    <n v="46"/>
    <m/>
    <m/>
    <m/>
    <m/>
    <n v="73.001739130434785"/>
    <n v="136.88"/>
    <m/>
    <m/>
    <m/>
    <m/>
    <m/>
    <m/>
    <m/>
    <n v="209.88173913043477"/>
    <n v="209.88"/>
    <n v="-1.7391304347711412E-3"/>
  </r>
  <r>
    <d v="2025-05-31T00:00:00"/>
    <s v="Primetics GEN NA"/>
    <s v="SEED"/>
    <x v="32"/>
    <s v="DQ25050083"/>
    <n v="454902.14"/>
    <d v="2025-06-01T00:00:00"/>
    <d v="2026-05-31T00:00:00"/>
    <n v="364"/>
    <m/>
    <m/>
    <m/>
    <m/>
    <m/>
    <m/>
    <n v="37491.934615384613"/>
    <n v="38741.665769230771"/>
    <n v="38741.665769230771"/>
    <n v="37491.934615384613"/>
    <n v="38741.665769230771"/>
    <n v="37491.934615384613"/>
    <n v="38741.665769230771"/>
    <n v="267442.46692307695"/>
    <n v="454902.14"/>
    <n v="187459.67307692306"/>
  </r>
  <r>
    <d v="2025-06-30T00:00:00"/>
    <s v="Primetics GEN NA"/>
    <s v="SEED"/>
    <x v="32"/>
    <s v="DQ25060106"/>
    <n v="851.23"/>
    <d v="2025-06-25T00:00:00"/>
    <d v="2026-05-30T00:00:00"/>
    <n v="339"/>
    <m/>
    <m/>
    <m/>
    <m/>
    <m/>
    <m/>
    <n v="12.555014749262536"/>
    <n v="77.841091445427722"/>
    <n v="77.841091445427722"/>
    <n v="75.330088495575211"/>
    <n v="77.841091445427722"/>
    <n v="75.330088495575211"/>
    <n v="77.841091445427722"/>
    <n v="474.57955752212382"/>
    <n v="851.23"/>
    <n v="376.6504424778762"/>
  </r>
  <r>
    <d v="2025-08-31T00:00:00"/>
    <s v="Primetics GEN NA"/>
    <s v="SEED"/>
    <x v="32"/>
    <s v="DQ25080136"/>
    <n v="287.31"/>
    <d v="2025-08-22T00:00:00"/>
    <d v="2026-05-30T00:00:00"/>
    <n v="281"/>
    <m/>
    <m/>
    <m/>
    <m/>
    <m/>
    <m/>
    <m/>
    <m/>
    <m/>
    <n v="39.875765124555159"/>
    <n v="31.69612099644128"/>
    <n v="30.673665480427044"/>
    <n v="31.69612099644128"/>
    <n v="133.94167259786477"/>
    <n v="287.31"/>
    <n v="153.36832740213524"/>
  </r>
  <r>
    <m/>
    <m/>
    <m/>
    <x v="0"/>
    <m/>
    <m/>
    <m/>
    <m/>
    <m/>
    <m/>
    <m/>
    <m/>
    <m/>
    <m/>
    <m/>
    <m/>
    <m/>
    <m/>
    <m/>
    <m/>
    <m/>
    <m/>
    <m/>
    <m/>
    <m/>
  </r>
  <r>
    <d v="2023-06-30T00:00:00"/>
    <s v="Methven"/>
    <s v="KIT"/>
    <x v="33"/>
    <s v="DQ23060165"/>
    <n v="7350.34"/>
    <d v="2023-06-23T00:00:00"/>
    <d v="2025-03-30T00:00:00"/>
    <n v="646"/>
    <n v="1024.0411764705877"/>
    <n v="352.72529411764708"/>
    <n v="318.59058823529415"/>
    <n v="352.73"/>
    <m/>
    <m/>
    <m/>
    <m/>
    <m/>
    <m/>
    <m/>
    <m/>
    <m/>
    <n v="1024.0458823529411"/>
    <m/>
    <n v="-4.7058823533916438E-3"/>
  </r>
  <r>
    <d v="2023-12-31T00:00:00"/>
    <s v="Primetics CHO"/>
    <s v="KEY"/>
    <x v="33"/>
    <s v="DQ23120300"/>
    <n v="25371.41"/>
    <d v="2024-01-22T00:00:00"/>
    <d v="2025-01-21T00:00:00"/>
    <n v="365"/>
    <n v="1529.2356712328765"/>
    <n v="1529.24"/>
    <m/>
    <m/>
    <m/>
    <m/>
    <m/>
    <m/>
    <m/>
    <m/>
    <m/>
    <m/>
    <m/>
    <n v="1529.24"/>
    <m/>
    <n v="-4.3287671235248126E-3"/>
  </r>
  <r>
    <d v="2024-02-29T00:00:00"/>
    <s v="Methven"/>
    <s v="KIT"/>
    <x v="33"/>
    <s v="DQ24020034"/>
    <n v="23608.23"/>
    <d v="2024-04-01T00:00:00"/>
    <d v="2025-03-31T00:00:00"/>
    <n v="364"/>
    <n v="5772.3419505494494"/>
    <n v="2010.5910164835163"/>
    <n v="1816.0176923076922"/>
    <n v="1945.73"/>
    <m/>
    <m/>
    <m/>
    <m/>
    <m/>
    <m/>
    <m/>
    <m/>
    <m/>
    <n v="5772.3387087912088"/>
    <m/>
    <n v="3.2417582406196743E-3"/>
  </r>
  <r>
    <d v="2024-03-31T00:00:00"/>
    <s v="Primetics CHO"/>
    <s v="KEY"/>
    <x v="33"/>
    <s v="DQ24030065"/>
    <n v="293.97000000000003"/>
    <d v="2024-03-08T00:00:00"/>
    <d v="2025-01-31T00:00:00"/>
    <n v="329"/>
    <n v="27.699300911854152"/>
    <n v="27.7"/>
    <m/>
    <m/>
    <m/>
    <m/>
    <m/>
    <m/>
    <m/>
    <m/>
    <m/>
    <m/>
    <m/>
    <n v="27.7"/>
    <m/>
    <n v="-6.9908814584707102E-4"/>
  </r>
  <r>
    <d v="2024-08-31T00:00:00"/>
    <s v="Primetics CHO"/>
    <s v="KEY"/>
    <x v="33"/>
    <s v="DQ24080179"/>
    <n v="4242.3599999999997"/>
    <d v="2024-08-29T00:00:00"/>
    <d v="2025-03-30T00:00:00"/>
    <n v="213"/>
    <n v="1772.6292957746477"/>
    <n v="617.43267605633798"/>
    <n v="557.6811267605633"/>
    <n v="597.52"/>
    <m/>
    <m/>
    <m/>
    <m/>
    <m/>
    <m/>
    <m/>
    <m/>
    <m/>
    <n v="1772.6338028169012"/>
    <m/>
    <n v="-4.5070422534081445E-3"/>
  </r>
  <r>
    <d v="2024-12-31T00:00:00"/>
    <s v="Primetics CHO"/>
    <s v="KEY"/>
    <x v="33"/>
    <s v="DQ24120263"/>
    <n v="26357.96"/>
    <d v="2025-01-22T00:00:00"/>
    <d v="2026-01-21T00:00:00"/>
    <n v="364"/>
    <n v="26357.96"/>
    <n v="651.70780219780215"/>
    <n v="2027.5353846153844"/>
    <n v="2244.7713186813185"/>
    <n v="2172.3593406593404"/>
    <n v="2244.7713186813185"/>
    <n v="2172.3593406593404"/>
    <n v="2244.7713186813185"/>
    <n v="2244.7713186813185"/>
    <n v="2172.3593406593404"/>
    <n v="2244.7713186813185"/>
    <n v="2172.3593406593404"/>
    <n v="2244.7713186813185"/>
    <n v="24837.308461538458"/>
    <m/>
    <n v="1520.6515384615413"/>
  </r>
  <r>
    <d v="2025-03-31T00:00:00"/>
    <s v="Primetics CHO"/>
    <s v="KEY"/>
    <x v="33"/>
    <s v="DQ25030047"/>
    <n v="31913.16"/>
    <d v="2025-04-01T00:00:00"/>
    <d v="2026-03-31T00:00:00"/>
    <n v="364"/>
    <m/>
    <m/>
    <m/>
    <m/>
    <n v="2630.2054945054942"/>
    <n v="2717.879010989011"/>
    <n v="2630.2054945054942"/>
    <n v="2717.879010989011"/>
    <n v="2717.879010989011"/>
    <n v="2630.2054945054942"/>
    <n v="2717.879010989011"/>
    <n v="2630.2054945054942"/>
    <n v="2717.879010989011"/>
    <n v="24110.217032967033"/>
    <n v="31913.16"/>
    <n v="7802.942967032966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m/>
    <m/>
    <m/>
    <m/>
    <x v="0"/>
    <m/>
    <m/>
    <m/>
    <m/>
    <m/>
    <m/>
    <m/>
    <n v="31"/>
    <n v="29"/>
    <n v="31"/>
    <n v="30"/>
    <n v="31"/>
    <n v="30"/>
    <n v="31"/>
    <n v="31"/>
    <n v="30"/>
    <n v="31"/>
    <n v="30"/>
    <n v="31"/>
    <m/>
    <m/>
    <m/>
  </r>
  <r>
    <d v="2023-12-31T00:00:00"/>
    <s v="Revenue"/>
    <s v="Primetics GEN NA"/>
    <s v="SEED"/>
    <x v="1"/>
    <s v="DQ23120304"/>
    <s v="Annual Open Accounts Maintenance"/>
    <n v="4492.46"/>
    <d v="2024-01-31T00:00:00"/>
    <d v="2025-01-30T00:00:00"/>
    <n v="365"/>
    <n v="356.93517808219167"/>
    <n v="356.94"/>
    <m/>
    <m/>
    <m/>
    <m/>
    <m/>
    <m/>
    <m/>
    <m/>
    <m/>
    <m/>
    <m/>
    <n v="356.94"/>
    <m/>
    <n v="-4.8219178083286351E-3"/>
  </r>
  <r>
    <d v="2024-12-31T00:00:00"/>
    <s v="Revenue"/>
    <s v="Primetics GEN NA"/>
    <s v="SEED"/>
    <x v="1"/>
    <s v="DQ24120264"/>
    <s v="Annual Open Accounts Maintenance"/>
    <n v="4654.1899999999996"/>
    <d v="2025-01-31T00:00:00"/>
    <d v="2026-01-30T00:00:00"/>
    <n v="364"/>
    <n v="4654.1899999999996"/>
    <n v="12.786236263736262"/>
    <n v="370.80085164835157"/>
    <n v="396.37332417582411"/>
    <n v="383.58708791208784"/>
    <n v="396.37332417582411"/>
    <n v="383.58708791208784"/>
    <n v="396.37332417582411"/>
    <n v="396.37332417582411"/>
    <n v="383.58708791208784"/>
    <n v="396.37332417582411"/>
    <n v="383.58708791208784"/>
    <n v="396.37332417582411"/>
    <n v="4296.1753846153842"/>
    <m/>
    <n v="358.01461538461535"/>
  </r>
  <r>
    <d v="2024-08-31T00:00:00"/>
    <s v="Revenue"/>
    <s v="Primetics GEN NA"/>
    <s v="SEED"/>
    <x v="1"/>
    <s v="DQ24080169"/>
    <s v="Annual Progress Maintenance"/>
    <n v="7398.16"/>
    <d v="2024-09-26T00:00:00"/>
    <d v="2025-09-25T00:00:00"/>
    <n v="364"/>
    <n v="5446.9969230769229"/>
    <n v="630.06307692307689"/>
    <n v="589.41384615384618"/>
    <n v="630.06307692307689"/>
    <n v="609.73846153846148"/>
    <n v="630.06307692307689"/>
    <n v="609.73846153846148"/>
    <n v="630.06307692307689"/>
    <n v="630.06307692307689"/>
    <n v="487.79"/>
    <m/>
    <m/>
    <m/>
    <n v="5446.996153846153"/>
    <m/>
    <n v="7.6923076994717121E-4"/>
  </r>
  <r>
    <d v="2025-08-31T00:00:00"/>
    <s v="Revenue"/>
    <s v="Primetics GEN NA"/>
    <s v="SEED"/>
    <x v="1"/>
    <s v="DQ25080133"/>
    <s v="Annual Progress Maintenance"/>
    <n v="7753.27"/>
    <d v="2025-09-26T00:00:00"/>
    <d v="2026-09-25T00:00:00"/>
    <n v="364"/>
    <m/>
    <m/>
    <m/>
    <m/>
    <m/>
    <m/>
    <m/>
    <m/>
    <m/>
    <n v="85.200769230769239"/>
    <n v="660.30596153846159"/>
    <n v="639.00576923076926"/>
    <n v="660.30596153846159"/>
    <n v="2044.8184615384616"/>
    <n v="7753.27"/>
    <n v="5708.4515384615388"/>
  </r>
  <r>
    <d v="2024-12-31T00:00:00"/>
    <s v="Revenue"/>
    <s v="Primetics GEN NA"/>
    <s v="SEED"/>
    <x v="2"/>
    <s v="DQ24120256"/>
    <s v="Annual Progress Maintenance"/>
    <n v="4420.5600000000004"/>
    <d v="2025-01-22T00:00:00"/>
    <d v="2026-01-21T00:00:00"/>
    <n v="364"/>
    <n v="4420.5600000000004"/>
    <n v="109.29956043956045"/>
    <n v="352.18747252747255"/>
    <n v="376.47626373626377"/>
    <n v="364.33186813186813"/>
    <n v="376.47626373626377"/>
    <n v="364.33186813186813"/>
    <n v="376.47626373626377"/>
    <n v="376.47626373626377"/>
    <n v="364.33186813186813"/>
    <n v="376.47626373626377"/>
    <n v="364.33186813186813"/>
    <n v="376.47626373626377"/>
    <n v="4177.6720879120885"/>
    <m/>
    <n v="242.8879120879119"/>
  </r>
  <r>
    <d v="2023-12-31T00:00:00"/>
    <s v="Revenue"/>
    <s v="Primetics GEN NA"/>
    <s v="SEED"/>
    <x v="2"/>
    <s v="DQ23120305"/>
    <s v="Annual Progress Maintenance"/>
    <n v="5437.82"/>
    <d v="2024-01-22T00:00:00"/>
    <d v="2025-01-22T00:00:00"/>
    <n v="366"/>
    <n v="326.86349726775916"/>
    <n v="326.86"/>
    <m/>
    <m/>
    <m/>
    <m/>
    <m/>
    <m/>
    <m/>
    <m/>
    <m/>
    <m/>
    <m/>
    <n v="326.86"/>
    <m/>
    <n v="3.4972677591440515E-3"/>
  </r>
  <r>
    <d v="2025-12-31T00:00:00"/>
    <s v="Revenue"/>
    <s v="Primetics GEN NA"/>
    <s v="SEED"/>
    <x v="2"/>
    <s v="DQ25120199"/>
    <s v="Annual Progress Maintenance"/>
    <n v="4100.79"/>
    <d v="2026-01-22T00:00:00"/>
    <d v="2027-01-21T00:00:00"/>
    <n v="364"/>
    <m/>
    <m/>
    <m/>
    <m/>
    <m/>
    <m/>
    <m/>
    <m/>
    <m/>
    <m/>
    <m/>
    <m/>
    <m/>
    <n v="0"/>
    <n v="4100.79"/>
    <n v="4100.79"/>
  </r>
  <r>
    <d v="2024-09-30T00:00:00"/>
    <s v="Revenue"/>
    <s v="PRTH"/>
    <s v="KIT"/>
    <x v="3"/>
    <s v="DQ24090187"/>
    <s v="Annual Microsoft GP Maintenanc"/>
    <n v="14772.04"/>
    <d v="2024-10-01T00:00:00"/>
    <d v="2025-09-30T00:00:00"/>
    <n v="364"/>
    <n v="11038.447472527474"/>
    <n v="1258.0583516483516"/>
    <n v="1176.8932967032968"/>
    <n v="1258.0583516483516"/>
    <n v="1217.4758241758243"/>
    <n v="1258.0583516483516"/>
    <n v="1217.4758241758243"/>
    <n v="1258.0583516483516"/>
    <n v="1258.0583516483516"/>
    <n v="1136.31"/>
    <m/>
    <m/>
    <m/>
    <n v="11038.446703296702"/>
    <m/>
    <n v="7.6923077176616061E-4"/>
  </r>
  <r>
    <d v="2025-09-30T00:00:00"/>
    <s v="Revenue"/>
    <s v="PRTH"/>
    <s v="KIT"/>
    <x v="3"/>
    <s v="DQ25090144"/>
    <s v="Annual Microsoft GP Maintenanc"/>
    <n v="15481.1"/>
    <d v="2025-10-01T00:00:00"/>
    <d v="2026-09-30T00:00:00"/>
    <n v="364"/>
    <m/>
    <m/>
    <m/>
    <m/>
    <m/>
    <m/>
    <m/>
    <m/>
    <m/>
    <m/>
    <n v="1318.4453296703298"/>
    <n v="1275.9148351648353"/>
    <n v="1318.4453296703298"/>
    <n v="3912.8054945054946"/>
    <n v="15481.1"/>
    <n v="11568.294505494505"/>
  </r>
  <r>
    <d v="2025-09-30T00:00:00"/>
    <s v="Revenue"/>
    <s v="Primetics GEN NA"/>
    <s v="SEED"/>
    <x v="4"/>
    <s v="DQ25090153-1"/>
    <s v="Annual Progress Maintenance"/>
    <n v="1559.99"/>
    <d v="2025-07-31T00:00:00"/>
    <d v="2026-07-30T00:00:00"/>
    <n v="364"/>
    <m/>
    <m/>
    <m/>
    <m/>
    <m/>
    <m/>
    <m/>
    <m/>
    <m/>
    <m/>
    <m/>
    <m/>
    <m/>
    <n v="0"/>
    <n v="1559.99"/>
    <n v="1559.99"/>
  </r>
  <r>
    <d v="2025-09-30T00:00:00"/>
    <s v="Revenue"/>
    <s v="Primetics GEN NA"/>
    <s v="SEED"/>
    <x v="4"/>
    <s v="DQ25090153-2"/>
    <s v="Annual Progress Maintenance"/>
    <n v="288.88"/>
    <d v="2025-07-31T00:00:00"/>
    <d v="2026-07-30T00:00:00"/>
    <n v="364"/>
    <m/>
    <m/>
    <m/>
    <m/>
    <m/>
    <m/>
    <m/>
    <m/>
    <m/>
    <m/>
    <m/>
    <m/>
    <m/>
    <n v="0"/>
    <n v="288.88"/>
    <n v="288.88"/>
  </r>
  <r>
    <d v="2024-07-31T00:00:00"/>
    <s v="Revenue"/>
    <s v="PRTH"/>
    <s v="KIT"/>
    <x v="5"/>
    <s v="DQ24070155"/>
    <s v="Annual NCC Deposit"/>
    <n v="1835"/>
    <d v="2024-07-01T00:00:00"/>
    <d v="2025-06-30T00:00:00"/>
    <n v="365"/>
    <n v="909.95890410958896"/>
    <n v="155.84931506849315"/>
    <n v="145.79452054794521"/>
    <n v="155.84931506849315"/>
    <n v="150.82191780821918"/>
    <n v="155.84931506849315"/>
    <n v="145.79"/>
    <m/>
    <m/>
    <m/>
    <m/>
    <m/>
    <m/>
    <n v="909.95438356164379"/>
    <m/>
    <n v="4.5205479451624342E-3"/>
  </r>
  <r>
    <d v="2024-04-30T00:00:00"/>
    <s v="Revenue"/>
    <s v="Primetics GEN NA"/>
    <s v="SEED"/>
    <x v="6"/>
    <s v="DQ24040087"/>
    <s v="Annual Progress Maintenance"/>
    <n v="194.83"/>
    <d v="2024-05-14T00:00:00"/>
    <d v="2025-05-13T00:00:00"/>
    <n v="364"/>
    <n v="71.187884615384604"/>
    <n v="16.592664835164836"/>
    <n v="15.522170329670331"/>
    <n v="16.592664835164836"/>
    <n v="16.057417582417585"/>
    <n v="6.42"/>
    <m/>
    <m/>
    <m/>
    <m/>
    <m/>
    <m/>
    <m/>
    <n v="71.184917582417597"/>
    <m/>
    <n v="2.967032967006844E-3"/>
  </r>
  <r>
    <d v="2024-03-31T00:00:00"/>
    <s v="Revenue"/>
    <s v="Primetics GEN NA"/>
    <s v="SEED"/>
    <x v="6"/>
    <s v="DQ24030078"/>
    <s v="Annual Microsoft GP Maintenance "/>
    <n v="2850.93"/>
    <d v="2024-04-08T00:00:00"/>
    <d v="2025-04-08T00:00:00"/>
    <n v="365"/>
    <n v="765.45895890410975"/>
    <n v="242.13378082191781"/>
    <n v="226.51224657534246"/>
    <n v="242.13378082191781"/>
    <n v="54.68"/>
    <m/>
    <m/>
    <m/>
    <m/>
    <m/>
    <m/>
    <m/>
    <m/>
    <n v="765.45980821917794"/>
    <m/>
    <n v="-8.4931506819430069E-4"/>
  </r>
  <r>
    <d v="2025-04-30T00:00:00"/>
    <s v="Revenue"/>
    <s v="Primetics GEN NA"/>
    <s v="SEED"/>
    <x v="6"/>
    <s v="DQ25040057"/>
    <s v="Annual Progress Maintenance"/>
    <n v="66.180000000000007"/>
    <d v="2025-05-14T00:00:00"/>
    <d v="2026-05-13T00:00:00"/>
    <n v="365"/>
    <m/>
    <m/>
    <m/>
    <m/>
    <m/>
    <n v="3.0823561643835622"/>
    <n v="5.4394520547945211"/>
    <n v="5.6207671232876724"/>
    <n v="5.6207671232876724"/>
    <n v="5.4394520547945211"/>
    <n v="5.6207671232876724"/>
    <n v="5.4394520547945211"/>
    <n v="5.6207671232876724"/>
    <n v="41.883780821917817"/>
    <n v="66.180000000000007"/>
    <n v="24.29621917808219"/>
  </r>
  <r>
    <d v="2025-06-30T00:00:00"/>
    <s v="Revenue"/>
    <s v="Primetics GEN NA"/>
    <s v="SEED"/>
    <x v="6"/>
    <s v="DQ25060095"/>
    <s v="Annual Microsoft GP Maintenance "/>
    <n v="2414.4"/>
    <d v="2025-04-09T00:00:00"/>
    <d v="2026-04-08T00:00:00"/>
    <n v="365"/>
    <m/>
    <m/>
    <m/>
    <m/>
    <m/>
    <m/>
    <n v="542.41315068493145"/>
    <n v="205.0586301369863"/>
    <n v="205.0586301369863"/>
    <n v="198.44383561643835"/>
    <n v="205.0586301369863"/>
    <n v="198.44383561643835"/>
    <n v="205.0586301369863"/>
    <n v="1759.535342465753"/>
    <n v="2414.4"/>
    <n v="654.86465753424704"/>
  </r>
  <r>
    <d v="2024-11-30T00:00:00"/>
    <s v="Revenue"/>
    <s v="PRTH"/>
    <s v="KIT"/>
    <x v="7"/>
    <s v="DQ24110238"/>
    <s v="Annual Microsoft GP Maintenance"/>
    <n v="9944.56"/>
    <d v="2024-11-28T00:00:00"/>
    <d v="2025-11-27T00:00:00"/>
    <n v="364"/>
    <n v="9042.992747252747"/>
    <n v="846.92681318681321"/>
    <n v="792.28637362637357"/>
    <n v="846.92681318681321"/>
    <n v="819.60659340659345"/>
    <n v="846.92681318681321"/>
    <n v="819.60659340659345"/>
    <n v="846.92681318681321"/>
    <n v="846.92681318681321"/>
    <n v="819.60659340659345"/>
    <n v="846.92681318681321"/>
    <n v="710.33"/>
    <m/>
    <n v="9042.9970329670341"/>
    <m/>
    <n v="-4.2857142871071119E-3"/>
  </r>
  <r>
    <d v="2025-10-31T00:00:00"/>
    <s v="Revenue"/>
    <s v="PRTH"/>
    <s v="KIT"/>
    <x v="7"/>
    <s v="DQ25100172"/>
    <s v="Annual Microsoft GP Maintenance"/>
    <n v="10402.01"/>
    <d v="2025-11-28T00:00:00"/>
    <d v="2026-11-27T00:00:00"/>
    <n v="364"/>
    <m/>
    <m/>
    <m/>
    <m/>
    <m/>
    <m/>
    <m/>
    <m/>
    <m/>
    <m/>
    <m/>
    <n v="57.153901098901102"/>
    <n v="885.88546703296709"/>
    <n v="943.03936813186817"/>
    <n v="10402.01"/>
    <n v="9458.9706318681328"/>
  </r>
  <r>
    <d v="2024-06-30T00:00:00"/>
    <s v="Revenue"/>
    <s v="PRTH"/>
    <s v="KIT"/>
    <x v="8"/>
    <s v="DQ24060142"/>
    <s v="Annual Microsoft GP Maintenance "/>
    <n v="1790.38"/>
    <d v="2024-06-28T00:00:00"/>
    <d v="2025-06-28T00:00:00"/>
    <n v="365"/>
    <n v="878.02197260273965"/>
    <n v="152.05967123287672"/>
    <n v="142.2493698630137"/>
    <n v="152.05967123287672"/>
    <n v="147.1545205479452"/>
    <n v="152.05967123287672"/>
    <n v="132.44"/>
    <m/>
    <m/>
    <m/>
    <m/>
    <m/>
    <m/>
    <n v="878.02290410958904"/>
    <m/>
    <n v="-9.3150684938336781E-4"/>
  </r>
  <r>
    <d v="2025-06-30T00:00:00"/>
    <s v="Revenue"/>
    <s v="PRTH"/>
    <s v="KIT"/>
    <x v="8"/>
    <s v="DQ25070112"/>
    <s v="Annual Microsoft GP Maintenance "/>
    <n v="1867.37"/>
    <d v="2025-06-28T00:00:00"/>
    <d v="2026-06-28T00:00:00"/>
    <n v="365"/>
    <m/>
    <m/>
    <m/>
    <m/>
    <m/>
    <m/>
    <n v="10.232164383561644"/>
    <n v="158.59854794520547"/>
    <n v="158.59854794520547"/>
    <n v="153.48246575342466"/>
    <n v="158.59854794520547"/>
    <n v="153.48246575342466"/>
    <n v="158.59854794520547"/>
    <n v="951.59128767123286"/>
    <n v="1867.37"/>
    <n v="915.77871232876703"/>
  </r>
  <r>
    <d v="2024-06-30T00:00:00"/>
    <s v="Revenue"/>
    <s v="PRTH"/>
    <s v="KIT"/>
    <x v="9"/>
    <s v="DQ24060141"/>
    <s v="Annual Microsoft GP Maintenance"/>
    <n v="12478.08"/>
    <d v="2024-06-07T00:00:00"/>
    <d v="2025-06-06T00:00:00"/>
    <n v="364"/>
    <n v="5382.029010989012"/>
    <n v="1062.6936263736263"/>
    <n v="994.13274725274732"/>
    <n v="1062.6936263736263"/>
    <n v="1028.4131868131867"/>
    <n v="1062.6936263736263"/>
    <n v="171.4"/>
    <m/>
    <m/>
    <m/>
    <m/>
    <m/>
    <m/>
    <n v="5382.0268131868124"/>
    <m/>
    <n v="2.197802199589205E-3"/>
  </r>
  <r>
    <d v="2025-07-31T00:00:00"/>
    <s v="Revenue"/>
    <s v="PRTH"/>
    <s v="KIT"/>
    <x v="9"/>
    <s v="DQ25080127"/>
    <s v="Annual Microsoft GP Maintenance"/>
    <n v="13027.12"/>
    <d v="2025-06-07T00:00:00"/>
    <d v="2026-06-06T00:00:00"/>
    <n v="364"/>
    <m/>
    <m/>
    <m/>
    <m/>
    <m/>
    <m/>
    <m/>
    <n v="1932.5947252747253"/>
    <n v="1109.4525274725274"/>
    <n v="1073.6637362637364"/>
    <n v="1109.4525274725274"/>
    <n v="1073.6637362637364"/>
    <n v="1109.4525274725274"/>
    <n v="7408.2797802197811"/>
    <n v="13027.12"/>
    <n v="5618.8402197802197"/>
  </r>
  <r>
    <d v="2024-11-30T00:00:00"/>
    <s v="Revenue"/>
    <s v="PRTH"/>
    <s v="KIT"/>
    <x v="10"/>
    <s v="DQ24110237"/>
    <s v="Annual Microsoft GP &amp; Encore Maintenance"/>
    <n v="7281.23"/>
    <d v="2024-11-11T00:00:00"/>
    <d v="2025-11-10T00:00:00"/>
    <n v="364"/>
    <n v="6281.0610439560432"/>
    <n v="620.10475274725275"/>
    <n v="580.09799450549451"/>
    <n v="620.10475274725275"/>
    <n v="600.10137362637363"/>
    <n v="620.10475274725275"/>
    <n v="600.10137362637363"/>
    <n v="620.10475274725275"/>
    <n v="620.10475274725275"/>
    <n v="600.10137362637363"/>
    <n v="620.10475274725275"/>
    <n v="180.03"/>
    <m/>
    <n v="6281.0606318681321"/>
    <m/>
    <n v="4.1208791117242072E-4"/>
  </r>
  <r>
    <d v="2025-10-31T00:00:00"/>
    <s v="Revenue"/>
    <s v="PRTH"/>
    <s v="KIT"/>
    <x v="10"/>
    <s v="DQ25100173"/>
    <s v="Annual Microsoft GP &amp; Encore Maintenance"/>
    <n v="7616.16"/>
    <d v="2025-11-11T00:00:00"/>
    <d v="2026-11-10T00:00:00"/>
    <n v="364"/>
    <m/>
    <m/>
    <m/>
    <m/>
    <m/>
    <m/>
    <m/>
    <m/>
    <m/>
    <m/>
    <m/>
    <n v="397.54681318681315"/>
    <n v="648.62901098901102"/>
    <n v="1046.1758241758241"/>
    <n v="7616.16"/>
    <n v="6569.9841758241755"/>
  </r>
  <r>
    <d v="2024-09-30T00:00:00"/>
    <s v="Revenue"/>
    <s v="PRTH"/>
    <s v="KIT"/>
    <x v="11"/>
    <s v="DQ24090193"/>
    <s v="Annual M-Hance Maintenance"/>
    <n v="538.19000000000005"/>
    <d v="2024-10-01T00:00:00"/>
    <d v="2025-09-30T00:00:00"/>
    <n v="364"/>
    <n v="402.16395604395609"/>
    <n v="45.83486263736264"/>
    <n v="42.877774725274726"/>
    <n v="45.83486263736264"/>
    <n v="44.356318681318683"/>
    <n v="45.83486263736264"/>
    <n v="44.356318681318683"/>
    <n v="45.83486263736264"/>
    <n v="45.83486263736264"/>
    <n v="41.4"/>
    <m/>
    <m/>
    <m/>
    <n v="402.16472527472524"/>
    <m/>
    <n v="-7.6923076915136335E-4"/>
  </r>
  <r>
    <d v="2024-10-31T00:00:00"/>
    <s v="Revenue"/>
    <s v="PRTH"/>
    <s v="KIT"/>
    <x v="11"/>
    <s v="DQ24100211"/>
    <s v="Annual M-Hance Maintenance"/>
    <n v="1833.44"/>
    <d v="2025-01-01T00:00:00"/>
    <d v="2025-12-31T00:00:00"/>
    <n v="364"/>
    <n v="1833.44"/>
    <n v="156.14461538461541"/>
    <n v="146.07076923076926"/>
    <n v="156.14461538461541"/>
    <n v="151.10769230769233"/>
    <n v="156.14461538461541"/>
    <n v="151.10769230769233"/>
    <n v="156.14461538461541"/>
    <n v="156.14461538461541"/>
    <n v="151.10769230769233"/>
    <n v="156.14461538461541"/>
    <n v="151.10769230769233"/>
    <n v="146.07"/>
    <n v="1833.4392307692312"/>
    <m/>
    <n v="7.6923076881030283E-4"/>
  </r>
  <r>
    <d v="2024-11-30T00:00:00"/>
    <s v="Revenue"/>
    <s v="PRTH"/>
    <s v="KIT"/>
    <x v="11"/>
    <s v="DQ24110239"/>
    <s v="Annual Microsoft GP Maintenance"/>
    <n v="24819.56"/>
    <d v="2025-01-01T00:00:00"/>
    <d v="2025-12-31T00:00:00"/>
    <n v="364"/>
    <n v="24819.56"/>
    <n v="2113.7537362637363"/>
    <n v="1977.3825274725277"/>
    <n v="2113.7537362637363"/>
    <n v="2045.568131868132"/>
    <n v="2113.7537362637363"/>
    <n v="2045.568131868132"/>
    <n v="2113.7537362637363"/>
    <n v="2113.7537362637363"/>
    <n v="2045.568131868132"/>
    <n v="2113.7537362637363"/>
    <n v="2045.568131868132"/>
    <n v="1977.38"/>
    <n v="24819.557472527475"/>
    <m/>
    <n v="2.5274725267081521E-3"/>
  </r>
  <r>
    <d v="2025-09-30T00:00:00"/>
    <s v="Revenue"/>
    <s v="PRTH"/>
    <s v="KIT"/>
    <x v="11"/>
    <s v="DQ25090143"/>
    <s v="Annual M-Hance Maintenance"/>
    <n v="564.02"/>
    <d v="2025-10-01T00:00:00"/>
    <d v="2026-09-30T00:00:00"/>
    <n v="364"/>
    <m/>
    <m/>
    <m/>
    <m/>
    <m/>
    <m/>
    <m/>
    <m/>
    <m/>
    <m/>
    <n v="48.034670329670327"/>
    <n v="46.485164835164831"/>
    <n v="48.034670329670327"/>
    <n v="142.55450549450549"/>
    <n v="564.02"/>
    <n v="421.46549450549446"/>
  </r>
  <r>
    <d v="2025-11-30T00:00:00"/>
    <s v="Revenue"/>
    <s v="PRTH"/>
    <s v="KIT"/>
    <x v="11"/>
    <s v="DQ25110190"/>
    <s v="Annual M4 Module Maintenance"/>
    <n v="1915.94"/>
    <d v="2026-01-01T00:00:00"/>
    <d v="2026-12-31T00:00:00"/>
    <n v="364"/>
    <m/>
    <m/>
    <m/>
    <m/>
    <m/>
    <m/>
    <m/>
    <m/>
    <m/>
    <m/>
    <m/>
    <m/>
    <m/>
    <n v="0"/>
    <n v="1915.94"/>
    <n v="1915.94"/>
  </r>
  <r>
    <d v="2025-11-30T00:00:00"/>
    <s v="Revenue"/>
    <s v="PRTH"/>
    <s v="KIT"/>
    <x v="11"/>
    <s v="DQ25110191"/>
    <s v="Annual Microsoft GP Maintenance"/>
    <n v="25936.44"/>
    <d v="2026-01-01T00:00:00"/>
    <d v="2026-12-31T00:00:00"/>
    <n v="364"/>
    <m/>
    <m/>
    <m/>
    <m/>
    <m/>
    <m/>
    <m/>
    <m/>
    <m/>
    <m/>
    <m/>
    <m/>
    <m/>
    <n v="0"/>
    <n v="25936.44"/>
    <n v="25936.44"/>
  </r>
  <r>
    <d v="2024-04-30T00:00:00"/>
    <s v="Revenue"/>
    <s v="Primetics GEN NA"/>
    <s v="SEED"/>
    <x v="12"/>
    <s v="DQ24040090"/>
    <s v="Annual Progress Maintenance"/>
    <n v="1199.1099999999999"/>
    <d v="2024-05-19T00:00:00"/>
    <d v="2025-05-18T00:00:00"/>
    <n v="364"/>
    <n v="454.60763736263721"/>
    <n v="102.12200549450549"/>
    <n v="95.533489010989001"/>
    <n v="102.12200549450549"/>
    <n v="98.827747252747244"/>
    <n v="56"/>
    <m/>
    <m/>
    <m/>
    <m/>
    <m/>
    <m/>
    <m/>
    <n v="454.60524725274723"/>
    <m/>
    <n v="2.3901098899727913E-3"/>
  </r>
  <r>
    <d v="2025-04-30T00:00:00"/>
    <s v="Revenue"/>
    <s v="Primetics GEN NA"/>
    <s v="SEED"/>
    <x v="12"/>
    <s v="DQ25040060"/>
    <s v="Annual Progress Maintenance"/>
    <n v="1239.8800000000001"/>
    <d v="2025-05-19T00:00:00"/>
    <d v="2026-05-18T00:00:00"/>
    <n v="364"/>
    <m/>
    <m/>
    <m/>
    <m/>
    <m/>
    <n v="40.875164835164838"/>
    <n v="102.1879120879121"/>
    <n v="105.59417582417584"/>
    <n v="105.59417582417584"/>
    <n v="102.1879120879121"/>
    <n v="105.59417582417584"/>
    <n v="102.1879120879121"/>
    <n v="105.59417582417584"/>
    <n v="769.81560439560451"/>
    <n v="1239.8800000000001"/>
    <n v="470.0643956043956"/>
  </r>
  <r>
    <d v="2024-10-31T00:00:00"/>
    <s v="Revenue"/>
    <s v="Primetics GEN NA"/>
    <s v="SEED"/>
    <x v="13"/>
    <s v="DQ24100221"/>
    <s v="Annual Progress Maintenance"/>
    <n v="172.32"/>
    <d v="2024-10-25T00:00:00"/>
    <d v="2025-05-30T00:00:00"/>
    <n v="217"/>
    <n v="119.11520737327189"/>
    <n v="24.617142857142859"/>
    <n v="23.0289400921659"/>
    <n v="24.617142857142859"/>
    <n v="23.823041474654378"/>
    <n v="23.03"/>
    <m/>
    <m/>
    <m/>
    <m/>
    <m/>
    <m/>
    <m/>
    <n v="119.116267281106"/>
    <m/>
    <n v="-1.0599078341186896E-3"/>
  </r>
  <r>
    <d v="2024-04-30T00:00:00"/>
    <s v="Revenue"/>
    <s v="Primetics GEN NA"/>
    <s v="SEED"/>
    <x v="13"/>
    <s v="DQ24040095"/>
    <s v="Annual Progress Maintenance"/>
    <n v="10901"/>
    <d v="2024-05-31T00:00:00"/>
    <d v="2025-05-30T00:00:00"/>
    <n v="364"/>
    <n v="4462.2225274725279"/>
    <n v="928.38186813186815"/>
    <n v="868.48626373626371"/>
    <n v="928.38186813186815"/>
    <n v="898.43406593406587"/>
    <n v="838.54"/>
    <m/>
    <m/>
    <m/>
    <m/>
    <m/>
    <m/>
    <m/>
    <n v="4462.2240659340659"/>
    <m/>
    <n v="-1.538461538075353E-3"/>
  </r>
  <r>
    <d v="2025-04-30T00:00:00"/>
    <s v="Revenue"/>
    <s v="Primetics GEN NA"/>
    <s v="SEED"/>
    <x v="13"/>
    <s v="DQ25050061"/>
    <s v="Annual Progress Maintenance"/>
    <n v="12113.56"/>
    <d v="2025-05-31T00:00:00"/>
    <d v="2026-05-30T00:00:00"/>
    <n v="364"/>
    <m/>
    <m/>
    <m/>
    <m/>
    <m/>
    <n v="33.279010989010985"/>
    <n v="998.37032967032951"/>
    <n v="1031.6493406593406"/>
    <n v="1031.6493406593406"/>
    <n v="998.37032967032951"/>
    <n v="1031.6493406593406"/>
    <n v="998.37032967032951"/>
    <n v="1031.6493406593406"/>
    <n v="7154.9873626373628"/>
    <n v="12113.56"/>
    <n v="4958.5726373626367"/>
  </r>
  <r>
    <d v="2024-03-31T00:00:00"/>
    <s v="Revenue"/>
    <s v="PRTH"/>
    <s v="KIT"/>
    <x v="14"/>
    <s v="DQ24030079"/>
    <s v="Annual Microsoft GP Maintenance"/>
    <n v="105043.89"/>
    <d v="2024-04-22T00:00:00"/>
    <d v="2025-04-22T00:00:00"/>
    <n v="365"/>
    <n v="32520.437178082197"/>
    <n v="8921.535863013698"/>
    <n v="8345.9529041095884"/>
    <n v="8921.535863013698"/>
    <n v="6331.41"/>
    <m/>
    <m/>
    <m/>
    <m/>
    <m/>
    <m/>
    <m/>
    <m/>
    <n v="32520.434630136984"/>
    <m/>
    <n v="2.5479452124272939E-3"/>
  </r>
  <r>
    <d v="2025-03-31T00:00:00"/>
    <s v="Revenue"/>
    <s v="PRTH"/>
    <s v="KIT"/>
    <x v="14"/>
    <s v="DQ25030051"/>
    <s v="Annual Microsoft GP Maintenance"/>
    <n v="108960.88"/>
    <d v="2025-04-23T00:00:00"/>
    <d v="2026-04-23T00:00:00"/>
    <n v="365"/>
    <m/>
    <m/>
    <m/>
    <m/>
    <n v="2388.1836712328768"/>
    <n v="9254.2117260273972"/>
    <n v="8955.6887671232871"/>
    <n v="9254.2117260273972"/>
    <n v="9254.2117260273972"/>
    <n v="8955.6887671232871"/>
    <n v="9254.2117260273972"/>
    <n v="8955.6887671232871"/>
    <n v="9254.2117260273972"/>
    <n v="75526.308602739708"/>
    <n v="108960.88"/>
    <n v="33434.571397260297"/>
  </r>
  <r>
    <d v="2024-02-29T00:00:00"/>
    <s v="Revenue"/>
    <s v="Primetics CHO"/>
    <s v="PRIME"/>
    <x v="15"/>
    <s v="DQ24020042"/>
    <s v="Annual Open Accounts &amp; Progress Maintenance"/>
    <n v="3866.8"/>
    <d v="2024-04-01T00:00:00"/>
    <d v="2025-03-31T00:00:00"/>
    <n v="364"/>
    <n v="945.45384615384637"/>
    <n v="329.31538461538463"/>
    <n v="308.06923076923078"/>
    <n v="308.07"/>
    <m/>
    <m/>
    <m/>
    <m/>
    <m/>
    <m/>
    <m/>
    <m/>
    <m/>
    <n v="945.45461538461541"/>
    <m/>
    <n v="-7.6923076903767651E-4"/>
  </r>
  <r>
    <d v="2025-02-28T00:00:00"/>
    <s v="Revenue"/>
    <s v="Primetics CHO"/>
    <s v="PRIME"/>
    <x v="15"/>
    <s v="DQ25020009"/>
    <s v="Annual Open Accounts &amp; Progress Maintenance"/>
    <n v="4002.13"/>
    <d v="2025-04-01T00:00:00"/>
    <d v="2026-03-31T00:00:00"/>
    <n v="364"/>
    <m/>
    <m/>
    <m/>
    <m/>
    <n v="329.84587912087909"/>
    <n v="340.84074175824173"/>
    <n v="329.84587912087909"/>
    <n v="340.84074175824173"/>
    <n v="340.84074175824173"/>
    <n v="329.84587912087909"/>
    <n v="340.84074175824173"/>
    <n v="329.84587912087909"/>
    <n v="340.84074175824173"/>
    <n v="3023.5872252747249"/>
    <n v="4002.13"/>
    <n v="978.54277472527519"/>
  </r>
  <r>
    <d v="2024-04-30T00:00:00"/>
    <s v="Revenue"/>
    <s v="Primetics CHO"/>
    <s v="PRIME"/>
    <x v="16"/>
    <s v="DQ24050105"/>
    <s v="Annual Progress Maintenance"/>
    <n v="1203"/>
    <d v="2024-04-23T00:00:00"/>
    <d v="2025-04-22T00:00:00"/>
    <n v="364"/>
    <n v="370.15384615384619"/>
    <n v="102.4532967032967"/>
    <n v="95.843406593406584"/>
    <n v="102.4532967032967"/>
    <n v="69.400000000000006"/>
    <m/>
    <m/>
    <m/>
    <m/>
    <m/>
    <m/>
    <m/>
    <m/>
    <n v="370.15"/>
    <m/>
    <n v="3.8461538462115641E-3"/>
  </r>
  <r>
    <d v="2025-03-31T00:00:00"/>
    <s v="Revenue"/>
    <s v="Primetics CHO"/>
    <s v="PRIME"/>
    <x v="16"/>
    <s v="DQ25030045"/>
    <s v="Annual Progress Maintenance"/>
    <n v="1246.31"/>
    <d v="2025-04-23T00:00:00"/>
    <d v="2026-04-22T00:00:00"/>
    <n v="364"/>
    <m/>
    <m/>
    <m/>
    <m/>
    <n v="23.967499999999998"/>
    <n v="106.1417857142857"/>
    <n v="102.71785714285714"/>
    <n v="106.1417857142857"/>
    <n v="106.1417857142857"/>
    <n v="102.71785714285714"/>
    <n v="106.1417857142857"/>
    <n v="102.71785714285714"/>
    <n v="106.1417857142857"/>
    <n v="862.82999999999993"/>
    <n v="1246.31"/>
    <n v="383.48"/>
  </r>
  <r>
    <d v="2024-04-30T00:00:00"/>
    <s v="Revenue"/>
    <s v="Primetics CHO"/>
    <s v="PRIME"/>
    <x v="17"/>
    <s v="DQ24040088"/>
    <s v="Annual Progress Maintenance"/>
    <n v="884.26"/>
    <d v="2024-05-22T00:00:00"/>
    <d v="2025-05-21T00:00:00"/>
    <n v="364"/>
    <n v="342.52928571428572"/>
    <n v="75.307857142857145"/>
    <n v="70.449285714285708"/>
    <n v="75.307857142857145"/>
    <n v="72.878571428571433"/>
    <n v="48.59"/>
    <m/>
    <m/>
    <m/>
    <m/>
    <m/>
    <m/>
    <m/>
    <n v="342.53357142857146"/>
    <m/>
    <n v="-4.2857142857428698E-3"/>
  </r>
  <r>
    <d v="2023-12-31T00:00:00"/>
    <s v="Revenue"/>
    <s v="Primetics CHO"/>
    <s v="PRIME"/>
    <x v="17"/>
    <s v="DQ23120306"/>
    <s v="Annual Progress Maintenance"/>
    <n v="2894.94"/>
    <d v="2024-01-14T00:00:00"/>
    <d v="2025-01-14T00:00:00"/>
    <n v="366"/>
    <n v="110.73540983606472"/>
    <n v="110.74"/>
    <m/>
    <m/>
    <m/>
    <m/>
    <m/>
    <m/>
    <m/>
    <m/>
    <m/>
    <m/>
    <m/>
    <n v="110.74"/>
    <m/>
    <n v="-4.5901639352763368E-3"/>
  </r>
  <r>
    <d v="2024-12-31T00:00:00"/>
    <s v="Revenue"/>
    <s v="Primetics CHO"/>
    <s v="PRIME"/>
    <x v="17"/>
    <s v="DQ24120257"/>
    <s v="Annual Progress Maintenance"/>
    <n v="2999.16"/>
    <d v="2025-01-14T00:00:00"/>
    <d v="2026-01-14T00:00:00"/>
    <n v="365"/>
    <n v="2999.16"/>
    <n v="139.68690410958905"/>
    <n v="238.28942465753425"/>
    <n v="254.72317808219179"/>
    <n v="246.50630136986302"/>
    <n v="254.72317808219179"/>
    <n v="246.50630136986302"/>
    <n v="254.72317808219179"/>
    <n v="254.72317808219179"/>
    <n v="246.50630136986302"/>
    <n v="254.72317808219179"/>
    <n v="246.50630136986302"/>
    <n v="254.72317808219179"/>
    <n v="2892.3406027397264"/>
    <m/>
    <n v="106.81939726027349"/>
  </r>
  <r>
    <d v="2024-07-31T00:00:00"/>
    <s v="Revenue"/>
    <s v="Primetics CHO"/>
    <s v="PRIME"/>
    <x v="17"/>
    <s v="DQ24070157"/>
    <s v="Annual Open Accounts Maintenance"/>
    <n v="6584.79"/>
    <d v="2024-08-06T00:00:00"/>
    <d v="2025-08-05T00:00:00"/>
    <n v="364"/>
    <n v="3925.5478846153842"/>
    <n v="560.79255494505503"/>
    <n v="524.61239010989016"/>
    <n v="560.79255494505503"/>
    <n v="542.70247252747254"/>
    <n v="560.79255494505503"/>
    <n v="542.70247252747254"/>
    <n v="560.79255494505503"/>
    <n v="72.36"/>
    <m/>
    <m/>
    <m/>
    <m/>
    <n v="3925.5475549450557"/>
    <m/>
    <n v="3.2967032848318922E-4"/>
  </r>
  <r>
    <d v="2025-04-30T00:00:00"/>
    <s v="Revenue"/>
    <s v="Primetics CHO"/>
    <s v="PRIME"/>
    <x v="17"/>
    <s v="DQ25040058"/>
    <s v="Annual Progress Maintenance"/>
    <n v="914.32"/>
    <d v="2025-05-22T00:00:00"/>
    <d v="2026-05-21T00:00:00"/>
    <n v="364"/>
    <m/>
    <m/>
    <m/>
    <m/>
    <m/>
    <n v="22.606813186813191"/>
    <n v="75.356043956043962"/>
    <n v="77.867912087912103"/>
    <n v="77.867912087912103"/>
    <n v="75.356043956043962"/>
    <n v="77.867912087912103"/>
    <n v="75.356043956043962"/>
    <n v="77.867912087912103"/>
    <n v="560.14659340659341"/>
    <n v="914.32"/>
    <n v="354.17340659340664"/>
  </r>
  <r>
    <d v="2025-07-31T00:00:00"/>
    <s v="Revenue"/>
    <s v="Primetics CHO"/>
    <s v="PRIME"/>
    <x v="17"/>
    <s v="DQ25070120"/>
    <s v="Annual Open Accounts Maintenance"/>
    <n v="6867.94"/>
    <d v="2025-08-06T00:00:00"/>
    <d v="2026-08-05T00:00:00"/>
    <n v="364"/>
    <m/>
    <m/>
    <m/>
    <m/>
    <m/>
    <m/>
    <m/>
    <m/>
    <n v="471.69917582417577"/>
    <n v="566.03901098901088"/>
    <n v="584.90697802197792"/>
    <n v="566.03901098901088"/>
    <n v="584.90697802197792"/>
    <n v="2773.5911538461532"/>
    <n v="6867.94"/>
    <n v="4094.3488461538464"/>
  </r>
  <r>
    <d v="2025-12-31T00:00:00"/>
    <s v="Revenue"/>
    <s v="Primetics CHO"/>
    <s v="PRIME"/>
    <x v="17"/>
    <s v="DQ25120200"/>
    <s v="Annual Progress Maintenance"/>
    <n v="3128.12"/>
    <d v="2026-01-14T00:00:00"/>
    <d v="2027-01-14T00:00:00"/>
    <n v="365"/>
    <m/>
    <m/>
    <m/>
    <m/>
    <m/>
    <m/>
    <m/>
    <m/>
    <m/>
    <m/>
    <m/>
    <m/>
    <m/>
    <n v="0"/>
    <n v="3128.12"/>
    <n v="3128.12"/>
  </r>
  <r>
    <d v="2024-11-30T00:00:00"/>
    <s v="Revenue"/>
    <s v="Primetics CHO"/>
    <s v="PRIME"/>
    <x v="18"/>
    <s v="DQ24110230"/>
    <s v="Annual Progress Maintenance"/>
    <n v="1212.78"/>
    <d v="2024-12-17T00:00:00"/>
    <d v="2025-12-16T00:00:00"/>
    <n v="364"/>
    <n v="1166.1346153846152"/>
    <n v="103.28620879120878"/>
    <n v="96.622582417582407"/>
    <n v="103.28620879120878"/>
    <n v="99.9543956043956"/>
    <n v="103.28620879120878"/>
    <n v="99.9543956043956"/>
    <n v="103.28620879120878"/>
    <n v="103.28620879120878"/>
    <n v="99.9543956043956"/>
    <n v="103.28620879120878"/>
    <n v="99.9543956043956"/>
    <n v="49.98"/>
    <n v="1166.1374175824174"/>
    <m/>
    <n v="-2.8021978021115501E-3"/>
  </r>
  <r>
    <d v="2025-11-30T00:00:00"/>
    <s v="Revenue"/>
    <s v="Primetics CHO"/>
    <s v="PRIME"/>
    <x v="18"/>
    <s v="DQ25110188"/>
    <s v="Annual Progress Maintenance"/>
    <n v="1267.3599999999999"/>
    <d v="2025-12-17T00:00:00"/>
    <d v="2026-12-16T00:00:00"/>
    <n v="364"/>
    <m/>
    <m/>
    <m/>
    <m/>
    <m/>
    <m/>
    <m/>
    <m/>
    <m/>
    <m/>
    <m/>
    <m/>
    <n v="48.744615384615379"/>
    <n v="48.744615384615379"/>
    <n v="1267.3599999999999"/>
    <n v="1218.6153846153845"/>
  </r>
  <r>
    <d v="2024-02-29T00:00:00"/>
    <s v="Revenue"/>
    <s v="Primetics CHO"/>
    <s v="PRIME"/>
    <x v="19"/>
    <s v="DQ24020043"/>
    <s v="Annual Open Accounts Maintenance"/>
    <n v="1232.19"/>
    <d v="2024-04-14T00:00:00"/>
    <d v="2025-04-13T00:00:00"/>
    <n v="364"/>
    <n v="348.66914835164846"/>
    <n v="104.93925824175824"/>
    <n v="98.168983516483522"/>
    <n v="104.93925824175824"/>
    <n v="40.619999999999997"/>
    <m/>
    <m/>
    <m/>
    <m/>
    <m/>
    <m/>
    <m/>
    <m/>
    <n v="348.66750000000002"/>
    <m/>
    <n v="1.6483516484413485E-3"/>
  </r>
  <r>
    <d v="2024-03-31T00:00:00"/>
    <s v="Revenue"/>
    <s v="Primetics CHO"/>
    <s v="PRIME"/>
    <x v="19"/>
    <s v="DQ24030077"/>
    <s v="Annual Progress Maintenance"/>
    <n v="1905.82"/>
    <d v="2024-04-13T00:00:00"/>
    <d v="2025-04-12T00:00:00"/>
    <n v="364"/>
    <n v="534.04846153846142"/>
    <n v="162.30884615384616"/>
    <n v="151.83730769230769"/>
    <n v="162.30884615384616"/>
    <n v="57.59"/>
    <m/>
    <m/>
    <m/>
    <m/>
    <m/>
    <m/>
    <m/>
    <m/>
    <n v="534.04500000000007"/>
    <m/>
    <n v="3.4615384613516653E-3"/>
  </r>
  <r>
    <d v="2025-03-31T00:00:00"/>
    <s v="Revenue"/>
    <s v="Primetics CHO"/>
    <s v="PRIME"/>
    <x v="19"/>
    <s v="DQ25030043"/>
    <s v="Annual Open Accounts Maintenance"/>
    <n v="1276.55"/>
    <d v="2025-04-14T00:00:00"/>
    <d v="2026-04-13T00:00:00"/>
    <n v="364"/>
    <m/>
    <m/>
    <m/>
    <m/>
    <n v="56.112087912087908"/>
    <n v="108.71717032967032"/>
    <n v="105.21016483516483"/>
    <n v="108.71717032967032"/>
    <n v="108.71717032967032"/>
    <n v="105.21016483516483"/>
    <n v="108.71717032967032"/>
    <n v="105.21016483516483"/>
    <n v="108.71717032967032"/>
    <n v="915.32843406593418"/>
    <n v="1276.55"/>
    <n v="361.22156593406578"/>
  </r>
  <r>
    <d v="2025-03-31T00:00:00"/>
    <s v="Revenue"/>
    <s v="Primetics CHO"/>
    <s v="PRIME"/>
    <x v="19"/>
    <s v="DQ25030039"/>
    <s v="Annual Progress Maintenance"/>
    <n v="1974.43"/>
    <d v="2025-04-14T00:00:00"/>
    <d v="2026-04-13T00:00:00"/>
    <n v="364"/>
    <m/>
    <m/>
    <m/>
    <m/>
    <n v="86.78813186813187"/>
    <n v="168.15200549450549"/>
    <n v="162.72774725274726"/>
    <n v="168.15200549450549"/>
    <n v="168.15200549450549"/>
    <n v="162.72774725274726"/>
    <n v="168.15200549450549"/>
    <n v="162.72774725274726"/>
    <n v="168.15200549450549"/>
    <n v="1415.7314010989012"/>
    <n v="1974.43"/>
    <n v="558.69859890109888"/>
  </r>
  <r>
    <d v="2024-10-31T00:00:00"/>
    <s v="Revenue"/>
    <s v="Primetics CHO"/>
    <s v="KEY"/>
    <x v="20"/>
    <s v="DQ24100223"/>
    <s v="Annual Progress Maintenance"/>
    <n v="140.80000000000001"/>
    <d v="2024-10-29T00:00:00"/>
    <d v="2025-08-30T00:00:00"/>
    <n v="305"/>
    <n v="111.71672131147542"/>
    <n v="14.310819672131149"/>
    <n v="13.387540983606559"/>
    <n v="14.310819672131149"/>
    <n v="13.849180327868854"/>
    <n v="14.310819672131149"/>
    <n v="13.849180327868854"/>
    <n v="14.310819672131149"/>
    <n v="13.39"/>
    <m/>
    <m/>
    <m/>
    <m/>
    <n v="111.71918032786886"/>
    <m/>
    <n v="-2.459016393430602E-3"/>
  </r>
  <r>
    <d v="2024-10-31T00:00:00"/>
    <s v="Revenue"/>
    <s v="Primetics CHO"/>
    <s v="KEY"/>
    <x v="20"/>
    <s v="DQ24100206"/>
    <s v="Annual Progress Maintenance"/>
    <n v="1185.8"/>
    <d v="2024-11-15T00:00:00"/>
    <d v="2025-11-14T00:00:00"/>
    <n v="364"/>
    <n v="1035.9461538461537"/>
    <n v="100.98846153846154"/>
    <n v="94.473076923076917"/>
    <n v="100.98846153846154"/>
    <n v="97.730769230769226"/>
    <n v="100.98846153846154"/>
    <n v="97.730769230769226"/>
    <n v="100.98846153846154"/>
    <n v="100.98846153846154"/>
    <n v="97.730769230769226"/>
    <n v="100.98846153846154"/>
    <n v="42.35"/>
    <m/>
    <n v="1035.9461538461537"/>
    <m/>
    <n v="0"/>
  </r>
  <r>
    <d v="2024-06-30T00:00:00"/>
    <s v="Revenue"/>
    <s v="Primetics CHO"/>
    <s v="KEY"/>
    <x v="20"/>
    <s v="DQ24060137"/>
    <s v="Annual Open Accounts Maintenance"/>
    <n v="4175.66"/>
    <d v="2024-07-01T00:00:00"/>
    <d v="2025-06-30T00:00:00"/>
    <n v="364"/>
    <n v="2064.886813186813"/>
    <n v="355.61939560439561"/>
    <n v="332.67620879120881"/>
    <n v="355.61939560439561"/>
    <n v="344.14780219780221"/>
    <n v="355.61939560439561"/>
    <n v="321.2"/>
    <m/>
    <m/>
    <m/>
    <m/>
    <m/>
    <m/>
    <n v="2064.8821978021979"/>
    <m/>
    <n v="4.6153846151355538E-3"/>
  </r>
  <r>
    <d v="2024-05-31T00:00:00"/>
    <s v="Revenue"/>
    <s v="Primetics CHO"/>
    <s v="KEY"/>
    <x v="20"/>
    <s v="DQ24050109"/>
    <s v="Annual Progress Maintenance"/>
    <n v="10297.15"/>
    <d v="2024-06-28T00:00:00"/>
    <d v="2025-06-27T00:00:00"/>
    <n v="364"/>
    <n v="5007.1306318681318"/>
    <n v="876.95508241758239"/>
    <n v="820.37733516483513"/>
    <n v="876.95508241758239"/>
    <n v="848.66620879120876"/>
    <n v="876.95508241758239"/>
    <n v="707.22"/>
    <m/>
    <m/>
    <m/>
    <m/>
    <m/>
    <m/>
    <n v="5007.128791208791"/>
    <m/>
    <n v="1.8406593408144545E-3"/>
  </r>
  <r>
    <d v="2025-05-31T00:00:00"/>
    <s v="Revenue"/>
    <s v="Primetics CHO"/>
    <s v="KEY"/>
    <x v="20"/>
    <s v="DQ25050076"/>
    <s v="Annual Progress Maintenance"/>
    <n v="10794.61"/>
    <d v="2025-06-28T00:00:00"/>
    <d v="2026-06-27T00:00:00"/>
    <n v="364"/>
    <m/>
    <m/>
    <m/>
    <m/>
    <m/>
    <m/>
    <n v="59.31104395604396"/>
    <n v="919.3211813186814"/>
    <n v="919.3211813186814"/>
    <n v="889.66565934065943"/>
    <n v="919.3211813186814"/>
    <n v="889.66565934065943"/>
    <n v="919.3211813186814"/>
    <n v="5515.9270879120886"/>
    <n v="10794.61"/>
    <n v="5278.682912087912"/>
  </r>
  <r>
    <d v="2025-06-30T00:00:00"/>
    <s v="Revenue"/>
    <s v="Primetics CHO"/>
    <s v="KEY"/>
    <x v="20"/>
    <s v="DQ25060094"/>
    <s v="Annual Open Accounts Maintenance"/>
    <n v="4363.5600000000004"/>
    <d v="2025-07-01T00:00:00"/>
    <d v="2026-06-30T00:00:00"/>
    <n v="364"/>
    <m/>
    <m/>
    <m/>
    <m/>
    <m/>
    <m/>
    <m/>
    <n v="371.62186813186815"/>
    <n v="371.62186813186815"/>
    <n v="359.63406593406592"/>
    <n v="371.62186813186815"/>
    <n v="359.63406593406592"/>
    <n v="371.62186813186815"/>
    <n v="2205.7556043956047"/>
    <n v="4363.5600000000004"/>
    <n v="2157.8043956043957"/>
  </r>
  <r>
    <d v="2025-10-31T00:00:00"/>
    <s v="Revenue"/>
    <s v="Primetics CHO"/>
    <s v="KEY"/>
    <x v="20"/>
    <s v="DQ25100169"/>
    <s v="Annual Progress Maintenance"/>
    <n v="1240.3499999999999"/>
    <d v="2025-11-15T00:00:00"/>
    <d v="2026-11-14T00:00:00"/>
    <n v="364"/>
    <m/>
    <m/>
    <m/>
    <m/>
    <m/>
    <m/>
    <m/>
    <m/>
    <m/>
    <m/>
    <m/>
    <n v="51.113324175824168"/>
    <n v="105.63420329670329"/>
    <n v="156.74752747252745"/>
    <n v="1240.3499999999999"/>
    <n v="1083.6024725274724"/>
  </r>
  <r>
    <d v="2024-06-30T00:00:00"/>
    <s v="Revenue"/>
    <s v="Primetics CHO"/>
    <s v="PRIME"/>
    <x v="21"/>
    <s v="DQ24060134"/>
    <s v="Annual Progress Maintenance"/>
    <n v="1643.46"/>
    <d v="2024-07-30T00:00:00"/>
    <d v="2025-07-29T00:00:00"/>
    <n v="364"/>
    <n v="948.15"/>
    <n v="139.965"/>
    <n v="130.935"/>
    <n v="139.965"/>
    <n v="135.44999999999999"/>
    <n v="139.965"/>
    <n v="135.44999999999999"/>
    <n v="126.42"/>
    <m/>
    <m/>
    <m/>
    <m/>
    <m/>
    <n v="948.15"/>
    <m/>
    <n v="0"/>
  </r>
  <r>
    <d v="2024-08-31T00:00:00"/>
    <s v="Revenue"/>
    <s v="Primetics CHO"/>
    <s v="PRIME"/>
    <x v="21"/>
    <s v="DQ24080170"/>
    <s v="Annual Progress Maintenance"/>
    <n v="5251.87"/>
    <d v="2024-09-10T00:00:00"/>
    <d v="2025-09-09T00:00:00"/>
    <n v="364"/>
    <n v="3635.91"/>
    <n v="447.27464285714285"/>
    <n v="418.41821428571427"/>
    <n v="447.27464285714285"/>
    <n v="432.84642857142853"/>
    <n v="447.27464285714285"/>
    <n v="432.84642857142853"/>
    <n v="447.27464285714285"/>
    <n v="447.27464285714285"/>
    <n v="115.43"/>
    <m/>
    <m/>
    <m/>
    <n v="3635.9142857142851"/>
    <m/>
    <n v="-4.2857142852881225E-3"/>
  </r>
  <r>
    <d v="2024-12-31T00:00:00"/>
    <s v="Revenue"/>
    <s v="Primetics CHO"/>
    <s v="PRIME"/>
    <x v="21"/>
    <s v="DQ24120260"/>
    <s v="Annual Open Accounts Maintenance"/>
    <n v="9438.9599999999991"/>
    <d v="2025-01-01T00:00:00"/>
    <d v="2025-12-31T00:00:00"/>
    <n v="364"/>
    <n v="9438.9599999999991"/>
    <n v="803.8674725274725"/>
    <n v="752.00505494505489"/>
    <n v="803.8674725274725"/>
    <n v="777.93626373626364"/>
    <n v="803.8674725274725"/>
    <n v="777.93626373626364"/>
    <n v="803.8674725274725"/>
    <n v="803.8674725274725"/>
    <n v="777.93626373626364"/>
    <n v="803.8674725274725"/>
    <n v="777.93626373626364"/>
    <n v="752.01"/>
    <n v="9438.9649450549441"/>
    <m/>
    <n v="-4.945054944982985E-3"/>
  </r>
  <r>
    <d v="2025-06-30T00:00:00"/>
    <s v="Revenue"/>
    <s v="Primetics CHO"/>
    <s v="PRIME"/>
    <x v="21"/>
    <s v="DQ25060096"/>
    <s v="Annual Progress Maintenance"/>
    <n v="1717.42"/>
    <d v="2025-07-30T00:00:00"/>
    <d v="2026-07-29T00:00:00"/>
    <n v="364"/>
    <m/>
    <m/>
    <m/>
    <m/>
    <m/>
    <m/>
    <m/>
    <n v="4.7181868131868132"/>
    <n v="146.26379120879122"/>
    <n v="141.54560439560439"/>
    <n v="146.26379120879122"/>
    <n v="141.54560439560439"/>
    <n v="146.26379120879122"/>
    <n v="726.60076923076917"/>
    <n v="1717.42"/>
    <n v="990.8192307692309"/>
  </r>
  <r>
    <d v="2025-08-31T00:00:00"/>
    <s v="Revenue"/>
    <s v="Primetics CHO"/>
    <s v="PRIME"/>
    <x v="21"/>
    <s v="DQ25080134"/>
    <s v="Annual Progress Maintenance"/>
    <n v="5503.96"/>
    <d v="2025-09-10T00:00:00"/>
    <d v="2026-09-09T00:00:00"/>
    <n v="364"/>
    <m/>
    <m/>
    <m/>
    <m/>
    <m/>
    <m/>
    <m/>
    <m/>
    <m/>
    <n v="302.4153846153846"/>
    <n v="468.74384615384616"/>
    <n v="453.62307692307689"/>
    <n v="468.74384615384616"/>
    <n v="1693.5261538461539"/>
    <n v="5503.96"/>
    <n v="3810.4338461538464"/>
  </r>
  <r>
    <d v="2025-12-31T00:00:00"/>
    <s v="Revenue"/>
    <s v="Primetics CHO"/>
    <s v="PRIME"/>
    <x v="21"/>
    <s v="DQ25120203"/>
    <s v="Annual Open Accounts Maintenance"/>
    <n v="9844.84"/>
    <d v="2026-01-01T00:00:00"/>
    <d v="2026-12-31T00:00:00"/>
    <n v="364"/>
    <m/>
    <m/>
    <m/>
    <m/>
    <m/>
    <m/>
    <m/>
    <m/>
    <m/>
    <m/>
    <m/>
    <m/>
    <m/>
    <n v="0"/>
    <n v="9844.84"/>
    <n v="9844.84"/>
  </r>
  <r>
    <d v="2024-06-30T00:00:00"/>
    <s v="Revenue"/>
    <s v="Primetics CHO"/>
    <s v="PRIME"/>
    <x v="22"/>
    <s v="DQ24060136"/>
    <s v="Annual Progress Maintenance"/>
    <n v="10012.9"/>
    <d v="2024-07-23T00:00:00"/>
    <d v="2025-07-22T00:00:00"/>
    <n v="364"/>
    <n v="5584.1173076923078"/>
    <n v="852.74697802197795"/>
    <n v="797.73104395604389"/>
    <n v="852.74697802197795"/>
    <n v="825.23901098901092"/>
    <n v="852.74697802197795"/>
    <n v="825.23901098901092"/>
    <n v="577.66999999999996"/>
    <m/>
    <m/>
    <m/>
    <m/>
    <m/>
    <n v="5584.12"/>
    <m/>
    <n v="-2.6923076920866151E-3"/>
  </r>
  <r>
    <d v="2025-06-30T00:00:00"/>
    <s v="Revenue"/>
    <s v="Primetics CHO"/>
    <s v="PRIME"/>
    <x v="22"/>
    <s v="DQ25060098"/>
    <s v="Annual Progress Maintenance"/>
    <n v="10463.48"/>
    <d v="2025-07-23T00:00:00"/>
    <d v="2026-07-22T00:00:00"/>
    <n v="364"/>
    <m/>
    <m/>
    <m/>
    <m/>
    <m/>
    <m/>
    <m/>
    <n v="229.9665934065934"/>
    <n v="891.12054945054945"/>
    <n v="862.37472527472528"/>
    <n v="891.12054945054945"/>
    <n v="862.37472527472528"/>
    <n v="891.12054945054945"/>
    <n v="4628.0776923076928"/>
    <n v="10463.48"/>
    <n v="5835.4023076923067"/>
  </r>
  <r>
    <d v="2024-07-31T00:00:00"/>
    <s v="Revenue"/>
    <s v="Primetics CHO"/>
    <s v="PRIME"/>
    <x v="23"/>
    <s v="DQ24070159"/>
    <s v="Annual OA Maintenance"/>
    <n v="652.75"/>
    <d v="2024-08-01T00:00:00"/>
    <d v="2025-07-31T00:00:00"/>
    <n v="364"/>
    <n v="378.37980769230768"/>
    <n v="55.591346153846153"/>
    <n v="52.004807692307693"/>
    <n v="55.591346153846153"/>
    <n v="53.798076923076927"/>
    <n v="55.591346153846153"/>
    <n v="53.798076923076927"/>
    <n v="52"/>
    <m/>
    <m/>
    <m/>
    <m/>
    <m/>
    <n v="378.375"/>
    <m/>
    <n v="4.80769230767919E-3"/>
  </r>
  <r>
    <d v="2024-10-31T00:00:00"/>
    <s v="Revenue"/>
    <s v="Primetics CHO"/>
    <s v="PRIME"/>
    <x v="23"/>
    <s v="DQ24100212"/>
    <s v="Annual OA Maintenance"/>
    <n v="652.75"/>
    <d v="2024-10-23T00:00:00"/>
    <d v="2025-10-22T00:00:00"/>
    <n v="364"/>
    <n v="529.01442307692309"/>
    <n v="55.591346153846153"/>
    <n v="52.004807692307693"/>
    <n v="55.591346153846153"/>
    <n v="53.798076923076927"/>
    <n v="55.591346153846153"/>
    <n v="53.798076923076927"/>
    <n v="55.591346153846153"/>
    <n v="55.591346153846153"/>
    <n v="53.798076923076927"/>
    <n v="37.659999999999997"/>
    <m/>
    <m/>
    <n v="529.01576923076914"/>
    <m/>
    <n v="-1.3461538460433076E-3"/>
  </r>
  <r>
    <d v="2024-06-30T00:00:00"/>
    <s v="Revenue"/>
    <s v="Primetics CHO"/>
    <s v="PRIME"/>
    <x v="23"/>
    <s v="DQ24060135"/>
    <s v="Annual Open Accounts &amp; Progress Maintenance"/>
    <n v="11674.55"/>
    <d v="2024-07-17T00:00:00"/>
    <d v="2025-07-16T00:00:00"/>
    <n v="364"/>
    <n v="6318.3853296703301"/>
    <n v="994.26112637362633"/>
    <n v="930.11524725274717"/>
    <n v="994.26112637362633"/>
    <n v="962.18818681318669"/>
    <n v="994.26112637362633"/>
    <n v="962.18818681318669"/>
    <n v="481.11"/>
    <m/>
    <m/>
    <m/>
    <m/>
    <m/>
    <n v="6318.3849999999993"/>
    <m/>
    <n v="3.2967033075692598E-4"/>
  </r>
  <r>
    <d v="2025-06-30T00:00:00"/>
    <s v="Revenue"/>
    <s v="Primetics CHO"/>
    <s v="PRIME"/>
    <x v="23"/>
    <s v="DQ25060097"/>
    <s v="Annual Open Accounts &amp; Progress Maintenance"/>
    <n v="12199.94"/>
    <d v="2025-07-17T00:00:00"/>
    <d v="2026-07-16T00:00:00"/>
    <n v="364"/>
    <m/>
    <m/>
    <m/>
    <m/>
    <m/>
    <m/>
    <m/>
    <n v="469.22846153846149"/>
    <n v="1039.0058791208792"/>
    <n v="1005.4895604395604"/>
    <n v="1039.0058791208792"/>
    <n v="1005.4895604395604"/>
    <n v="1039.0058791208792"/>
    <n v="5597.22521978022"/>
    <n v="12199.94"/>
    <n v="6602.7147802197806"/>
  </r>
  <r>
    <d v="2025-10-31T00:00:00"/>
    <s v="Revenue"/>
    <s v="Primetics CHO"/>
    <s v="PRIME"/>
    <x v="23"/>
    <s v="DQ25100177"/>
    <s v="Annual OA Maintenance"/>
    <n v="682.78"/>
    <d v="2025-10-23T00:00:00"/>
    <d v="2026-10-22T00:00:00"/>
    <n v="364"/>
    <m/>
    <m/>
    <m/>
    <m/>
    <m/>
    <m/>
    <m/>
    <m/>
    <m/>
    <m/>
    <n v="15.006153846153845"/>
    <n v="56.273076923076921"/>
    <n v="58.148846153846151"/>
    <n v="129.4280769230769"/>
    <n v="682.78"/>
    <n v="553.35192307692307"/>
  </r>
  <r>
    <d v="2024-02-29T00:00:00"/>
    <s v="Revenue"/>
    <s v="Primetics CHO"/>
    <s v="PRIME"/>
    <x v="24"/>
    <s v="DQ24010021"/>
    <s v="Annual Progress Maintenance"/>
    <n v="-1260"/>
    <d v="2024-02-09T00:00:00"/>
    <d v="2025-02-08T00:00:00"/>
    <n v="365"/>
    <n v="-134.6301369863013"/>
    <n v="-107.01369863013699"/>
    <n v="-27.62"/>
    <m/>
    <m/>
    <m/>
    <m/>
    <m/>
    <m/>
    <m/>
    <m/>
    <m/>
    <m/>
    <n v="-134.63369863013699"/>
    <m/>
    <n v="3.5616438356953495E-3"/>
  </r>
  <r>
    <d v="2024-01-31T00:00:00"/>
    <s v="Revenue"/>
    <s v="Primetics CHO"/>
    <s v="PRIME"/>
    <x v="24"/>
    <s v="DQ24010021"/>
    <s v="Annual Progress Maintenance"/>
    <n v="8801.9599999999991"/>
    <d v="2024-02-09T00:00:00"/>
    <d v="2025-02-08T00:00:00"/>
    <n v="365"/>
    <n v="940.48339726027552"/>
    <n v="747.56372602739714"/>
    <n v="192.92"/>
    <m/>
    <m/>
    <m/>
    <m/>
    <m/>
    <m/>
    <m/>
    <m/>
    <m/>
    <m/>
    <n v="940.4837260273971"/>
    <m/>
    <n v="-3.28767121573037E-4"/>
  </r>
  <r>
    <d v="2025-02-28T00:00:00"/>
    <s v="Revenue"/>
    <s v="Primetics CHO"/>
    <s v="PRIME"/>
    <x v="24"/>
    <s v="DQ25010004"/>
    <s v="Annual Progress Maintenance"/>
    <n v="455.5"/>
    <d v="2025-02-09T00:00:00"/>
    <d v="2026-02-08T00:00:00"/>
    <n v="364"/>
    <m/>
    <m/>
    <n v="23.776098901098901"/>
    <n v="38.792582417582416"/>
    <n v="37.541208791208788"/>
    <n v="38.792582417582416"/>
    <n v="37.541208791208788"/>
    <n v="38.792582417582416"/>
    <n v="38.792582417582416"/>
    <n v="37.541208791208788"/>
    <n v="38.792582417582416"/>
    <n v="37.541208791208788"/>
    <n v="38.792582417582416"/>
    <n v="406.69642857142861"/>
    <n v="455.5"/>
    <n v="48.803571428571388"/>
  </r>
  <r>
    <d v="2025-02-28T00:00:00"/>
    <s v="Revenue"/>
    <s v="Primetics CHO"/>
    <s v="PRIME"/>
    <x v="24"/>
    <s v="DQ25030034"/>
    <s v="Annual Progress Maintenance"/>
    <n v="7350.43"/>
    <d v="2025-02-09T00:00:00"/>
    <d v="2026-02-08T00:00:00"/>
    <n v="364"/>
    <m/>
    <m/>
    <n v="383.67629120879121"/>
    <n v="625.99815934065941"/>
    <n v="605.80467032967033"/>
    <n v="625.99815934065941"/>
    <n v="605.80467032967033"/>
    <n v="625.99815934065941"/>
    <n v="625.99815934065941"/>
    <n v="605.80467032967033"/>
    <n v="625.99815934065941"/>
    <n v="605.80467032967033"/>
    <n v="625.99815934065941"/>
    <n v="6562.8839285714284"/>
    <n v="7350.43"/>
    <n v="787.54607142857185"/>
  </r>
  <r>
    <d v="2024-04-30T00:00:00"/>
    <s v="Revenue"/>
    <s v="Primetics CHO"/>
    <s v="PRIME"/>
    <x v="25"/>
    <s v="DQ24040089"/>
    <s v="Annual Progress Maintenance"/>
    <n v="120.89"/>
    <d v="2024-05-27T00:00:00"/>
    <d v="2025-05-26T00:00:00"/>
    <n v="364"/>
    <n v="48.488846153846154"/>
    <n v="10.295576923076922"/>
    <n v="9.6313461538461524"/>
    <n v="10.295576923076922"/>
    <n v="9.9634615384615373"/>
    <n v="8.3000000000000007"/>
    <m/>
    <m/>
    <m/>
    <m/>
    <m/>
    <m/>
    <m/>
    <n v="48.485961538461538"/>
    <m/>
    <n v="2.8846153846160405E-3"/>
  </r>
  <r>
    <d v="2024-09-30T00:00:00"/>
    <s v="Revenue"/>
    <s v="Primetics CHO"/>
    <s v="PRIME"/>
    <x v="26"/>
    <s v="DQ24090186"/>
    <s v="Annual Progress Maintenance"/>
    <n v="3786.54"/>
    <d v="2024-10-23T00:00:00"/>
    <d v="2025-10-22T00:00:00"/>
    <n v="364"/>
    <n v="3068.761813186813"/>
    <n v="322.48005494505492"/>
    <n v="301.6748901098901"/>
    <n v="322.48005494505492"/>
    <n v="312.07747252747254"/>
    <n v="322.48005494505492"/>
    <n v="312.07747252747254"/>
    <n v="322.48005494505492"/>
    <n v="322.48005494505492"/>
    <n v="312.07747252747254"/>
    <n v="218.45"/>
    <m/>
    <m/>
    <n v="3068.7575824175819"/>
    <m/>
    <n v="4.2307692310714629E-3"/>
  </r>
  <r>
    <d v="2024-08-31T00:00:00"/>
    <s v="Revenue"/>
    <s v="Primetics CHO"/>
    <s v="PRIME"/>
    <x v="26"/>
    <s v="DQ24080173"/>
    <s v="Annual Progress Maintenance"/>
    <n v="4349.66"/>
    <d v="2024-09-17T00:00:00"/>
    <d v="2025-09-16T00:00:00"/>
    <n v="364"/>
    <n v="3094.9503846153843"/>
    <n v="370.43807692307689"/>
    <n v="346.53884615384618"/>
    <n v="370.43807692307689"/>
    <n v="358.48846153846154"/>
    <n v="370.43807692307689"/>
    <n v="358.48846153846154"/>
    <n v="370.43807692307689"/>
    <n v="370.43807692307689"/>
    <n v="179.24"/>
    <m/>
    <m/>
    <m/>
    <n v="3094.9461538461537"/>
    <m/>
    <n v="4.2307692306167155E-3"/>
  </r>
  <r>
    <d v="2025-08-31T00:00:00"/>
    <s v="Revenue"/>
    <s v="Primetics CHO"/>
    <s v="PRIME"/>
    <x v="26"/>
    <s v="DQ25080129"/>
    <s v="Annual Open Accounts Maintenance"/>
    <n v="4558.4399999999996"/>
    <d v="2025-09-17T00:00:00"/>
    <d v="2026-09-16T00:00:00"/>
    <n v="364"/>
    <m/>
    <m/>
    <m/>
    <m/>
    <m/>
    <m/>
    <m/>
    <m/>
    <m/>
    <n v="162.80142857142857"/>
    <n v="388.21879120879117"/>
    <n v="375.69560439560439"/>
    <n v="388.21879120879117"/>
    <n v="1314.9346153846154"/>
    <n v="4558.4399999999996"/>
    <n v="3243.5053846153842"/>
  </r>
  <r>
    <d v="2025-09-30T00:00:00"/>
    <s v="Revenue"/>
    <s v="Primetics CHO"/>
    <s v="PRIME"/>
    <x v="26"/>
    <s v="DQ25090141"/>
    <s v="Annual Progress Maintenance"/>
    <n v="3968.29"/>
    <d v="2025-10-23T00:00:00"/>
    <d v="2026-10-22T00:00:00"/>
    <n v="364"/>
    <m/>
    <m/>
    <m/>
    <m/>
    <m/>
    <m/>
    <m/>
    <m/>
    <m/>
    <m/>
    <n v="87.215164835164828"/>
    <n v="327.0568681318681"/>
    <n v="337.95876373626373"/>
    <n v="752.23079670329662"/>
    <n v="3968.29"/>
    <n v="3216.0592032967033"/>
  </r>
  <r>
    <d v="2024-03-31T00:00:00"/>
    <s v="Revenue"/>
    <s v="Primetics CHO"/>
    <s v="PRIME"/>
    <x v="27"/>
    <s v="DQ24030076"/>
    <s v="Annual Progress Maintenance"/>
    <n v="1137.99"/>
    <d v="2024-05-01T00:00:00"/>
    <d v="2025-04-30T00:00:00"/>
    <n v="364"/>
    <n v="372.03519230769234"/>
    <n v="96.916730769230767"/>
    <n v="90.664038461538468"/>
    <n v="96.916730769230767"/>
    <n v="87.54"/>
    <m/>
    <m/>
    <m/>
    <m/>
    <m/>
    <m/>
    <m/>
    <m/>
    <n v="372.03750000000002"/>
    <m/>
    <n v="-2.3076923076814637E-3"/>
  </r>
  <r>
    <d v="2024-02-29T00:00:00"/>
    <s v="Revenue"/>
    <s v="Primetics CHO"/>
    <s v="PRIME"/>
    <x v="27"/>
    <s v="DQ24020044"/>
    <s v="Annual Open Accounts Maintenance"/>
    <n v="3266.64"/>
    <d v="2024-04-29T00:00:00"/>
    <d v="2025-04-28T00:00:00"/>
    <n v="364"/>
    <n v="1049.9914285714285"/>
    <n v="278.20285714285711"/>
    <n v="260.25428571428569"/>
    <n v="278.20285714285711"/>
    <n v="233.33"/>
    <m/>
    <m/>
    <m/>
    <m/>
    <m/>
    <m/>
    <m/>
    <m/>
    <n v="1049.9899999999998"/>
    <m/>
    <n v="1.4285714287325391E-3"/>
  </r>
  <r>
    <d v="2025-03-31T00:00:00"/>
    <s v="Revenue"/>
    <s v="Primetics CHO"/>
    <s v="PRIME"/>
    <x v="27"/>
    <s v="DQ25030042"/>
    <s v="Annual Open Accounts Maintenance"/>
    <n v="3384.24"/>
    <d v="2025-04-29T00:00:00"/>
    <d v="2026-04-28T00:00:00"/>
    <n v="364"/>
    <m/>
    <m/>
    <m/>
    <m/>
    <n v="9.297362637362637"/>
    <n v="288.21824175824173"/>
    <n v="278.92087912087914"/>
    <n v="288.21824175824173"/>
    <n v="288.21824175824173"/>
    <n v="278.92087912087914"/>
    <n v="288.21824175824173"/>
    <n v="278.92087912087914"/>
    <n v="288.21824175824173"/>
    <n v="2287.1512087912088"/>
    <n v="3384.24"/>
    <n v="1097.088791208791"/>
  </r>
  <r>
    <d v="2025-03-31T00:00:00"/>
    <s v="Revenue"/>
    <s v="Primetics CHO"/>
    <s v="PRIME"/>
    <x v="27"/>
    <s v="DQ25030040"/>
    <s v="Annual Progress Maintenance"/>
    <n v="1178.96"/>
    <d v="2025-04-08T00:00:00"/>
    <d v="2026-04-07T00:00:00"/>
    <n v="364"/>
    <m/>
    <m/>
    <m/>
    <m/>
    <n v="71.255824175824188"/>
    <n v="100.40593406593408"/>
    <n v="97.167032967032981"/>
    <n v="100.40593406593408"/>
    <n v="100.40593406593408"/>
    <n v="97.167032967032981"/>
    <n v="100.40593406593408"/>
    <n v="97.167032967032981"/>
    <n v="100.40593406593408"/>
    <n v="864.7865934065934"/>
    <n v="1178.96"/>
    <n v="314.17340659340664"/>
  </r>
  <r>
    <d v="2024-03-31T00:00:00"/>
    <s v="Revenue"/>
    <s v="Primetics CHO"/>
    <s v="KEY"/>
    <x v="28"/>
    <s v="DQ24030072"/>
    <s v="Annual Progress Maintenance"/>
    <n v="3005.17"/>
    <d v="2024-04-23T00:00:00"/>
    <d v="2025-04-22T00:00:00"/>
    <n v="364"/>
    <n v="974.2034615384614"/>
    <n v="255.93480769230771"/>
    <n v="239.42288461538465"/>
    <n v="255.93480769230771"/>
    <n v="222.91"/>
    <m/>
    <m/>
    <m/>
    <m/>
    <m/>
    <m/>
    <m/>
    <m/>
    <n v="974.20249999999999"/>
    <m/>
    <n v="9.6153846141078247E-4"/>
  </r>
  <r>
    <d v="2024-10-31T00:00:00"/>
    <s v="Revenue"/>
    <s v="Primetics CHO"/>
    <s v="KEY"/>
    <x v="28"/>
    <s v="DQ24100207"/>
    <s v="Annual Progress Maintenance"/>
    <n v="17057.39"/>
    <d v="2024-12-01T00:00:00"/>
    <d v="2025-11-30T00:00:00"/>
    <n v="364"/>
    <n v="15604.700192307691"/>
    <n v="1452.6898076923076"/>
    <n v="1358.9678846153847"/>
    <n v="1452.6898076923076"/>
    <n v="1405.8288461538461"/>
    <n v="1452.6898076923076"/>
    <n v="1405.8288461538461"/>
    <n v="1452.6898076923076"/>
    <n v="1452.6898076923076"/>
    <n v="1405.8288461538461"/>
    <n v="1452.6898076923076"/>
    <n v="1312.11"/>
    <m/>
    <n v="15604.703269230771"/>
    <m/>
    <n v="-3.0769230797886848E-3"/>
  </r>
  <r>
    <d v="2024-09-30T00:00:00"/>
    <s v="Revenue"/>
    <s v="Primetics CHO"/>
    <s v="KEY"/>
    <x v="28"/>
    <s v="DQ24090184"/>
    <s v="Annual Open Accounts Maintenance"/>
    <n v="27370.94"/>
    <d v="2024-10-01T00:00:00"/>
    <d v="2025-09-30T00:00:00"/>
    <n v="364"/>
    <n v="20453.010109890107"/>
    <n v="2331.0415934065936"/>
    <n v="2180.6518131868133"/>
    <n v="2331.0415934065936"/>
    <n v="2255.8467032967033"/>
    <n v="2331.0415934065936"/>
    <n v="2255.8467032967033"/>
    <n v="2331.0415934065936"/>
    <n v="2331.0415934065936"/>
    <n v="2105.46"/>
    <m/>
    <m/>
    <m/>
    <n v="20453.013186813187"/>
    <m/>
    <n v="-3.0769230797886848E-3"/>
  </r>
  <r>
    <d v="2024-08-31T00:00:00"/>
    <s v="Revenue"/>
    <s v="Primetics CHO"/>
    <s v="KEY"/>
    <x v="28"/>
    <s v="DQ24080171"/>
    <s v="Annual Progress Maintenance"/>
    <n v="46368.65"/>
    <d v="2024-09-07T00:00:00"/>
    <d v="2025-09-06T00:00:00"/>
    <n v="364"/>
    <n v="31719.213873626373"/>
    <n v="3948.9784340659344"/>
    <n v="3694.2056318681321"/>
    <n v="3948.9784340659344"/>
    <n v="3821.592032967033"/>
    <n v="3948.9784340659344"/>
    <n v="3821.592032967033"/>
    <n v="3948.9784340659344"/>
    <n v="3948.9784340659344"/>
    <n v="636.92999999999995"/>
    <m/>
    <m/>
    <m/>
    <n v="31719.211868131875"/>
    <m/>
    <n v="2.0054944980074652E-3"/>
  </r>
  <r>
    <d v="2025-03-31T00:00:00"/>
    <s v="Revenue"/>
    <s v="Primetics CHO"/>
    <s v="KEY"/>
    <x v="28"/>
    <s v="DQ25030044"/>
    <s v="Annual Progress Maintenance"/>
    <n v="3113.36"/>
    <d v="2025-04-23T00:00:00"/>
    <d v="2026-04-22T00:00:00"/>
    <n v="364"/>
    <m/>
    <m/>
    <m/>
    <m/>
    <n v="59.8723076923077"/>
    <n v="265.14879120879124"/>
    <n v="256.59560439560443"/>
    <n v="265.14879120879124"/>
    <n v="265.14879120879124"/>
    <n v="256.59560439560443"/>
    <n v="265.14879120879124"/>
    <n v="256.59560439560443"/>
    <n v="265.14879120879124"/>
    <n v="2155.4030769230772"/>
    <n v="3113.36"/>
    <n v="957.95692307692298"/>
  </r>
  <r>
    <d v="2025-08-31T00:00:00"/>
    <s v="Revenue"/>
    <s v="Primetics CHO"/>
    <s v="KEY"/>
    <x v="28"/>
    <s v="DQ25080135"/>
    <s v="Annual Progress Maintenance"/>
    <n v="48594.35"/>
    <d v="2025-09-07T00:00:00"/>
    <d v="2026-09-06T00:00:00"/>
    <n v="364"/>
    <m/>
    <m/>
    <m/>
    <m/>
    <m/>
    <m/>
    <m/>
    <m/>
    <m/>
    <n v="3070.5221153846151"/>
    <n v="4138.5298076923073"/>
    <n v="4005.0288461538457"/>
    <n v="4138.5298076923073"/>
    <n v="15352.610576923074"/>
    <n v="48594.35"/>
    <n v="33241.739423076928"/>
  </r>
  <r>
    <d v="2025-09-30T00:00:00"/>
    <s v="Revenue"/>
    <s v="Primetics CHO"/>
    <s v="KEY"/>
    <x v="28"/>
    <s v="DQ25090145"/>
    <s v="Annual Open Accounts Maintenance"/>
    <n v="28684.75"/>
    <d v="2025-10-01T00:00:00"/>
    <d v="2026-09-30T00:00:00"/>
    <n v="364"/>
    <m/>
    <m/>
    <m/>
    <m/>
    <m/>
    <m/>
    <m/>
    <m/>
    <m/>
    <m/>
    <n v="2442.9320054945056"/>
    <n v="2364.1277472527472"/>
    <n v="2442.9320054945056"/>
    <n v="7249.9917582417584"/>
    <n v="28684.75"/>
    <n v="21434.758241758242"/>
  </r>
  <r>
    <d v="2025-10-31T00:00:00"/>
    <s v="Revenue"/>
    <s v="Primetics CHO"/>
    <s v="KEY"/>
    <x v="28"/>
    <s v="DQ25100170"/>
    <s v="Annual Progress Maintenance"/>
    <n v="17842.03"/>
    <d v="2025-12-01T00:00:00"/>
    <d v="2026-11-30T00:00:00"/>
    <n v="364"/>
    <m/>
    <m/>
    <m/>
    <m/>
    <m/>
    <m/>
    <m/>
    <m/>
    <m/>
    <m/>
    <m/>
    <m/>
    <n v="1519.5135439560438"/>
    <n v="1519.5135439560438"/>
    <n v="17842.03"/>
    <n v="16322.516456043955"/>
  </r>
  <r>
    <d v="2024-10-31T00:00:00"/>
    <s v="Revenue"/>
    <s v="Primetics CHO"/>
    <s v="PRIME"/>
    <x v="29"/>
    <s v="DQ24100209"/>
    <s v="Annual Progress Maintenance Credit"/>
    <n v="-6850.66"/>
    <d v="2024-11-07T00:00:00"/>
    <d v="2025-11-06T00:00:00"/>
    <n v="364"/>
    <n v="-5834.353296703297"/>
    <n v="-583.43532967032968"/>
    <n v="-545.79434065934061"/>
    <n v="-583.43532967032968"/>
    <n v="-564.6148351648352"/>
    <n v="-583.43532967032968"/>
    <n v="-564.6148351648352"/>
    <n v="-583.43532967032968"/>
    <n v="-583.43532967032968"/>
    <n v="-564.6148351648352"/>
    <n v="-583.43532967032968"/>
    <n v="-94.1"/>
    <m/>
    <n v="-5834.3508241758245"/>
    <m/>
    <n v="-2.4725274724914925E-3"/>
  </r>
  <r>
    <d v="2024-11-30T00:00:00"/>
    <s v="Revenue"/>
    <s v="Primetics CHO"/>
    <s v="PRIME"/>
    <x v="29"/>
    <s v="DQ24110231"/>
    <s v="Annual Open Accounts Maintenance"/>
    <n v="1744.04"/>
    <d v="2024-12-01T00:00:00"/>
    <d v="2025-11-30T00:00:00"/>
    <n v="364"/>
    <n v="1595.5091208791209"/>
    <n v="148.53087912087912"/>
    <n v="138.94824175824175"/>
    <n v="148.53087912087912"/>
    <n v="143.73956043956042"/>
    <n v="148.53087912087912"/>
    <n v="143.73956043956042"/>
    <n v="148.53087912087912"/>
    <n v="148.53087912087912"/>
    <n v="143.73956043956042"/>
    <n v="148.53087912087912"/>
    <n v="134.16"/>
    <m/>
    <n v="1595.5121978021978"/>
    <m/>
    <n v="-3.0769230768328271E-3"/>
  </r>
  <r>
    <d v="2024-09-30T00:00:00"/>
    <s v="Revenue"/>
    <s v="Primetics CHO"/>
    <s v="PRIME"/>
    <x v="29"/>
    <s v="DQ24090183"/>
    <s v="Annual Progress Maintenance"/>
    <n v="3284.56"/>
    <d v="2024-10-19T00:00:00"/>
    <d v="2025-10-18T00:00:00"/>
    <n v="364"/>
    <n v="2625.8432967032968"/>
    <n v="279.72901098901099"/>
    <n v="261.68197802197801"/>
    <n v="279.72901098901099"/>
    <n v="270.70549450549447"/>
    <n v="279.72901098901099"/>
    <n v="270.70549450549447"/>
    <n v="279.72901098901099"/>
    <n v="279.72901098901099"/>
    <n v="270.70549450549447"/>
    <n v="153.4"/>
    <m/>
    <m/>
    <n v="2625.8435164835159"/>
    <m/>
    <n v="-2.1978021914037527E-4"/>
  </r>
  <r>
    <d v="2024-10-31T00:00:00"/>
    <s v="Revenue"/>
    <s v="Primetics CHO"/>
    <s v="PRIME"/>
    <x v="29"/>
    <s v="DQ24100208"/>
    <s v="Annual Progress Maintenance"/>
    <n v="3566.1"/>
    <d v="2024-11-07T00:00:00"/>
    <d v="2025-11-06T00:00:00"/>
    <n v="364"/>
    <n v="3037.0631868131868"/>
    <n v="303.70631868131869"/>
    <n v="284.11236263736265"/>
    <n v="303.70631868131869"/>
    <n v="293.90934065934067"/>
    <n v="303.70631868131869"/>
    <n v="293.90934065934067"/>
    <n v="303.70631868131869"/>
    <n v="303.70631868131869"/>
    <n v="293.90934065934067"/>
    <n v="303.70631868131869"/>
    <n v="48.98"/>
    <m/>
    <n v="3037.0582967032969"/>
    <m/>
    <n v="4.8901098898568307E-3"/>
  </r>
  <r>
    <d v="2024-10-31T00:00:00"/>
    <s v="Revenue"/>
    <s v="Primetics CHO"/>
    <s v="PRIME"/>
    <x v="29"/>
    <s v="DQ24100210"/>
    <s v="Annual Progress Maintenance"/>
    <n v="3700.66"/>
    <d v="2024-11-07T00:00:00"/>
    <d v="2025-11-06T00:00:00"/>
    <n v="364"/>
    <n v="3151.6609890109889"/>
    <n v="315.16609890109891"/>
    <n v="294.83280219780221"/>
    <n v="315.16609890109891"/>
    <n v="304.99945054945056"/>
    <n v="315.16609890109891"/>
    <n v="304.99945054945056"/>
    <n v="315.16609890109891"/>
    <n v="315.16609890109891"/>
    <n v="304.99945054945056"/>
    <n v="315.16609890109891"/>
    <n v="50.83"/>
    <m/>
    <n v="3151.657747252747"/>
    <m/>
    <n v="3.2417582419839164E-3"/>
  </r>
  <r>
    <d v="2025-09-30T00:00:00"/>
    <s v="Revenue"/>
    <s v="Primetics CHO"/>
    <s v="PRIME"/>
    <x v="29"/>
    <s v="DQ25090142"/>
    <s v="Annual Progress Maintenance"/>
    <n v="3878.19"/>
    <d v="2025-10-19T00:00:00"/>
    <d v="2026-10-18T00:00:00"/>
    <n v="364"/>
    <m/>
    <m/>
    <m/>
    <m/>
    <m/>
    <m/>
    <m/>
    <m/>
    <m/>
    <m/>
    <n v="127.85241758241759"/>
    <n v="319.63104395604398"/>
    <n v="330.28541208791211"/>
    <n v="777.76887362637376"/>
    <n v="3878.19"/>
    <n v="3100.4211263736261"/>
  </r>
  <r>
    <d v="2025-10-31T00:00:00"/>
    <s v="Revenue"/>
    <s v="Primetics CHO"/>
    <s v="PRIME"/>
    <x v="29"/>
    <s v="DQ25100174"/>
    <s v="Annual Open Accounts Maintenance"/>
    <n v="1824.27"/>
    <d v="2025-12-01T00:00:00"/>
    <d v="2026-11-30T00:00:00"/>
    <n v="364"/>
    <m/>
    <m/>
    <m/>
    <m/>
    <m/>
    <m/>
    <m/>
    <m/>
    <m/>
    <m/>
    <m/>
    <m/>
    <n v="155.36365384615382"/>
    <n v="155.36365384615382"/>
    <n v="1824.27"/>
    <n v="1668.9063461538462"/>
  </r>
  <r>
    <d v="2024-02-29T00:00:00"/>
    <s v="Revenue"/>
    <s v="Primetics CHO"/>
    <s v="PRIME"/>
    <x v="30"/>
    <s v="DQ24020049"/>
    <s v="Annual Open Accounts &amp; Making"/>
    <n v="7363.29"/>
    <d v="2024-03-25T00:00:00"/>
    <d v="2025-03-24T00:00:00"/>
    <n v="364"/>
    <n v="1678.9919505494499"/>
    <n v="627.09337912087915"/>
    <n v="586.63574175824181"/>
    <n v="465.26"/>
    <m/>
    <m/>
    <m/>
    <m/>
    <m/>
    <m/>
    <m/>
    <m/>
    <m/>
    <n v="1678.9891208791209"/>
    <m/>
    <n v="2.8296703289925063E-3"/>
  </r>
  <r>
    <d v="2024-02-29T00:00:00"/>
    <s v="Revenue"/>
    <s v="Primetics CHO"/>
    <s v="PRIME"/>
    <x v="30"/>
    <s v="DQ24020050"/>
    <s v="Annual Progress Maintenance"/>
    <n v="14651.94"/>
    <d v="2024-03-25T00:00:00"/>
    <d v="2025-03-24T00:00:00"/>
    <n v="364"/>
    <n v="3340.9643406593423"/>
    <n v="1247.8300549450548"/>
    <n v="1167.32489010989"/>
    <n v="925.81"/>
    <m/>
    <m/>
    <m/>
    <m/>
    <m/>
    <m/>
    <m/>
    <m/>
    <m/>
    <n v="3340.9649450549446"/>
    <m/>
    <n v="-6.0439560229497147E-4"/>
  </r>
  <r>
    <d v="2025-02-28T00:00:00"/>
    <s v="Revenue"/>
    <s v="Primetics CHO"/>
    <s v="PRIME"/>
    <x v="30"/>
    <s v="DQ25020011"/>
    <s v="Annual Progress Maintenance"/>
    <n v="15164.76"/>
    <d v="2025-03-25T00:00:00"/>
    <d v="2026-03-24T00:00:00"/>
    <n v="364"/>
    <m/>
    <m/>
    <m/>
    <n v="249.96857142857144"/>
    <n v="1249.8428571428572"/>
    <n v="1291.5042857142857"/>
    <n v="1249.8428571428572"/>
    <n v="1291.5042857142857"/>
    <n v="1291.5042857142857"/>
    <n v="1249.8428571428572"/>
    <n v="1291.5042857142857"/>
    <n v="1249.8428571428572"/>
    <n v="1291.5042857142857"/>
    <n v="11706.861428571428"/>
    <n v="15164.76"/>
    <n v="3457.8985714285718"/>
  </r>
  <r>
    <d v="2025-02-28T00:00:00"/>
    <s v="Revenue"/>
    <s v="Primetics CHO"/>
    <s v="PRIME"/>
    <x v="30"/>
    <s v="DQ25020020"/>
    <s v="Annual Open Accounts "/>
    <n v="7621.01"/>
    <d v="2025-03-25T00:00:00"/>
    <d v="2026-03-24T00:00:00"/>
    <n v="364"/>
    <m/>
    <m/>
    <m/>
    <n v="125.62104395604396"/>
    <n v="628.10521978021984"/>
    <n v="649.04206043956049"/>
    <n v="628.10521978021984"/>
    <n v="649.04206043956049"/>
    <n v="649.04206043956049"/>
    <n v="628.10521978021984"/>
    <n v="649.04206043956049"/>
    <n v="628.10521978021984"/>
    <n v="649.04206043956049"/>
    <n v="5883.2522252747258"/>
    <n v="7621.01"/>
    <n v="1737.7577747252744"/>
  </r>
  <r>
    <d v="2024-12-31T00:00:00"/>
    <s v="Revenue"/>
    <s v="Primetics CHO"/>
    <s v="PRIME"/>
    <x v="31"/>
    <s v="DQ24120259"/>
    <s v="Annual Progress Maintenance"/>
    <n v="1546.68"/>
    <d v="2025-01-23T00:00:00"/>
    <d v="2026-01-22T00:00:00"/>
    <n v="364"/>
    <n v="1546.68"/>
    <n v="33.992967032967037"/>
    <n v="123.22450549450551"/>
    <n v="131.72274725274727"/>
    <n v="127.47362637362639"/>
    <n v="131.72274725274727"/>
    <n v="127.47362637362639"/>
    <n v="131.72274725274727"/>
    <n v="131.72274725274727"/>
    <n v="127.47362637362639"/>
    <n v="131.72274725274727"/>
    <n v="127.47362637362639"/>
    <n v="131.72274725274727"/>
    <n v="1457.4484615384615"/>
    <m/>
    <n v="89.231538461538548"/>
  </r>
  <r>
    <d v="2024-02-28T00:00:00"/>
    <s v="Revenue"/>
    <s v="Primetics CHO"/>
    <s v="PRIME"/>
    <x v="31"/>
    <s v="DQ24020040"/>
    <s v="Annual OA &amp; Progress Maintenance"/>
    <n v="3674.35"/>
    <d v="2024-03-05T00:00:00"/>
    <d v="2025-03-05T00:00:00"/>
    <n v="365"/>
    <n v="644.26958904109597"/>
    <n v="312.06808219178083"/>
    <n v="291.93465753424658"/>
    <n v="40.270000000000003"/>
    <m/>
    <m/>
    <m/>
    <m/>
    <m/>
    <m/>
    <m/>
    <m/>
    <m/>
    <n v="644.27273972602734"/>
    <m/>
    <n v="-3.1506849313700513E-3"/>
  </r>
  <r>
    <d v="2025-02-28T00:00:00"/>
    <s v="Revenue"/>
    <s v="Primetics CHO"/>
    <s v="PRIME"/>
    <x v="31"/>
    <s v="DQ25020018"/>
    <s v="Annual OA &amp; Progress Maintenance"/>
    <n v="3802.95"/>
    <d v="2025-03-05T00:00:00"/>
    <d v="2026-03-05T00:00:00"/>
    <n v="365"/>
    <m/>
    <m/>
    <m/>
    <n v="270.89506849315069"/>
    <n v="312.57123287671232"/>
    <n v="322.99027397260272"/>
    <n v="312.57123287671232"/>
    <n v="322.99027397260272"/>
    <n v="322.99027397260272"/>
    <n v="312.57123287671232"/>
    <n v="322.99027397260272"/>
    <n v="312.57123287671232"/>
    <n v="322.99027397260272"/>
    <n v="3136.1313698630129"/>
    <n v="3802.95"/>
    <n v="666.81863013698694"/>
  </r>
  <r>
    <d v="2025-02-28T00:00:00"/>
    <s v="Revenue"/>
    <s v="Primetics CHO"/>
    <s v="PRIME"/>
    <x v="31"/>
    <s v="DQ25020021"/>
    <s v="Annual Progress Maintenance"/>
    <n v="-1545.18"/>
    <d v="2025-03-05T00:00:00"/>
    <d v="2026-03-05T00:00:00"/>
    <n v="365"/>
    <m/>
    <m/>
    <m/>
    <n v="-110.06761643835615"/>
    <n v="-127.00109589041095"/>
    <n v="-131.23446575342464"/>
    <n v="-127.00109589041095"/>
    <n v="-131.23446575342464"/>
    <n v="-131.23446575342464"/>
    <n v="-127.00109589041095"/>
    <n v="-131.23446575342464"/>
    <n v="-127.00109589041095"/>
    <n v="-131.23446575342464"/>
    <n v="-1274.2443287671231"/>
    <n v="-1545.18"/>
    <n v="-270.93567123287698"/>
  </r>
  <r>
    <d v="2025-12-31T00:00:00"/>
    <s v="Revenue"/>
    <s v="Primetics CHO"/>
    <s v="PRIME"/>
    <x v="31"/>
    <s v="DQ25120201"/>
    <s v="Annual Progress Maintenance"/>
    <n v="1613.19"/>
    <d v="2026-03-05T00:00:00"/>
    <d v="2027-03-05T00:00:00"/>
    <n v="365"/>
    <m/>
    <m/>
    <m/>
    <m/>
    <m/>
    <m/>
    <m/>
    <m/>
    <m/>
    <m/>
    <m/>
    <m/>
    <m/>
    <n v="0"/>
    <n v="1613.19"/>
    <n v="1613.19"/>
  </r>
  <r>
    <d v="2024-02-29T00:00:00"/>
    <s v="Revenue"/>
    <s v="Primetics CHO"/>
    <s v="KEY"/>
    <x v="32"/>
    <s v="DQ24020047"/>
    <s v="Annual Open Accounts Maintenan"/>
    <n v="18259.27"/>
    <d v="2024-03-15T00:00:00"/>
    <d v="2025-03-14T00:00:00"/>
    <n v="364"/>
    <n v="3661.8865659340681"/>
    <n v="1555.0477197802197"/>
    <n v="1454.7220604395604"/>
    <n v="652.12"/>
    <m/>
    <m/>
    <m/>
    <m/>
    <m/>
    <m/>
    <m/>
    <m/>
    <m/>
    <n v="3661.8897802197798"/>
    <m/>
    <n v="-3.2142857116923551E-3"/>
  </r>
  <r>
    <d v="2024-02-29T00:00:00"/>
    <s v="Revenue"/>
    <s v="Primetics CHO"/>
    <s v="KEY"/>
    <x v="32"/>
    <s v="DQ24020048"/>
    <s v="Annual Progress Maintenance"/>
    <n v="40455.019999999997"/>
    <d v="2024-03-15T00:00:00"/>
    <d v="2025-03-14T00:00:00"/>
    <n v="364"/>
    <n v="8113.2320329670292"/>
    <n v="3445.3451098901096"/>
    <n v="3223.06478021978"/>
    <n v="1444.82"/>
    <m/>
    <m/>
    <m/>
    <m/>
    <m/>
    <m/>
    <m/>
    <m/>
    <m/>
    <n v="8113.2298901098893"/>
    <m/>
    <n v="2.1428571399155771E-3"/>
  </r>
  <r>
    <d v="2025-02-28T00:00:00"/>
    <s v="Revenue"/>
    <s v="Primetics CHO"/>
    <s v="KEY"/>
    <x v="32"/>
    <s v="DQ25020012"/>
    <s v="Annual Progress Maintenance"/>
    <n v="41870.949999999997"/>
    <d v="2025-03-15T00:00:00"/>
    <d v="2026-03-14T00:00:00"/>
    <n v="364"/>
    <m/>
    <m/>
    <m/>
    <n v="1840.4813186813185"/>
    <n v="3450.9024725274721"/>
    <n v="3565.9325549450546"/>
    <n v="3450.9024725274721"/>
    <n v="3565.9325549450546"/>
    <n v="3565.9325549450546"/>
    <n v="3450.9024725274721"/>
    <n v="3565.9325549450546"/>
    <n v="3450.9024725274721"/>
    <n v="3565.9325549450546"/>
    <n v="33473.753983516479"/>
    <n v="41870.949999999997"/>
    <n v="8397.1960164835182"/>
  </r>
  <r>
    <d v="2025-02-28T00:00:00"/>
    <s v="Revenue"/>
    <s v="Primetics CHO"/>
    <s v="KEY"/>
    <x v="32"/>
    <s v="DQ25020019"/>
    <s v="Annual Open Accounts Maintenance"/>
    <n v="18898.34"/>
    <d v="2025-03-15T00:00:00"/>
    <d v="2026-03-14T00:00:00"/>
    <n v="364"/>
    <m/>
    <m/>
    <m/>
    <n v="830.69626373626375"/>
    <n v="1557.5554945054946"/>
    <n v="1609.474010989011"/>
    <n v="1557.5554945054946"/>
    <n v="1609.474010989011"/>
    <n v="1609.474010989011"/>
    <n v="1557.5554945054946"/>
    <n v="1609.474010989011"/>
    <n v="1557.5554945054946"/>
    <n v="1609.474010989011"/>
    <n v="15108.288296703297"/>
    <n v="18898.34"/>
    <n v="3790.0517032967036"/>
  </r>
  <r>
    <d v="2024-07-31T00:00:00"/>
    <s v="Revenue"/>
    <s v="Primetics CHO"/>
    <s v="PRIME"/>
    <x v="33"/>
    <s v="DQ24070156"/>
    <s v="Annual Progress Maintenance"/>
    <n v="1038.8900000000001"/>
    <d v="2024-08-28T00:00:00"/>
    <d v="2025-08-27T00:00:00"/>
    <n v="364"/>
    <n v="682.12832417582422"/>
    <n v="88.476895604395608"/>
    <n v="82.768708791208795"/>
    <n v="88.476895604395608"/>
    <n v="85.622802197802201"/>
    <n v="88.476895604395608"/>
    <n v="85.622802197802201"/>
    <n v="88.476895604395608"/>
    <n v="74.209999999999994"/>
    <m/>
    <m/>
    <m/>
    <m/>
    <n v="682.13189560439571"/>
    <m/>
    <n v="-3.5714285714902871E-3"/>
  </r>
  <r>
    <d v="2023-12-31T00:00:00"/>
    <s v="Revenue"/>
    <s v="Primetics CHO"/>
    <s v="PRIME"/>
    <x v="33"/>
    <s v="DQ23120307"/>
    <s v="Annual Progress Maintenance"/>
    <n v="8749.34"/>
    <d v="2024-01-18T00:00:00"/>
    <d v="2025-01-17T00:00:00"/>
    <n v="365"/>
    <n v="407.5135068493164"/>
    <n v="407.51"/>
    <m/>
    <m/>
    <m/>
    <m/>
    <m/>
    <m/>
    <m/>
    <m/>
    <m/>
    <m/>
    <m/>
    <n v="407.51"/>
    <m/>
    <n v="3.5068493164089887E-3"/>
  </r>
  <r>
    <d v="2024-12-31T00:00:00"/>
    <s v="Revenue"/>
    <s v="Primetics CHO"/>
    <s v="PRIME"/>
    <x v="33"/>
    <s v="DQ24120258"/>
    <s v="Annual Progress and Synergex Maintenance"/>
    <n v="9064.33"/>
    <d v="2025-01-18T00:00:00"/>
    <d v="2026-01-17T00:00:00"/>
    <n v="364"/>
    <n v="9064.33"/>
    <n v="323.72607142857146"/>
    <n v="722.15815934065938"/>
    <n v="771.96217032967036"/>
    <n v="747.06016483516487"/>
    <n v="771.96217032967036"/>
    <n v="747.06016483516487"/>
    <n v="771.96217032967036"/>
    <n v="771.96217032967036"/>
    <n v="747.06016483516487"/>
    <n v="771.96217032967036"/>
    <n v="747.06016483516487"/>
    <n v="771.96217032967036"/>
    <n v="8665.8979120879121"/>
    <m/>
    <n v="398.43208791208781"/>
  </r>
  <r>
    <d v="2025-08-31T00:00:00"/>
    <s v="Revenue"/>
    <s v="Primetics CHO"/>
    <s v="PRIME"/>
    <x v="33"/>
    <s v="DQ25060093"/>
    <s v="Annual Progress Maintenance"/>
    <n v="1083.56"/>
    <d v="2025-08-28T00:00:00"/>
    <d v="2026-08-27T00:00:00"/>
    <n v="364"/>
    <m/>
    <m/>
    <m/>
    <m/>
    <m/>
    <m/>
    <m/>
    <m/>
    <n v="8.9304395604395594"/>
    <n v="89.304395604395594"/>
    <n v="92.281208791208783"/>
    <n v="89.304395604395594"/>
    <n v="92.281208791208783"/>
    <n v="372.10164835164829"/>
    <n v="1083.56"/>
    <n v="711.45835164835171"/>
  </r>
  <r>
    <d v="2024-03-31T00:00:00"/>
    <s v="Revenue"/>
    <s v="Primetics CHO"/>
    <s v="KEY"/>
    <x v="14"/>
    <s v="DQ24030073"/>
    <s v="Annual Progress Maintenance(Woodheads)"/>
    <n v="1082.1500000000001"/>
    <d v="2024-04-11T00:00:00"/>
    <d v="2025-04-10T00:00:00"/>
    <n v="364"/>
    <n v="297.29395604395597"/>
    <n v="92.161126373626388"/>
    <n v="86.215247252747261"/>
    <n v="92.161126373626388"/>
    <n v="26.76"/>
    <m/>
    <m/>
    <m/>
    <m/>
    <m/>
    <m/>
    <m/>
    <m/>
    <n v="297.29750000000001"/>
    <m/>
    <n v="-3.5439560440408968E-3"/>
  </r>
  <r>
    <d v="2024-01-31T00:00:00"/>
    <s v="Revenue"/>
    <s v="Primetics CHO"/>
    <s v="KEY"/>
    <x v="14"/>
    <s v="DQ24010022"/>
    <s v="Annual Progress Maintenance"/>
    <n v="1408.95"/>
    <d v="2024-04-11T00:00:00"/>
    <d v="2025-04-10T00:00:00"/>
    <n v="364"/>
    <n v="229.01005005268689"/>
    <n v="119.99299450549451"/>
    <n v="112.251510989011"/>
    <n v="119.99299450549451"/>
    <n v="-123.23"/>
    <m/>
    <m/>
    <m/>
    <m/>
    <m/>
    <m/>
    <m/>
    <m/>
    <n v="229.00749999999999"/>
    <m/>
    <n v="2.5500526868995621E-3"/>
  </r>
  <r>
    <d v="2025-02-28T00:00:00"/>
    <s v="Revenue"/>
    <s v="Primetics CHO"/>
    <s v="KEY"/>
    <x v="14"/>
    <s v="DQ25020017"/>
    <s v="Annual Progress Maintenance"/>
    <n v="1458.26"/>
    <d v="2025-04-11T00:00:00"/>
    <d v="2026-04-10T00:00:00"/>
    <n v="364"/>
    <m/>
    <m/>
    <m/>
    <m/>
    <n v="76.11796703296703"/>
    <n v="124.19247252747252"/>
    <n v="120.18626373626373"/>
    <n v="124.19247252747252"/>
    <n v="124.19247252747252"/>
    <n v="120.18626373626373"/>
    <n v="124.19247252747252"/>
    <n v="120.18626373626373"/>
    <n v="124.19247252747252"/>
    <n v="1057.6391208791208"/>
    <n v="1458.26"/>
    <n v="400.62087912087918"/>
  </r>
  <r>
    <d v="2024-01-31T00:00:00"/>
    <s v="Revenue"/>
    <s v="Solentra"/>
    <m/>
    <x v="34"/>
    <s v="DQ24010004"/>
    <s v="Annual Corvu Maintenance"/>
    <n v="11623.69"/>
    <d v="2024-01-06T00:00:00"/>
    <d v="2025-01-05T00:00:00"/>
    <n v="365"/>
    <n v="159.22999999999999"/>
    <n v="159.22999999999999"/>
    <m/>
    <m/>
    <m/>
    <m/>
    <m/>
    <m/>
    <m/>
    <m/>
    <m/>
    <m/>
    <m/>
    <n v="159.22999999999999"/>
    <m/>
    <n v="159.22999999999999"/>
  </r>
  <r>
    <d v="2024-02-29T00:00:00"/>
    <s v="Revenue"/>
    <s v="Solentra"/>
    <m/>
    <x v="34"/>
    <s v="DQ24020045"/>
    <s v="Annual Progress Maintenance"/>
    <n v="178119.09"/>
    <d v="2024-04-01T00:00:00"/>
    <d v="2025-03-31T00:00:00"/>
    <n v="364"/>
    <n v="43551.1"/>
    <n v="15169.482939560439"/>
    <n v="14190.806620879121"/>
    <n v="14190.81"/>
    <m/>
    <m/>
    <m/>
    <m/>
    <m/>
    <m/>
    <m/>
    <m/>
    <m/>
    <n v="43551.099560439558"/>
    <m/>
    <n v="43551.1"/>
  </r>
  <r>
    <d v="2025-01-31T00:00:00"/>
    <s v="Revenue"/>
    <s v="Solentra"/>
    <m/>
    <x v="34"/>
    <s v="DQ25010002"/>
    <s v="Annual Corvu Maintenance"/>
    <n v="12216.5"/>
    <d v="2025-01-06T00:00:00"/>
    <d v="2026-01-05T00:00:00"/>
    <n v="364"/>
    <m/>
    <n v="839.04532967032969"/>
    <n v="973.29258241758248"/>
    <n v="1040.4162087912089"/>
    <n v="1006.8543956043957"/>
    <n v="1040.4162087912089"/>
    <n v="1006.8543956043957"/>
    <n v="1040.4162087912089"/>
    <n v="1040.4162087912089"/>
    <n v="1006.85"/>
    <n v="1040.42"/>
    <n v="1006.85"/>
    <n v="1040.42"/>
    <n v="12082.25153846154"/>
    <n v="12216.5"/>
    <n v="0"/>
  </r>
  <r>
    <d v="2025-02-28T00:00:00"/>
    <s v="Revenue"/>
    <s v="Solentra"/>
    <m/>
    <x v="34"/>
    <s v="DQ25020010"/>
    <s v="Annual Progress Maintenance"/>
    <n v="188093.75"/>
    <d v="2025-04-01T00:00:00"/>
    <d v="2026-03-31T00:00:00"/>
    <n v="364"/>
    <m/>
    <m/>
    <m/>
    <m/>
    <n v="15502.232142857143"/>
    <n v="16018.973214285716"/>
    <n v="15502.232142857143"/>
    <n v="16018.973214285716"/>
    <n v="16018.973214285716"/>
    <n v="15502.23"/>
    <n v="16018.97"/>
    <n v="15502.23"/>
    <n v="16018.97"/>
    <n v="142103.78392857141"/>
    <n v="188093.75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s v="Q-21-0002"/>
    <s v="5000-91-5-454"/>
    <x v="0"/>
    <s v="Additional Users"/>
    <s v="DQ21010047"/>
    <n v="8266"/>
    <d v="2021-01-01T00:00:00"/>
    <d v="2022-01-01T00:00:00"/>
    <x v="0"/>
    <m/>
    <n v="1653.2"/>
    <n v="1653.2"/>
    <n v="1653.2"/>
    <n v="1653.2"/>
    <n v="1653.2"/>
  </r>
  <r>
    <s v="Q-20-0240"/>
    <s v="5000-91-5-604"/>
    <x v="1"/>
    <s v="Gold User Licences - KIT Migration "/>
    <s v="DQ21010024"/>
    <n v="40695"/>
    <d v="2021-01-01T00:00:00"/>
    <d v="2022-01-01T00:00:00"/>
    <x v="0"/>
    <m/>
    <n v="8139"/>
    <n v="8139"/>
    <n v="8139"/>
    <n v="8139"/>
    <n v="8139"/>
  </r>
  <r>
    <s v="Q-20-0279"/>
    <s v="5000-91-5-604"/>
    <x v="2"/>
    <s v="Weighbridge Integration "/>
    <s v="DQ21010044"/>
    <n v="5000"/>
    <d v="2021-01-01T00:00:00"/>
    <d v="2022-01-01T00:00:00"/>
    <x v="0"/>
    <m/>
    <n v="1000"/>
    <n v="1000"/>
    <n v="1000"/>
    <n v="1000"/>
    <n v="1000"/>
  </r>
  <r>
    <s v="Q-21-0006"/>
    <s v="5000-91-5-604"/>
    <x v="3"/>
    <s v="Additional Gold User Licences"/>
    <s v="DQ21010017"/>
    <n v="11700"/>
    <d v="2021-01-01T00:00:00"/>
    <d v="2022-01-01T00:00:00"/>
    <x v="0"/>
    <m/>
    <n v="2340"/>
    <n v="2340"/>
    <n v="2340"/>
    <n v="2340"/>
    <n v="2340"/>
  </r>
  <r>
    <s v="Q-20-0265"/>
    <s v="5000-91-5-604"/>
    <x v="3"/>
    <s v="Document Transmission"/>
    <s v="DQ21010043"/>
    <n v="6500"/>
    <d v="2021-01-01T00:00:00"/>
    <d v="2022-01-01T00:00:00"/>
    <x v="0"/>
    <m/>
    <n v="1300"/>
    <n v="1300"/>
    <n v="1300"/>
    <n v="1300"/>
    <n v="1300"/>
  </r>
  <r>
    <s v="Q-19-0431"/>
    <s v="5000-91-5-604"/>
    <x v="3"/>
    <s v="Generation Licenses"/>
    <s v="DQ21020103"/>
    <n v="11875"/>
    <d v="2021-02-01T00:00:00"/>
    <d v="2022-02-01T00:00:00"/>
    <x v="1"/>
    <m/>
    <n v="2375"/>
    <n v="2375"/>
    <n v="2375"/>
    <n v="2375"/>
    <n v="2375"/>
  </r>
  <r>
    <s v="Q-20-0208"/>
    <s v="5000-91-5-454"/>
    <x v="4"/>
    <s v="Genware"/>
    <s v="DQ21020056"/>
    <n v="3666.25"/>
    <d v="2021-02-01T00:00:00"/>
    <d v="2022-02-01T00:00:00"/>
    <x v="1"/>
    <m/>
    <n v="733.25"/>
    <n v="733.25"/>
    <n v="733.25"/>
    <n v="733.25"/>
    <n v="733.25"/>
  </r>
  <r>
    <m/>
    <s v="5000-91-5-454"/>
    <x v="0"/>
    <s v="Barenbrug Doc Storage "/>
    <s v="DQ21030128"/>
    <n v="7500"/>
    <d v="2021-03-01T00:00:00"/>
    <d v="2022-03-01T00:00:00"/>
    <x v="2"/>
    <m/>
    <n v="1500"/>
    <n v="1500"/>
    <n v="1500"/>
    <n v="1500"/>
    <n v="1500"/>
  </r>
  <r>
    <m/>
    <s v="5000-91-5-604"/>
    <x v="5"/>
    <s v="2 x Gold User Licences"/>
    <s v="DQ21030117"/>
    <n v="5000"/>
    <d v="2021-03-01T00:00:00"/>
    <d v="2022-03-01T00:00:00"/>
    <x v="2"/>
    <m/>
    <n v="1000"/>
    <n v="1000"/>
    <n v="1000"/>
    <n v="1000"/>
    <n v="1000"/>
  </r>
  <r>
    <m/>
    <s v="5000-91-5-604"/>
    <x v="3"/>
    <s v="6 x Gold User Licences"/>
    <s v="DQ21003160"/>
    <n v="13500"/>
    <d v="2021-03-01T00:00:00"/>
    <d v="2022-03-01T00:00:00"/>
    <x v="2"/>
    <m/>
    <n v="2700"/>
    <n v="2700"/>
    <n v="2700"/>
    <n v="2700"/>
    <n v="2700"/>
  </r>
  <r>
    <m/>
    <s v="5000-91-5-604"/>
    <x v="2"/>
    <s v="2 x Gold User Licences"/>
    <s v="DQ21050229"/>
    <n v="5000"/>
    <d v="2021-05-01T00:00:00"/>
    <d v="2022-05-01T00:00:00"/>
    <x v="3"/>
    <m/>
    <n v="1000"/>
    <n v="1000"/>
    <n v="1000"/>
    <n v="1000"/>
    <n v="1000"/>
  </r>
  <r>
    <s v="Q-19-0431"/>
    <s v="5000-91-5-604"/>
    <x v="3"/>
    <s v="Generaton Licences"/>
    <s v="DQ21060303"/>
    <n v="11875"/>
    <d v="2021-06-01T00:00:00"/>
    <d v="2022-06-01T00:00:00"/>
    <x v="4"/>
    <m/>
    <n v="2375"/>
    <n v="2375"/>
    <n v="2375"/>
    <n v="2375"/>
    <n v="2375"/>
  </r>
  <r>
    <s v="Q-21-0060"/>
    <s v="5000-91-5-604"/>
    <x v="6"/>
    <s v="10 Gold Licences "/>
    <s v="DQ21080374"/>
    <n v="37500"/>
    <d v="2021-08-01T00:00:00"/>
    <d v="2021-07-31T00:00:00"/>
    <x v="5"/>
    <m/>
    <n v="7500"/>
    <n v="7500"/>
    <n v="7500"/>
    <n v="7500"/>
    <n v="7500"/>
  </r>
  <r>
    <s v="Q-21-00"/>
    <s v="5000-91-5-604"/>
    <x v="7"/>
    <s v="1 x Gold Licence "/>
    <s v="DQ21100447"/>
    <n v="2500"/>
    <d v="2021-10-01T00:00:00"/>
    <d v="2022-10-01T00:00:00"/>
    <x v="6"/>
    <m/>
    <n v="500"/>
    <n v="500"/>
    <n v="500"/>
    <n v="500"/>
    <n v="500"/>
  </r>
  <r>
    <s v="Q-21-0074"/>
    <s v="5000-91-5-454"/>
    <x v="4"/>
    <s v="Genscout Module 40% deposit Invoice "/>
    <s v="DQ21100443"/>
    <n v="9161.56"/>
    <d v="2021-10-01T00:00:00"/>
    <d v="2022-10-01T00:00:00"/>
    <x v="6"/>
    <m/>
    <n v="1832.3119999999999"/>
    <n v="1832.3119999999999"/>
    <n v="1832.3119999999999"/>
    <n v="1832.3119999999999"/>
    <n v="1832.3119999999999"/>
  </r>
  <r>
    <m/>
    <s v="5000-91-5-604"/>
    <x v="6"/>
    <s v="10 Gold Licences "/>
    <s v="DQ22010012"/>
    <n v="37500"/>
    <d v="2021-12-01T00:00:00"/>
    <d v="2022-12-01T00:00:00"/>
    <x v="7"/>
    <m/>
    <n v="7500"/>
    <n v="7500"/>
    <n v="7500"/>
    <n v="7500"/>
    <n v="7500.0039999999999"/>
  </r>
  <r>
    <s v="Q-21-0098"/>
    <s v="5000-91-5-454"/>
    <x v="8"/>
    <s v="Notification Centre Module Licence "/>
    <s v="DQ22020072"/>
    <n v="3743.97"/>
    <d v="2022-02-01T00:00:00"/>
    <d v="2023-02-01T00:00:00"/>
    <x v="1"/>
    <m/>
    <m/>
    <n v="748.79399999999998"/>
    <n v="748.79399999999998"/>
    <n v="748.79399999999998"/>
    <n v="748.79399999999998"/>
  </r>
  <r>
    <s v="Q-22-0029"/>
    <s v="5000-91-5-604"/>
    <x v="3"/>
    <s v="Multi Company Licence "/>
    <s v="DQ22030110"/>
    <n v="990"/>
    <d v="2022-03-01T00:00:00"/>
    <d v="2023-02-01T00:00:00"/>
    <x v="2"/>
    <m/>
    <m/>
    <n v="198"/>
    <n v="198"/>
    <n v="198"/>
    <n v="198"/>
  </r>
  <r>
    <s v="Q-22-0046"/>
    <s v="5000-91-5-604"/>
    <x v="3"/>
    <s v="Additional Gold User Licences"/>
    <s v="DQ22030113"/>
    <n v="3145"/>
    <d v="2022-03-01T00:00:00"/>
    <d v="2023-02-01T00:00:00"/>
    <x v="2"/>
    <m/>
    <m/>
    <n v="629"/>
    <n v="629"/>
    <n v="629"/>
    <n v="629"/>
  </r>
  <r>
    <s v="Q-22-0048"/>
    <s v="5000-91-5-474"/>
    <x v="9"/>
    <s v="Additional KIT Licence"/>
    <s v="DQ22040120"/>
    <n v="1536.5"/>
    <d v="2022-05-01T00:00:00"/>
    <d v="2023-05-01T00:00:00"/>
    <x v="3"/>
    <m/>
    <m/>
    <n v="307.3"/>
    <n v="307.3"/>
    <n v="307.3"/>
    <n v="307.3"/>
  </r>
  <r>
    <s v="Q-20-0174"/>
    <s v="5000-91-5-454"/>
    <x v="8"/>
    <s v="G View "/>
    <s v="DQ22060204"/>
    <n v="9398.69"/>
    <d v="2022-06-01T00:00:00"/>
    <d v="2023-06-01T00:00:00"/>
    <x v="4"/>
    <m/>
    <m/>
    <n v="1879.7380000000001"/>
    <n v="1879.7380000000001"/>
    <n v="1879.7380000000001"/>
    <n v="1879.7380000000001"/>
  </r>
  <r>
    <m/>
    <s v="5000-91-5-454"/>
    <x v="4"/>
    <s v="Genscout"/>
    <s v="DQ22060203"/>
    <n v="12226.74"/>
    <d v="2022-06-01T00:00:00"/>
    <d v="2023-06-01T00:00:00"/>
    <x v="4"/>
    <m/>
    <m/>
    <n v="2445.348"/>
    <n v="2445.348"/>
    <n v="2445.348"/>
    <n v="2445.348"/>
  </r>
  <r>
    <s v="Q-22-0089"/>
    <s v="5000-91-5-604"/>
    <x v="10"/>
    <s v="1x Additional Gold License"/>
    <s v="DQ22100302"/>
    <n v="2250"/>
    <d v="2022-10-01T00:00:00"/>
    <d v="2023-10-01T00:00:00"/>
    <x v="6"/>
    <m/>
    <m/>
    <n v="450"/>
    <n v="450"/>
    <n v="450"/>
    <n v="450"/>
  </r>
  <r>
    <s v="Q-22-0085"/>
    <s v="5000-91-5-604"/>
    <x v="6"/>
    <s v="12x Additional Gold Licenses"/>
    <s v="DQ22100298"/>
    <n v="31500"/>
    <d v="2022-10-01T00:00:00"/>
    <d v="2023-10-01T00:00:00"/>
    <x v="6"/>
    <m/>
    <m/>
    <n v="6300"/>
    <n v="6300"/>
    <n v="6300"/>
    <n v="6300"/>
  </r>
  <r>
    <s v="Q-21-0097"/>
    <s v="5000-91-5-454"/>
    <x v="4"/>
    <s v="WGS Return Requisition Module"/>
    <s v="DQ22110328"/>
    <n v="12843.95"/>
    <d v="2022-11-01T00:00:00"/>
    <d v="2023-10-01T00:00:00"/>
    <x v="8"/>
    <m/>
    <m/>
    <n v="2568.79"/>
    <n v="2568.79"/>
    <n v="2568.79"/>
    <n v="2568.7800000000002"/>
  </r>
  <r>
    <m/>
    <s v="5000-91-5-454"/>
    <x v="8"/>
    <s v="GenView Tech Fee 2"/>
    <s v="DQ23020088"/>
    <n v="3212.04"/>
    <d v="2023-02-01T00:00:00"/>
    <d v="2024-02-01T00:00:00"/>
    <x v="1"/>
    <m/>
    <m/>
    <m/>
    <n v="642.40800000000002"/>
    <n v="642.40800000000002"/>
    <n v="642.40800000000002"/>
  </r>
  <r>
    <m/>
    <s v="5000-91-5-454"/>
    <x v="8"/>
    <s v="Return Requisition Module"/>
    <s v="DQ23060152"/>
    <n v="4652.03"/>
    <d v="2023-05-01T00:00:00"/>
    <d v="2024-05-01T00:00:00"/>
    <x v="3"/>
    <m/>
    <m/>
    <m/>
    <n v="930.40599999999995"/>
    <n v="930.40599999999995"/>
    <n v="930.40599999999995"/>
  </r>
  <r>
    <m/>
    <s v="5000-91-5-604"/>
    <x v="11"/>
    <s v="Compac gold + additional modules"/>
    <s v="DQ24040100"/>
    <n v="15525"/>
    <d v="2024-04-01T00:00:00"/>
    <d v="2025-04-01T00:00:00"/>
    <x v="9"/>
    <m/>
    <m/>
    <m/>
    <m/>
    <n v="3105"/>
    <n v="3105"/>
  </r>
  <r>
    <m/>
    <s v="5000-91-5-454"/>
    <x v="8"/>
    <s v="GenScout Base License"/>
    <s v="DQ24050118"/>
    <n v="7749.14"/>
    <d v="2024-05-01T00:00:00"/>
    <d v="2025-05-01T00:00:00"/>
    <x v="3"/>
    <m/>
    <m/>
    <m/>
    <m/>
    <n v="1549.83"/>
    <n v="1549.82"/>
  </r>
  <r>
    <m/>
    <s v="5000-91-5-604"/>
    <x v="6"/>
    <s v="Background Processor Licenses"/>
    <s v="DQ24060128"/>
    <n v="7000"/>
    <d v="2024-06-01T00:00:00"/>
    <d v="2025-06-01T00:00:00"/>
    <x v="4"/>
    <m/>
    <m/>
    <m/>
    <m/>
    <n v="1400"/>
    <n v="1400"/>
  </r>
  <r>
    <m/>
    <s v="5000-91-5-604"/>
    <x v="12"/>
    <s v="OA EDR Enquiry &amp; Reporting License"/>
    <s v="DQ24070159"/>
    <n v="2611"/>
    <d v="2024-07-01T00:00:00"/>
    <d v="2025-07-01T00:00:00"/>
    <x v="10"/>
    <m/>
    <m/>
    <m/>
    <m/>
    <n v="522.20000000000005"/>
    <n v="522.20000000000005"/>
  </r>
  <r>
    <m/>
    <s v="5000-91-5-604"/>
    <x v="11"/>
    <s v="Compac gold + additional modules"/>
    <s v="DQ24090189"/>
    <n v="17025"/>
    <d v="2024-09-01T00:00:00"/>
    <d v="2025-09-01T00:00:00"/>
    <x v="11"/>
    <m/>
    <m/>
    <m/>
    <m/>
    <n v="3405"/>
    <n v="3405"/>
  </r>
  <r>
    <m/>
    <s v="5000-91-5-604"/>
    <x v="13"/>
    <s v="Background Processor Licenses"/>
    <s v="DQ24100223"/>
    <n v="1750"/>
    <d v="2024-10-01T00:00:00"/>
    <d v="2025-10-01T00:00:00"/>
    <x v="6"/>
    <m/>
    <m/>
    <m/>
    <m/>
    <n v="350"/>
    <n v="350"/>
  </r>
  <r>
    <m/>
    <s v="5000-91-5-454"/>
    <x v="4"/>
    <s v="Background Processor Licenses"/>
    <s v="DQ24100221"/>
    <n v="1770.7"/>
    <d v="2024-10-01T00:00:00"/>
    <d v="2025-10-01T00:00:00"/>
    <x v="6"/>
    <m/>
    <m/>
    <m/>
    <m/>
    <n v="354.14"/>
    <n v="354.14"/>
  </r>
  <r>
    <m/>
    <s v="5000-91-5-454"/>
    <x v="4"/>
    <s v="Additional GenWARE Licenses"/>
    <s v="DQ24090198"/>
    <n v="1494"/>
    <d v="2024-10-01T00:00:00"/>
    <d v="2025-10-01T00:00:00"/>
    <x v="6"/>
    <m/>
    <m/>
    <m/>
    <m/>
    <n v="298.8"/>
    <n v="298.8"/>
  </r>
  <r>
    <m/>
    <s v="5000-91-5-454"/>
    <x v="14"/>
    <s v="Generation 2025"/>
    <s v="DQ25090153"/>
    <n v="16235.1"/>
    <d v="2025-12-01T00:00:00"/>
    <m/>
    <x v="7"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m/>
    <m/>
    <m/>
    <x v="0"/>
    <m/>
    <m/>
    <m/>
    <m/>
    <m/>
    <m/>
    <m/>
    <m/>
    <m/>
    <n v="31"/>
    <n v="29"/>
    <n v="31"/>
    <n v="30"/>
    <n v="31"/>
    <n v="30"/>
    <n v="31"/>
    <n v="31"/>
    <n v="30"/>
    <n v="31"/>
    <n v="30"/>
    <n v="31"/>
    <m/>
    <m/>
    <m/>
  </r>
  <r>
    <m/>
    <m/>
    <s v="Primetics CHO 3rd party License"/>
    <x v="1"/>
    <m/>
    <s v="DQ25030054"/>
    <m/>
    <n v="2960"/>
    <m/>
    <m/>
    <n v="0"/>
    <m/>
    <m/>
    <m/>
    <m/>
    <m/>
    <m/>
    <n v="2960"/>
    <m/>
    <m/>
    <m/>
    <m/>
    <m/>
    <m/>
    <m/>
    <n v="2960"/>
    <n v="2960"/>
    <n v="0"/>
  </r>
  <r>
    <m/>
    <m/>
    <s v="Primetics GEN NA 3rd party License"/>
    <x v="2"/>
    <m/>
    <s v="DQ24120264"/>
    <s v="Making Tax Digital"/>
    <n v="448.37"/>
    <d v="2025-01-31T00:00:00"/>
    <d v="2026-01-30T00:00:00"/>
    <n v="364"/>
    <m/>
    <n v="448.37"/>
    <n v="448.37"/>
    <m/>
    <m/>
    <m/>
    <m/>
    <m/>
    <m/>
    <m/>
    <m/>
    <m/>
    <m/>
    <m/>
    <n v="448.37"/>
    <m/>
    <n v="448.37"/>
  </r>
  <r>
    <m/>
    <m/>
    <s v="Primetics GEN NA Def Licences"/>
    <x v="3"/>
    <m/>
    <s v="DQ25050084"/>
    <s v="Stock Lot cost adjustment API"/>
    <n v="947.63"/>
    <d v="2025-05-01T00:00:00"/>
    <d v="2026-04-30T00:00:00"/>
    <n v="364"/>
    <m/>
    <m/>
    <m/>
    <m/>
    <m/>
    <m/>
    <n v="947.63"/>
    <m/>
    <m/>
    <m/>
    <m/>
    <m/>
    <m/>
    <m/>
    <n v="947.63"/>
    <n v="947.63"/>
    <n v="0"/>
  </r>
  <r>
    <m/>
    <m/>
    <s v="Primetics GEN NA Def Licences"/>
    <x v="3"/>
    <m/>
    <s v="DQ25060086"/>
    <s v="Stock Allocation Module"/>
    <n v="1258.99"/>
    <d v="2025-05-01T00:00:00"/>
    <d v="2026-04-30T00:00:00"/>
    <n v="364"/>
    <m/>
    <m/>
    <m/>
    <m/>
    <m/>
    <m/>
    <n v="1258.99"/>
    <m/>
    <m/>
    <m/>
    <m/>
    <m/>
    <m/>
    <m/>
    <n v="1258.99"/>
    <n v="1258.99"/>
    <n v="0"/>
  </r>
  <r>
    <m/>
    <m/>
    <s v="Primetics GEN NA Def Licences"/>
    <x v="3"/>
    <m/>
    <s v="DQ25100175"/>
    <s v="GenWare Device Annual License "/>
    <n v="1929.21"/>
    <d v="2025-12-01T00:00:00"/>
    <d v="2026-11-30T00:00:00"/>
    <n v="364"/>
    <m/>
    <m/>
    <m/>
    <m/>
    <m/>
    <m/>
    <m/>
    <m/>
    <m/>
    <m/>
    <m/>
    <m/>
    <m/>
    <n v="1929.21"/>
    <n v="1929.21"/>
    <n v="1929.21"/>
    <n v="0"/>
  </r>
  <r>
    <m/>
    <m/>
    <s v="Primetics GEN NA Def Licences"/>
    <x v="3"/>
    <m/>
    <s v="DQ25110186"/>
    <s v="Trading Partner Details API annual renewal "/>
    <n v="3406.49"/>
    <d v="2025-10-01T00:00:00"/>
    <d v="2026-09-30T00:00:00"/>
    <n v="364"/>
    <m/>
    <m/>
    <m/>
    <m/>
    <m/>
    <m/>
    <m/>
    <m/>
    <m/>
    <m/>
    <m/>
    <m/>
    <n v="3406.49"/>
    <m/>
    <n v="3406.49"/>
    <n v="3406.49"/>
    <n v="0"/>
  </r>
  <r>
    <m/>
    <m/>
    <s v="Primetics GEN NA Def Licences"/>
    <x v="3"/>
    <m/>
    <s v="DQ25110192"/>
    <s v="Annual API License year 6"/>
    <n v="6474.27"/>
    <d v="2025-11-01T00:00:00"/>
    <d v="2026-10-31T00:00:00"/>
    <n v="364"/>
    <m/>
    <m/>
    <m/>
    <m/>
    <m/>
    <m/>
    <m/>
    <m/>
    <m/>
    <m/>
    <m/>
    <m/>
    <n v="6474.27"/>
    <m/>
    <n v="6474.27"/>
    <n v="6474.27"/>
    <n v="0"/>
  </r>
  <r>
    <m/>
    <m/>
    <s v="Primetics GEN NA 3rd party License"/>
    <x v="4"/>
    <m/>
    <s v="DQ25090153"/>
    <s v="Progress™ OpenEdge RDBMS - OpenEdge Enterprise RDBMS (Named User)"/>
    <n v="7090.88"/>
    <s v="On Installation"/>
    <m/>
    <m/>
    <m/>
    <m/>
    <m/>
    <m/>
    <m/>
    <m/>
    <m/>
    <m/>
    <m/>
    <m/>
    <m/>
    <m/>
    <n v="7090.88"/>
    <m/>
    <n v="7090.88"/>
    <n v="7090.88"/>
    <n v="0"/>
  </r>
  <r>
    <m/>
    <m/>
    <s v="Primetics GEN NA 3rd party License"/>
    <x v="4"/>
    <m/>
    <s v="DQ25090153"/>
    <s v="Progress Client Networking (Named User)"/>
    <n v="1313.15"/>
    <s v="On Installation"/>
    <m/>
    <m/>
    <m/>
    <m/>
    <m/>
    <m/>
    <m/>
    <m/>
    <m/>
    <m/>
    <m/>
    <m/>
    <m/>
    <m/>
    <n v="1313.15"/>
    <m/>
    <n v="1313.15"/>
    <n v="1313.15"/>
    <n v="0"/>
  </r>
  <r>
    <m/>
    <m/>
    <s v="Primetics GEN NA Def Licences"/>
    <x v="4"/>
    <m/>
    <s v="DQ25090153"/>
    <s v="Docstore Annual Licenses"/>
    <n v="714.9"/>
    <s v="On go-live, estimated December 2025"/>
    <m/>
    <m/>
    <m/>
    <m/>
    <m/>
    <m/>
    <m/>
    <m/>
    <m/>
    <m/>
    <m/>
    <m/>
    <m/>
    <m/>
    <m/>
    <m/>
    <n v="0"/>
    <n v="714.9"/>
    <n v="0"/>
  </r>
  <r>
    <m/>
    <m/>
    <s v="Primetics CHO Def Licences"/>
    <x v="5"/>
    <m/>
    <s v="DQ26010003"/>
    <s v="Install of GP and KIT on Microsoft Azure Virtual Desktop "/>
    <n v="1110"/>
    <s v="On completion "/>
    <m/>
    <m/>
    <m/>
    <m/>
    <m/>
    <m/>
    <m/>
    <m/>
    <m/>
    <m/>
    <m/>
    <m/>
    <m/>
    <m/>
    <m/>
    <m/>
    <n v="0"/>
    <n v="1110"/>
    <n v="0"/>
  </r>
  <r>
    <m/>
    <m/>
    <s v="Primetics GEN NA Def Licences"/>
    <x v="6"/>
    <m/>
    <s v="DQ25060090"/>
    <s v=" ADAL 2025"/>
    <n v="4604.18"/>
    <d v="2025-05-15T00:00:00"/>
    <d v="2026-05-14T00:00:00"/>
    <n v="364"/>
    <m/>
    <m/>
    <m/>
    <m/>
    <m/>
    <m/>
    <n v="4604.18"/>
    <m/>
    <m/>
    <m/>
    <m/>
    <m/>
    <m/>
    <m/>
    <n v="4604.18"/>
    <n v="4604.18"/>
    <n v="0"/>
  </r>
  <r>
    <m/>
    <m/>
    <s v="Primetics CHO Def Licences"/>
    <x v="7"/>
    <m/>
    <s v="DQ25060091"/>
    <s v="ADAL"/>
    <n v="6109.5"/>
    <d v="2025-06-01T00:00:00"/>
    <d v="2026-05-31T00:00:00"/>
    <n v="364"/>
    <m/>
    <m/>
    <m/>
    <m/>
    <m/>
    <m/>
    <m/>
    <n v="6109.5"/>
    <m/>
    <m/>
    <m/>
    <m/>
    <m/>
    <m/>
    <n v="6109.5"/>
    <n v="6109.5"/>
    <n v="0"/>
  </r>
  <r>
    <m/>
    <m/>
    <s v="Primetics CHO 3rd party License"/>
    <x v="8"/>
    <m/>
    <s v="DQ25070120"/>
    <s v="Making Tax Digital"/>
    <n v="553.82000000000005"/>
    <d v="2025-08-06T00:00:00"/>
    <d v="2026-08-06T00:00:00"/>
    <n v="365"/>
    <m/>
    <m/>
    <m/>
    <m/>
    <m/>
    <m/>
    <m/>
    <m/>
    <m/>
    <n v="553.82000000000005"/>
    <m/>
    <m/>
    <m/>
    <m/>
    <n v="553.82000000000005"/>
    <n v="553.82000000000005"/>
    <n v="0"/>
  </r>
  <r>
    <m/>
    <m/>
    <s v="Solentra Def Services"/>
    <x v="9"/>
    <m/>
    <s v="DQ25010001"/>
    <s v="Managed Service Revenue"/>
    <n v="520000"/>
    <d v="2025-01-01T00:00:00"/>
    <d v="2025-12-31T00:00:00"/>
    <n v="365"/>
    <m/>
    <m/>
    <n v="43333.33"/>
    <n v="43333.33"/>
    <n v="43333.33"/>
    <n v="43333.33"/>
    <n v="43333.33"/>
    <n v="43333.33"/>
    <n v="43333.33"/>
    <n v="43333.33"/>
    <n v="43333.33"/>
    <n v="43333.33"/>
    <n v="43333.33"/>
    <n v="43333.33"/>
    <n v="519999.96000000014"/>
    <n v="520000"/>
    <n v="0"/>
  </r>
  <r>
    <m/>
    <m/>
    <s v="Primetics CHO Def Licences"/>
    <x v="10"/>
    <m/>
    <s v="DQ25100176"/>
    <s v="KIT ADAL License"/>
    <n v="3796.28"/>
    <d v="2025-11-27T00:00:00"/>
    <d v="2026-11-26T00:00:00"/>
    <n v="365"/>
    <m/>
    <m/>
    <m/>
    <m/>
    <m/>
    <m/>
    <m/>
    <m/>
    <m/>
    <m/>
    <m/>
    <m/>
    <n v="3796.28"/>
    <m/>
    <n v="3796.28"/>
    <n v="3796.28"/>
    <n v="0"/>
  </r>
  <r>
    <m/>
    <m/>
    <s v="Primetics CHO 3rd party License"/>
    <x v="11"/>
    <m/>
    <s v="DQ25050066"/>
    <s v="Making Tax Digital"/>
    <n v="786.47"/>
    <d v="2025-04-12T00:00:00"/>
    <d v="2026-04-12T00:00:00"/>
    <n v="365"/>
    <m/>
    <m/>
    <m/>
    <m/>
    <m/>
    <n v="786.47"/>
    <m/>
    <m/>
    <m/>
    <m/>
    <m/>
    <m/>
    <m/>
    <m/>
    <n v="786.47"/>
    <n v="786.47"/>
    <n v="0"/>
  </r>
  <r>
    <m/>
    <m/>
    <s v="Primetics CHO 3rd party License"/>
    <x v="12"/>
    <m/>
    <s v="DQ24120260"/>
    <s v="Making Tax Digital"/>
    <n v="1890.35"/>
    <d v="2025-01-01T00:00:00"/>
    <d v="2025-12-31T00:00:00"/>
    <n v="364"/>
    <m/>
    <n v="1890.35"/>
    <n v="1890.35"/>
    <m/>
    <m/>
    <m/>
    <m/>
    <m/>
    <m/>
    <m/>
    <m/>
    <m/>
    <m/>
    <m/>
    <n v="1890.35"/>
    <m/>
    <n v="1890.35"/>
  </r>
  <r>
    <m/>
    <m/>
    <s v="Primetics CHO 3rd party License"/>
    <x v="12"/>
    <m/>
    <s v="DQ25090137"/>
    <s v="Pelletco API"/>
    <n v="5620.42"/>
    <d v="2025-09-01T00:00:00"/>
    <d v="2026-08-31T00:00:00"/>
    <n v="364"/>
    <m/>
    <m/>
    <m/>
    <m/>
    <m/>
    <m/>
    <m/>
    <m/>
    <m/>
    <m/>
    <n v="5620.42"/>
    <m/>
    <m/>
    <m/>
    <n v="5620.42"/>
    <n v="5620.42"/>
    <n v="0"/>
  </r>
  <r>
    <m/>
    <m/>
    <s v="Primetics CHO 3rd party License"/>
    <x v="12"/>
    <m/>
    <m/>
    <s v="Making Tax Digital"/>
    <n v="1971.64"/>
    <d v="2026-01-01T00:00:00"/>
    <d v="2026-12-31T00:00:00"/>
    <n v="364"/>
    <m/>
    <m/>
    <m/>
    <m/>
    <m/>
    <m/>
    <m/>
    <m/>
    <m/>
    <m/>
    <m/>
    <m/>
    <m/>
    <m/>
    <n v="0"/>
    <n v="1971.64"/>
    <n v="0"/>
  </r>
  <r>
    <m/>
    <m/>
    <s v="Primetics CHO 3rd party License"/>
    <x v="13"/>
    <m/>
    <s v="DQ25060094"/>
    <s v="Making Tax Digital"/>
    <n v="4258.7700000000004"/>
    <d v="2025-06-28T00:00:00"/>
    <d v="2026-06-27T00:00:00"/>
    <n v="364"/>
    <m/>
    <m/>
    <m/>
    <m/>
    <m/>
    <m/>
    <m/>
    <n v="4258.7700000000004"/>
    <m/>
    <m/>
    <m/>
    <m/>
    <m/>
    <m/>
    <n v="4258.7700000000004"/>
    <n v="4258.7700000000004"/>
    <n v="0"/>
  </r>
  <r>
    <m/>
    <m/>
    <s v="Primetics CHO 3rd party License"/>
    <x v="14"/>
    <m/>
    <s v="DQ25090145"/>
    <s v="Making Tax Digital"/>
    <n v="847.45"/>
    <d v="2025-10-01T00:00:00"/>
    <d v="2026-09-30T00:00:00"/>
    <n v="364"/>
    <m/>
    <m/>
    <m/>
    <m/>
    <m/>
    <m/>
    <m/>
    <m/>
    <m/>
    <m/>
    <m/>
    <n v="847.45"/>
    <m/>
    <m/>
    <n v="847.45"/>
    <n v="847.45"/>
    <n v="0"/>
  </r>
  <r>
    <m/>
    <m/>
    <s v="Primetics CHO 3rd party License"/>
    <x v="14"/>
    <m/>
    <s v="DQ25090163"/>
    <s v="OPF DR Three Year License "/>
    <n v="37255.599999999999"/>
    <d v="2025-11-01T00:00:00"/>
    <d v="2026-10-31T00:00:00"/>
    <n v="364"/>
    <m/>
    <m/>
    <m/>
    <m/>
    <m/>
    <m/>
    <m/>
    <m/>
    <m/>
    <m/>
    <m/>
    <m/>
    <n v="37255.599999999999"/>
    <m/>
    <n v="37255.599999999999"/>
    <n v="37255.599999999999"/>
    <n v="0"/>
  </r>
  <r>
    <m/>
    <m/>
    <s v="Primetics CHO 3rd party License"/>
    <x v="15"/>
    <m/>
    <s v="DQ25100174"/>
    <s v="Making Tax Digital"/>
    <n v="513.30999999999995"/>
    <d v="2025-12-01T00:00:00"/>
    <d v="2026-11-30T00:00:00"/>
    <n v="364"/>
    <m/>
    <m/>
    <m/>
    <m/>
    <m/>
    <m/>
    <m/>
    <m/>
    <m/>
    <m/>
    <m/>
    <m/>
    <m/>
    <n v="513.30999999999995"/>
    <n v="513.30999999999995"/>
    <n v="513.30999999999995"/>
    <n v="0"/>
  </r>
  <r>
    <m/>
    <m/>
    <s v="Primetics CHO 3rd party License"/>
    <x v="16"/>
    <m/>
    <s v="DQ25080129"/>
    <s v="Making Tax Digital"/>
    <n v="545.41"/>
    <d v="2025-09-17T00:00:00"/>
    <d v="2026-09-16T00:00:00"/>
    <n v="364"/>
    <m/>
    <m/>
    <m/>
    <m/>
    <m/>
    <m/>
    <m/>
    <m/>
    <m/>
    <m/>
    <n v="545.41"/>
    <m/>
    <m/>
    <m/>
    <n v="545.41"/>
    <n v="545.41"/>
    <n v="0"/>
  </r>
  <r>
    <m/>
    <m/>
    <s v="Primetics CHO Def Licences"/>
    <x v="17"/>
    <m/>
    <s v="DQ25010005"/>
    <s v="ADAL"/>
    <n v="2489.66"/>
    <d v="2025-01-18T00:00:00"/>
    <d v="2026-01-17T00:00:00"/>
    <n v="364"/>
    <m/>
    <m/>
    <n v="2489.66"/>
    <m/>
    <m/>
    <m/>
    <m/>
    <m/>
    <m/>
    <m/>
    <m/>
    <m/>
    <m/>
    <m/>
    <n v="2489.66"/>
    <n v="2489.66"/>
    <n v="0"/>
  </r>
  <r>
    <m/>
    <m/>
    <s v="Primetics GEN NA Def Licences"/>
    <x v="18"/>
    <m/>
    <s v="DQ24070160"/>
    <s v="WebCRM Enhancements - Trader Desk"/>
    <n v="5075"/>
    <d v="2024-07-01T00:00:00"/>
    <d v="2025-06-30T00:00:00"/>
    <n v="364"/>
    <m/>
    <n v="5075"/>
    <n v="5075"/>
    <m/>
    <m/>
    <m/>
    <m/>
    <m/>
    <m/>
    <m/>
    <m/>
    <m/>
    <m/>
    <m/>
    <n v="5075"/>
    <m/>
    <n v="5075"/>
  </r>
  <r>
    <m/>
    <m/>
    <s v="Primetics GEN NA Def Licences"/>
    <x v="18"/>
    <m/>
    <s v="DQ25020020"/>
    <s v="Making Tax Digital"/>
    <n v="575.39"/>
    <d v="2025-03-25T00:00:00"/>
    <d v="2026-03-24T00:00:00"/>
    <n v="364"/>
    <m/>
    <m/>
    <m/>
    <m/>
    <n v="575.39"/>
    <m/>
    <m/>
    <m/>
    <m/>
    <m/>
    <m/>
    <m/>
    <m/>
    <m/>
    <n v="575.39"/>
    <n v="575.39"/>
    <n v="0"/>
  </r>
  <r>
    <m/>
    <m/>
    <s v="Primetics GEN NA Def Licences"/>
    <x v="18"/>
    <m/>
    <m/>
    <s v="WebCRM Enhancements - Trader Desk"/>
    <n v="5298.3"/>
    <d v="2025-07-01T00:00:00"/>
    <d v="2026-06-30T00:00:00"/>
    <n v="364"/>
    <m/>
    <m/>
    <m/>
    <m/>
    <m/>
    <m/>
    <m/>
    <m/>
    <n v="5298.3"/>
    <m/>
    <m/>
    <m/>
    <m/>
    <m/>
    <n v="5298.3"/>
    <n v="5298.3"/>
    <n v="0"/>
  </r>
  <r>
    <m/>
    <m/>
    <s v="Primetics CHO Def Licences"/>
    <x v="19"/>
    <m/>
    <s v="DQ25060099"/>
    <s v="WNL ADAL License"/>
    <n v="3806.31"/>
    <d v="2025-05-14T00:00:00"/>
    <d v="2026-05-14T00:00:00"/>
    <n v="365"/>
    <m/>
    <m/>
    <s v="DON'T RENEW IN 2026, CUSTOMER NO LONGER REQUIRES"/>
    <m/>
    <m/>
    <m/>
    <m/>
    <n v="3806.31"/>
    <m/>
    <m/>
    <m/>
    <m/>
    <m/>
    <m/>
    <n v="3806.31"/>
    <n v="3806.31"/>
    <n v="0"/>
  </r>
  <r>
    <m/>
    <m/>
    <s v="Primetics CHO Def Licences"/>
    <x v="19"/>
    <m/>
    <s v="DQ25100167"/>
    <s v="WebCRM - Annual User Licenses"/>
    <n v="14837.93"/>
    <d v="2026-01-01T00:00:00"/>
    <d v="2026-12-31T00:00:00"/>
    <n v="364"/>
    <m/>
    <m/>
    <m/>
    <m/>
    <m/>
    <m/>
    <m/>
    <m/>
    <m/>
    <m/>
    <m/>
    <m/>
    <m/>
    <m/>
    <n v="0"/>
    <n v="14837.93"/>
    <n v="0"/>
  </r>
  <r>
    <m/>
    <m/>
    <s v="Primetics CHO 3rd party License"/>
    <x v="20"/>
    <m/>
    <s v="DQ25030042"/>
    <s v="Making Tax Digital"/>
    <n v="399.37"/>
    <d v="2025-04-29T00:00:00"/>
    <d v="2026-04-28T00:00:00"/>
    <n v="364"/>
    <m/>
    <m/>
    <m/>
    <m/>
    <m/>
    <n v="399.37"/>
    <m/>
    <m/>
    <m/>
    <m/>
    <m/>
    <m/>
    <m/>
    <m/>
    <n v="399.37"/>
    <n v="399.37"/>
    <n v="0"/>
  </r>
  <r>
    <m/>
    <m/>
    <s v="Primetics GEN NA Def Licences"/>
    <x v="21"/>
    <m/>
    <s v="DQ25030052"/>
    <s v="Generation System Base License &lt;50 Users"/>
    <n v="2531.9"/>
    <d v="2025-01-01T00:00:00"/>
    <d v="2025-12-31T00:00:00"/>
    <n v="364"/>
    <m/>
    <m/>
    <m/>
    <m/>
    <n v="2531.9"/>
    <m/>
    <m/>
    <m/>
    <m/>
    <m/>
    <m/>
    <m/>
    <m/>
    <m/>
    <n v="2531.9"/>
    <n v="2531.9"/>
    <n v="0"/>
  </r>
  <r>
    <m/>
    <m/>
    <s v="Primetics GEN NA Def Licences"/>
    <x v="21"/>
    <m/>
    <s v="DQ25090155"/>
    <s v="GenScout"/>
    <n v="6597.09"/>
    <d v="2025-09-01T00:00:00"/>
    <d v="2026-08-31T00:00:00"/>
    <n v="364"/>
    <m/>
    <m/>
    <m/>
    <m/>
    <m/>
    <m/>
    <m/>
    <m/>
    <m/>
    <m/>
    <n v="6597.09"/>
    <m/>
    <m/>
    <m/>
    <n v="6597.09"/>
    <n v="6597.09"/>
    <n v="0"/>
  </r>
  <r>
    <m/>
    <m/>
    <s v="Primetics GEN NA Def Licences"/>
    <x v="21"/>
    <m/>
    <s v="DQ25110193"/>
    <s v="Annual CDC License "/>
    <n v="10885.81"/>
    <d v="2025-11-01T00:00:00"/>
    <d v="2026-10-31T00:00:00"/>
    <n v="364"/>
    <m/>
    <m/>
    <m/>
    <m/>
    <m/>
    <m/>
    <m/>
    <m/>
    <m/>
    <m/>
    <m/>
    <m/>
    <n v="10885.81"/>
    <m/>
    <n v="10885.81"/>
    <n v="10885.81"/>
    <n v="0"/>
  </r>
  <r>
    <s v="October"/>
    <m/>
    <m/>
    <x v="3"/>
    <m/>
    <m/>
    <s v="License Revenue - Initiatives"/>
    <n v="3406.29"/>
    <m/>
    <m/>
    <m/>
    <m/>
    <m/>
    <m/>
    <m/>
    <m/>
    <m/>
    <m/>
    <m/>
    <m/>
    <m/>
    <m/>
    <n v="3406.29"/>
    <n v="-3406.29"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0">
  <r>
    <n v="101098"/>
    <s v="Financial"/>
    <d v="2025-01-01T00:00:00"/>
    <x v="0"/>
    <s v="5010-10-5-454"/>
    <s v="Service Revenue - Initiatives"/>
    <s v="Z-GBP"/>
    <s v="December WIP"/>
    <n v="0"/>
    <n v="2332"/>
    <n v="0"/>
    <n v="2332"/>
    <n v="1062"/>
    <n v="8790.18"/>
    <n v="0"/>
    <m/>
    <m/>
    <m/>
    <d v="2025-02-05T00:00:00"/>
    <m/>
    <s v="GJ"/>
    <s v="GLTRX00026624"/>
    <m/>
    <s v="sdoroshenko"/>
    <x v="0"/>
  </r>
  <r>
    <n v="101098"/>
    <s v="Financial"/>
    <d v="2025-01-01T00:00:00"/>
    <x v="0"/>
    <s v="5010-10-5-604"/>
    <s v="Service Revenue - Mid Market"/>
    <s v="Z-GBP"/>
    <s v="December WIP"/>
    <n v="0"/>
    <n v="1525.33"/>
    <n v="0"/>
    <n v="1525.33"/>
    <n v="1062"/>
    <n v="18693.689999999999"/>
    <n v="0"/>
    <m/>
    <m/>
    <m/>
    <d v="2025-02-05T00:00:00"/>
    <m/>
    <s v="GJ"/>
    <s v="GLTRX00026624"/>
    <m/>
    <s v="sdoroshenko"/>
    <x v="1"/>
  </r>
  <r>
    <n v="101098"/>
    <s v="Financial"/>
    <d v="2025-01-01T00:00:00"/>
    <x v="0"/>
    <s v="5010-10-5-604"/>
    <s v="Service Revenue - Mid Market"/>
    <s v="Z-GBP"/>
    <s v="December WIP"/>
    <n v="0"/>
    <n v="15871.95"/>
    <n v="0"/>
    <n v="15871.95"/>
    <n v="1062"/>
    <n v="18693.689999999999"/>
    <n v="0"/>
    <m/>
    <m/>
    <m/>
    <d v="2025-02-05T00:00:00"/>
    <m/>
    <s v="GJ"/>
    <s v="GLTRX00026624"/>
    <m/>
    <s v="sdoroshenko"/>
    <x v="2"/>
  </r>
  <r>
    <n v="101098"/>
    <s v="Financial"/>
    <d v="2025-01-01T00:00:00"/>
    <x v="0"/>
    <s v="5010-10-5-604"/>
    <s v="Service Revenue - Mid Market"/>
    <s v="Z-GBP"/>
    <s v="December WIP"/>
    <n v="0"/>
    <n v="1296.4100000000001"/>
    <n v="0"/>
    <n v="1296.4100000000001"/>
    <n v="1062"/>
    <n v="18693.689999999999"/>
    <n v="0"/>
    <m/>
    <m/>
    <m/>
    <d v="2025-02-05T00:00:00"/>
    <m/>
    <s v="GJ"/>
    <s v="GLTRX00026624"/>
    <m/>
    <s v="sdoroshenko"/>
    <x v="2"/>
  </r>
  <r>
    <n v="101098"/>
    <s v="Financial"/>
    <d v="2025-01-01T00:00:00"/>
    <x v="0"/>
    <s v="5010-10-5-454"/>
    <s v="Service Revenue - Initiatives"/>
    <s v="Z-GBP"/>
    <s v="December WIP"/>
    <n v="0"/>
    <n v="6458.18"/>
    <n v="0"/>
    <n v="6458.18"/>
    <n v="1062"/>
    <n v="8790.18"/>
    <n v="0"/>
    <m/>
    <m/>
    <m/>
    <d v="2025-02-05T00:00:00"/>
    <m/>
    <s v="GJ"/>
    <s v="GLTRX00026624"/>
    <m/>
    <s v="sdoroshenko"/>
    <x v="3"/>
  </r>
  <r>
    <n v="101035"/>
    <s v="Sales"/>
    <d v="2025-01-22T00:00:00"/>
    <x v="0"/>
    <s v="5010-46-5-604"/>
    <s v="Service Revenue - Non Policy - Mid Market"/>
    <s v="Z-GBP"/>
    <s v="SML 3rd party Warehouse Integr"/>
    <n v="0"/>
    <n v="0"/>
    <n v="15871.95"/>
    <n v="-15871.95"/>
    <n v="1062"/>
    <n v="0"/>
    <n v="15871.95"/>
    <s v="DQ25010003"/>
    <s v="DQ25010003"/>
    <n v="4135"/>
    <d v="2025-01-29T00:00:00"/>
    <s v="RMSLS"/>
    <s v="SJ"/>
    <s v="GLTRX00026572"/>
    <s v="Sales"/>
    <s v="sdoroshenko"/>
    <x v="2"/>
  </r>
  <r>
    <n v="101103"/>
    <s v="Financial"/>
    <d v="2025-01-31T00:00:00"/>
    <x v="0"/>
    <s v="5010-10-5-604"/>
    <s v="Service Revenue - Mid Market"/>
    <s v="Z-GBP"/>
    <s v="Correct WIP Jan"/>
    <n v="0"/>
    <n v="0"/>
    <n v="1763.67"/>
    <n v="-1763.67"/>
    <n v="1062"/>
    <n v="0"/>
    <n v="11622.69"/>
    <m/>
    <m/>
    <m/>
    <d v="2025-02-05T00:00:00"/>
    <m/>
    <s v="GJ"/>
    <s v="GLTRX00026629"/>
    <m/>
    <s v="jkiernan"/>
    <x v="4"/>
  </r>
  <r>
    <n v="101103"/>
    <s v="Financial"/>
    <d v="2025-01-31T00:00:00"/>
    <x v="0"/>
    <s v="5010-10-5-454"/>
    <s v="Service Revenue - Initiatives"/>
    <s v="Z-GBP"/>
    <s v="Correct WIP Jan"/>
    <n v="0"/>
    <n v="0"/>
    <n v="2332"/>
    <n v="-2332"/>
    <n v="1062"/>
    <n v="0"/>
    <n v="8790.18"/>
    <m/>
    <m/>
    <m/>
    <d v="2025-02-05T00:00:00"/>
    <m/>
    <s v="GJ"/>
    <s v="GLTRX00026629"/>
    <m/>
    <s v="jkiernan"/>
    <x v="0"/>
  </r>
  <r>
    <n v="101103"/>
    <s v="Financial"/>
    <d v="2025-01-31T00:00:00"/>
    <x v="0"/>
    <s v="5010-10-5-604"/>
    <s v="Service Revenue - Mid Market"/>
    <s v="Z-GBP"/>
    <s v="Correct WIP Jan"/>
    <n v="0"/>
    <n v="0"/>
    <n v="1525.33"/>
    <n v="-1525.33"/>
    <n v="1062"/>
    <n v="0"/>
    <n v="11622.69"/>
    <m/>
    <m/>
    <m/>
    <d v="2025-02-05T00:00:00"/>
    <m/>
    <s v="GJ"/>
    <s v="GLTRX00026629"/>
    <m/>
    <s v="jkiernan"/>
    <x v="1"/>
  </r>
  <r>
    <n v="101103"/>
    <s v="Financial"/>
    <d v="2025-01-31T00:00:00"/>
    <x v="0"/>
    <s v="5010-10-5-604"/>
    <s v="Service Revenue - Mid Market"/>
    <s v="Z-GBP"/>
    <s v="Correct WIP Jan"/>
    <n v="0"/>
    <n v="0"/>
    <n v="3009.96"/>
    <n v="-3009.96"/>
    <n v="1062"/>
    <n v="0"/>
    <n v="11622.69"/>
    <m/>
    <m/>
    <m/>
    <d v="2025-02-05T00:00:00"/>
    <m/>
    <s v="GJ"/>
    <s v="GLTRX00026629"/>
    <m/>
    <s v="jkiernan"/>
    <x v="5"/>
  </r>
  <r>
    <n v="101103"/>
    <s v="Financial"/>
    <d v="2025-01-31T00:00:00"/>
    <x v="0"/>
    <s v="5010-10-5-604"/>
    <s v="Service Revenue - Mid Market"/>
    <s v="Z-GBP"/>
    <s v="Correct WIP Jan"/>
    <n v="0"/>
    <n v="0"/>
    <n v="3541.32"/>
    <n v="-3541.32"/>
    <n v="1062"/>
    <n v="0"/>
    <n v="11622.69"/>
    <m/>
    <m/>
    <m/>
    <d v="2025-02-05T00:00:00"/>
    <m/>
    <s v="GJ"/>
    <s v="GLTRX00026629"/>
    <m/>
    <s v="jkiernan"/>
    <x v="5"/>
  </r>
  <r>
    <n v="101083"/>
    <s v="Sales"/>
    <d v="2025-01-31T00:00:00"/>
    <x v="0"/>
    <s v="5010-46-5-604"/>
    <s v="Service Revenue - Non Policy - Mid Market"/>
    <s v="Z-GBP"/>
    <s v="Automate the Bagged Seed Repor"/>
    <n v="0"/>
    <n v="0"/>
    <n v="1430"/>
    <n v="-1430"/>
    <n v="1062"/>
    <n v="0"/>
    <n v="1430"/>
    <s v="DQ25010008"/>
    <s v="DQ25010008"/>
    <n v="892"/>
    <d v="2025-02-03T00:00:00"/>
    <s v="RMSLS"/>
    <s v="SJ"/>
    <s v="GLTRX00026609"/>
    <s v="Sales"/>
    <s v="sdoroshenko"/>
    <x v="6"/>
  </r>
  <r>
    <n v="101103"/>
    <s v="Financial"/>
    <d v="2025-01-31T00:00:00"/>
    <x v="0"/>
    <s v="5010-10-5-604"/>
    <s v="Service Revenue - Mid Market"/>
    <s v="Z-GBP"/>
    <s v="Correct WIP Jan"/>
    <n v="0"/>
    <n v="0"/>
    <n v="1782.41"/>
    <n v="-1782.41"/>
    <n v="1062"/>
    <n v="0"/>
    <n v="11622.69"/>
    <m/>
    <m/>
    <m/>
    <d v="2025-02-05T00:00:00"/>
    <m/>
    <s v="GJ"/>
    <s v="GLTRX00026629"/>
    <m/>
    <s v="jkiernan"/>
    <x v="2"/>
  </r>
  <r>
    <n v="101098"/>
    <s v="Financial"/>
    <d v="2025-01-31T00:00:00"/>
    <x v="0"/>
    <s v="5010-10-5-454"/>
    <s v="Service Revenue - Initiatives"/>
    <s v="Z-GBP"/>
    <s v="Correct WIP Jan"/>
    <n v="0"/>
    <n v="0"/>
    <n v="6458.18"/>
    <n v="-6458.18"/>
    <n v="1062"/>
    <n v="8790.18"/>
    <n v="0"/>
    <m/>
    <m/>
    <m/>
    <d v="2025-02-05T00:00:00"/>
    <m/>
    <s v="GJ"/>
    <s v="GLTRX00026624"/>
    <m/>
    <s v="sdoroshenko"/>
    <x v="3"/>
  </r>
  <r>
    <n v="101103"/>
    <s v="Financial"/>
    <d v="2025-02-01T00:00:00"/>
    <x v="1"/>
    <s v="5010-10-5-604"/>
    <s v="Service Revenue - Mid Market"/>
    <s v="Z-GBP"/>
    <s v="Correct WIP Jan"/>
    <n v="0"/>
    <n v="1763.67"/>
    <n v="0"/>
    <n v="1763.67"/>
    <n v="1062"/>
    <n v="0"/>
    <n v="11622.69"/>
    <m/>
    <m/>
    <m/>
    <d v="2025-02-05T00:00:00"/>
    <m/>
    <s v="GJ"/>
    <s v="GLTRX00026629"/>
    <m/>
    <s v="jkiernan"/>
    <x v="4"/>
  </r>
  <r>
    <n v="101103"/>
    <s v="Financial"/>
    <d v="2025-02-01T00:00:00"/>
    <x v="1"/>
    <s v="5010-10-5-454"/>
    <s v="Service Revenue - Initiatives"/>
    <s v="Z-GBP"/>
    <s v="Correct WIP Jan"/>
    <n v="0"/>
    <n v="2332"/>
    <n v="0"/>
    <n v="2332"/>
    <n v="1062"/>
    <n v="0"/>
    <n v="8790.18"/>
    <m/>
    <m/>
    <m/>
    <d v="2025-02-05T00:00:00"/>
    <m/>
    <s v="GJ"/>
    <s v="GLTRX00026629"/>
    <m/>
    <s v="jkiernan"/>
    <x v="0"/>
  </r>
  <r>
    <n v="101103"/>
    <s v="Financial"/>
    <d v="2025-02-01T00:00:00"/>
    <x v="1"/>
    <s v="5010-10-5-604"/>
    <s v="Service Revenue - Mid Market"/>
    <s v="Z-GBP"/>
    <s v="Correct WIP Jan"/>
    <n v="0"/>
    <n v="1525.33"/>
    <n v="0"/>
    <n v="1525.33"/>
    <n v="1062"/>
    <n v="0"/>
    <n v="11622.69"/>
    <m/>
    <m/>
    <m/>
    <d v="2025-02-05T00:00:00"/>
    <m/>
    <s v="GJ"/>
    <s v="GLTRX00026629"/>
    <m/>
    <s v="jkiernan"/>
    <x v="1"/>
  </r>
  <r>
    <n v="101103"/>
    <s v="Financial"/>
    <d v="2025-02-01T00:00:00"/>
    <x v="1"/>
    <s v="5010-10-5-604"/>
    <s v="Service Revenue - Mid Market"/>
    <s v="Z-GBP"/>
    <s v="Correct WIP Jan"/>
    <n v="0"/>
    <n v="3009.96"/>
    <n v="0"/>
    <n v="3009.96"/>
    <n v="1062"/>
    <n v="0"/>
    <n v="11622.69"/>
    <m/>
    <m/>
    <m/>
    <d v="2025-02-05T00:00:00"/>
    <m/>
    <s v="GJ"/>
    <s v="GLTRX00026629"/>
    <m/>
    <s v="jkiernan"/>
    <x v="5"/>
  </r>
  <r>
    <n v="101103"/>
    <s v="Financial"/>
    <d v="2025-02-01T00:00:00"/>
    <x v="1"/>
    <s v="5010-10-5-604"/>
    <s v="Service Revenue - Mid Market"/>
    <s v="Z-GBP"/>
    <s v="Correct WIP Jan"/>
    <n v="0"/>
    <n v="3541.32"/>
    <n v="0"/>
    <n v="3541.32"/>
    <n v="1062"/>
    <n v="0"/>
    <n v="11622.69"/>
    <m/>
    <m/>
    <m/>
    <d v="2025-02-05T00:00:00"/>
    <m/>
    <s v="GJ"/>
    <s v="GLTRX00026629"/>
    <m/>
    <s v="jkiernan"/>
    <x v="5"/>
  </r>
  <r>
    <n v="101103"/>
    <s v="Financial"/>
    <d v="2025-02-01T00:00:00"/>
    <x v="1"/>
    <s v="5010-10-5-604"/>
    <s v="Service Revenue - Mid Market"/>
    <s v="Z-GBP"/>
    <s v="Correct WIP Jan"/>
    <n v="0"/>
    <n v="1782.41"/>
    <n v="0"/>
    <n v="1782.41"/>
    <n v="1062"/>
    <n v="0"/>
    <n v="11622.69"/>
    <m/>
    <m/>
    <m/>
    <d v="2025-02-05T00:00:00"/>
    <m/>
    <s v="GJ"/>
    <s v="GLTRX00026629"/>
    <m/>
    <s v="jkiernan"/>
    <x v="2"/>
  </r>
  <r>
    <n v="101103"/>
    <s v="Financial"/>
    <d v="2025-02-01T00:00:00"/>
    <x v="1"/>
    <s v="5010-10-5-604"/>
    <s v="Service Revenue - Mid Market"/>
    <s v="Z-GBP"/>
    <s v="Correct WIP Jan"/>
    <n v="0"/>
    <n v="6458.18"/>
    <n v="0"/>
    <n v="6458.18"/>
    <n v="1062"/>
    <n v="0"/>
    <n v="11622.69"/>
    <m/>
    <m/>
    <m/>
    <d v="2025-02-05T00:00:00"/>
    <m/>
    <s v="GJ"/>
    <s v="GLTRX00026629"/>
    <m/>
    <s v="jkiernan"/>
    <x v="3"/>
  </r>
  <r>
    <n v="101257"/>
    <s v="Sales"/>
    <d v="2025-02-10T00:00:00"/>
    <x v="1"/>
    <s v="5010-46-5-604"/>
    <s v="Service Revenue - Non Policy - Mid Market"/>
    <s v="Z-GBP"/>
    <s v="Add Parent Account Column"/>
    <n v="0"/>
    <n v="0"/>
    <n v="3159"/>
    <n v="-3159"/>
    <n v="1062"/>
    <n v="0"/>
    <n v="3159"/>
    <s v="DQ25020014"/>
    <s v="DQ25020014"/>
    <n v="4067"/>
    <d v="2025-02-18T00:00:00"/>
    <s v="RMSLS"/>
    <s v="SJ"/>
    <s v="GLTRX00026667"/>
    <s v="Sales"/>
    <s v="sdoroshenko"/>
    <x v="5"/>
  </r>
  <r>
    <n v="101256"/>
    <s v="Sales"/>
    <d v="2025-02-10T00:00:00"/>
    <x v="1"/>
    <s v="5010-46-5-604"/>
    <s v="Service Revenue - Non Policy - Mid Market"/>
    <s v="Z-GBP"/>
    <s v="WheatDNA Trace Changes"/>
    <n v="0"/>
    <n v="0"/>
    <n v="1822.5"/>
    <n v="-1822.5"/>
    <n v="1062"/>
    <n v="0"/>
    <n v="1822.5"/>
    <s v="DQ25020013"/>
    <s v="DQ25020013"/>
    <n v="4135"/>
    <d v="2025-02-18T00:00:00"/>
    <s v="RMSLS"/>
    <s v="SJ"/>
    <s v="GLTRX00026667"/>
    <s v="Sales"/>
    <s v="sdoroshenko"/>
    <x v="2"/>
  </r>
  <r>
    <n v="101280"/>
    <s v="Sales"/>
    <d v="2025-02-19T00:00:00"/>
    <x v="1"/>
    <s v="5010-46-5-454"/>
    <s v="Service Revenue - Non Policy - Gen NA"/>
    <s v="Z-GBP"/>
    <s v="Incorporate ProductID in Barco"/>
    <n v="0"/>
    <n v="0"/>
    <n v="2509.34"/>
    <n v="-2509.34"/>
    <n v="1062"/>
    <n v="0"/>
    <n v="2509.34"/>
    <s v="DQ25020024"/>
    <s v="DQ25020024"/>
    <n v="9990"/>
    <d v="2025-02-21T00:00:00"/>
    <s v="RMSLS"/>
    <s v="SJ"/>
    <s v="GLTRX00026683"/>
    <s v="Sales"/>
    <s v="sdoroshenko"/>
    <x v="7"/>
  </r>
  <r>
    <n v="101279"/>
    <s v="Sales"/>
    <d v="2025-02-19T00:00:00"/>
    <x v="1"/>
    <s v="5010-46-5-454"/>
    <s v="Service Revenue - Non Policy - Gen NA"/>
    <s v="Z-GBP"/>
    <s v="PETL Data Enhancement for Stoc"/>
    <n v="0"/>
    <n v="0"/>
    <n v="1672.9"/>
    <n v="-1672.9"/>
    <n v="1062"/>
    <n v="0"/>
    <n v="1672.9"/>
    <s v="DQ25020023"/>
    <s v="DQ25020023"/>
    <n v="9990"/>
    <d v="2025-02-21T00:00:00"/>
    <s v="RMSLS"/>
    <s v="SJ"/>
    <s v="GLTRX00026683"/>
    <s v="Sales"/>
    <s v="sdoroshenko"/>
    <x v="7"/>
  </r>
  <r>
    <n v="101281"/>
    <s v="Sales"/>
    <d v="2025-02-20T00:00:00"/>
    <x v="1"/>
    <s v="5010-46-5-604"/>
    <s v="Service Revenue - Non Policy - Mid Market"/>
    <s v="Z-GBP"/>
    <s v="Technical Incident Points"/>
    <n v="0"/>
    <n v="0"/>
    <n v="1950"/>
    <n v="-1950"/>
    <n v="1062"/>
    <n v="0"/>
    <n v="1950"/>
    <s v="DQ25020025"/>
    <s v="DQ25020025"/>
    <n v="4058"/>
    <d v="2025-02-21T00:00:00"/>
    <s v="RMSLS"/>
    <s v="SJ"/>
    <s v="GLTRX00026684"/>
    <s v="Sales"/>
    <s v="sdoroshenko"/>
    <x v="8"/>
  </r>
  <r>
    <n v="101339"/>
    <s v="Financial"/>
    <d v="2025-02-28T00:00:00"/>
    <x v="1"/>
    <s v="5010-10-5-604"/>
    <s v="Service Revenue - Mid Market"/>
    <s v="Z-GBP"/>
    <s v="WIP February"/>
    <n v="0"/>
    <n v="0"/>
    <n v="1763.67"/>
    <n v="-1763.67"/>
    <n v="1062"/>
    <n v="0"/>
    <n v="18792.61"/>
    <m/>
    <m/>
    <m/>
    <d v="2025-03-04T00:00:00"/>
    <m/>
    <s v="GJ"/>
    <s v="GLTRX00026727"/>
    <m/>
    <s v="sdoroshenko"/>
    <x v="4"/>
  </r>
  <r>
    <n v="101339"/>
    <s v="Financial"/>
    <d v="2025-02-28T00:00:00"/>
    <x v="1"/>
    <s v="5010-10-5-454"/>
    <s v="Service Revenue - Initiatives"/>
    <s v="Z-GBP"/>
    <s v="WIP February"/>
    <n v="0"/>
    <n v="0"/>
    <n v="2332"/>
    <n v="-2332"/>
    <n v="1062"/>
    <n v="0"/>
    <n v="9073.02"/>
    <m/>
    <m/>
    <m/>
    <d v="2025-03-04T00:00:00"/>
    <m/>
    <s v="GJ"/>
    <s v="GLTRX00026727"/>
    <m/>
    <s v="sdoroshenko"/>
    <x v="0"/>
  </r>
  <r>
    <n v="101339"/>
    <s v="Financial"/>
    <d v="2025-02-28T00:00:00"/>
    <x v="1"/>
    <s v="5010-10-5-604"/>
    <s v="Service Revenue - Mid Market"/>
    <s v="Z-GBP"/>
    <s v="WIP February"/>
    <n v="0"/>
    <n v="0"/>
    <n v="715"/>
    <n v="-715"/>
    <n v="1062"/>
    <n v="0"/>
    <n v="18792.61"/>
    <m/>
    <m/>
    <m/>
    <d v="2025-03-04T00:00:00"/>
    <m/>
    <s v="GJ"/>
    <s v="GLTRX00026727"/>
    <m/>
    <s v="sdoroshenko"/>
    <x v="9"/>
  </r>
  <r>
    <n v="101311"/>
    <s v="Sales"/>
    <d v="2025-02-28T00:00:00"/>
    <x v="1"/>
    <s v="5010-46-5-604"/>
    <s v="Service Revenue - Non Policy - Mid Market"/>
    <s v="Z-GBP"/>
    <s v="Changes to Multiple Crystal Re"/>
    <n v="0"/>
    <n v="0"/>
    <n v="1480"/>
    <n v="-1480"/>
    <n v="1062"/>
    <n v="0"/>
    <n v="1480"/>
    <s v="DQ25020028"/>
    <s v="DQ25020028"/>
    <n v="4136"/>
    <d v="2025-03-03T00:00:00"/>
    <s v="RMSLS"/>
    <s v="SJ"/>
    <s v="GLTRX00026705"/>
    <s v="DQ25020028"/>
    <s v="sdoroshenko"/>
    <x v="10"/>
  </r>
  <r>
    <n v="101312"/>
    <s v="Sales"/>
    <d v="2025-02-28T00:00:00"/>
    <x v="1"/>
    <s v="5010-46-5-604"/>
    <s v="Service Revenue - Non Policy - Mid Market"/>
    <s v="Z-GBP"/>
    <s v="Training / Consultancy 2024"/>
    <n v="0"/>
    <n v="0"/>
    <n v="2145"/>
    <n v="-2145"/>
    <n v="1062"/>
    <n v="0"/>
    <n v="2145"/>
    <s v="DQ25020029"/>
    <s v="DQ25020029"/>
    <n v="4136"/>
    <d v="2025-03-03T00:00:00"/>
    <s v="RMSLS"/>
    <s v="SJ"/>
    <s v="GLTRX00026705"/>
    <s v="DQ25020029"/>
    <s v="sdoroshenko"/>
    <x v="10"/>
  </r>
  <r>
    <n v="101339"/>
    <s v="Financial"/>
    <d v="2025-02-28T00:00:00"/>
    <x v="1"/>
    <s v="5010-10-5-604"/>
    <s v="Service Revenue - Mid Market"/>
    <s v="Z-GBP"/>
    <s v="WIP February"/>
    <n v="0"/>
    <n v="0"/>
    <n v="14983.38"/>
    <n v="-14983.38"/>
    <n v="1062"/>
    <n v="0"/>
    <n v="18792.61"/>
    <m/>
    <m/>
    <m/>
    <d v="2025-03-04T00:00:00"/>
    <m/>
    <s v="GJ"/>
    <s v="GLTRX00026727"/>
    <m/>
    <s v="sdoroshenko"/>
    <x v="5"/>
  </r>
  <r>
    <n v="101316"/>
    <s v="Sales"/>
    <d v="2025-02-28T00:00:00"/>
    <x v="1"/>
    <s v="5010-46-5-604"/>
    <s v="Service Revenue - Non Policy - Mid Market"/>
    <s v="Z-GBP"/>
    <s v="SAX - Saxon WebCRM Enhancement"/>
    <n v="0"/>
    <n v="0"/>
    <n v="7770"/>
    <n v="-7770"/>
    <n v="1062"/>
    <n v="0"/>
    <n v="7770"/>
    <s v="DQ25030033"/>
    <s v="DQ25030033"/>
    <n v="892"/>
    <d v="2025-03-03T00:00:00"/>
    <s v="RMSLS"/>
    <s v="SJ"/>
    <s v="GLTRX00026705"/>
    <s v="DQ25030033"/>
    <s v="sdoroshenko"/>
    <x v="6"/>
  </r>
  <r>
    <n v="101315"/>
    <s v="Sales"/>
    <d v="2025-02-28T00:00:00"/>
    <x v="1"/>
    <s v="5010-46-5-604"/>
    <s v="Service Revenue - Non Policy - Mid Market"/>
    <s v="Z-GBP"/>
    <s v="Saxon - Multiple Stock Lots /"/>
    <n v="0"/>
    <n v="0"/>
    <n v="2220"/>
    <n v="-2220"/>
    <n v="1062"/>
    <n v="0"/>
    <n v="2220"/>
    <s v="DQ25030032"/>
    <s v="DQ25030032"/>
    <n v="892"/>
    <d v="2025-03-03T00:00:00"/>
    <s v="RMSLS"/>
    <s v="SJ"/>
    <s v="GLTRX00026705"/>
    <s v="DQ25030032"/>
    <s v="sdoroshenko"/>
    <x v="6"/>
  </r>
  <r>
    <n v="101339"/>
    <s v="Financial"/>
    <d v="2025-02-28T00:00:00"/>
    <x v="1"/>
    <s v="5010-10-5-604"/>
    <s v="Service Revenue - Mid Market"/>
    <s v="Z-GBP"/>
    <s v="WIP February"/>
    <n v="0"/>
    <n v="0"/>
    <n v="1330.56"/>
    <n v="-1330.56"/>
    <n v="1062"/>
    <n v="0"/>
    <n v="18792.61"/>
    <m/>
    <m/>
    <m/>
    <d v="2025-03-04T00:00:00"/>
    <m/>
    <s v="GJ"/>
    <s v="GLTRX00026727"/>
    <m/>
    <s v="sdoroshenko"/>
    <x v="2"/>
  </r>
  <r>
    <n v="101339"/>
    <s v="Financial"/>
    <d v="2025-02-28T00:00:00"/>
    <x v="1"/>
    <s v="5010-10-5-454"/>
    <s v="Service Revenue - Initiatives"/>
    <s v="Z-GBP"/>
    <s v="WIP February"/>
    <n v="0"/>
    <n v="0"/>
    <n v="6741.02"/>
    <n v="-6741.02"/>
    <n v="1062"/>
    <n v="0"/>
    <n v="9073.02"/>
    <m/>
    <m/>
    <m/>
    <d v="2025-03-04T00:00:00"/>
    <m/>
    <s v="GJ"/>
    <s v="GLTRX00026727"/>
    <m/>
    <s v="sdoroshenko"/>
    <x v="3"/>
  </r>
  <r>
    <n v="101339"/>
    <s v="Financial"/>
    <d v="2025-03-01T00:00:00"/>
    <x v="2"/>
    <s v="5010-10-5-604"/>
    <s v="Service Revenue - Mid Market"/>
    <s v="Z-GBP"/>
    <s v="WIP February"/>
    <n v="0"/>
    <n v="1763.67"/>
    <n v="0"/>
    <n v="1763.67"/>
    <n v="1062"/>
    <n v="0"/>
    <n v="18792.61"/>
    <m/>
    <m/>
    <m/>
    <d v="2025-03-04T00:00:00"/>
    <m/>
    <s v="GJ"/>
    <s v="GLTRX00026727"/>
    <m/>
    <s v="sdoroshenko"/>
    <x v="4"/>
  </r>
  <r>
    <n v="101339"/>
    <s v="Financial"/>
    <d v="2025-03-01T00:00:00"/>
    <x v="2"/>
    <s v="5010-10-5-454"/>
    <s v="Service Revenue - Initiatives"/>
    <s v="Z-GBP"/>
    <s v="WIP February"/>
    <n v="0"/>
    <n v="2332"/>
    <n v="0"/>
    <n v="2332"/>
    <n v="1062"/>
    <n v="0"/>
    <n v="9073.02"/>
    <m/>
    <m/>
    <m/>
    <d v="2025-03-04T00:00:00"/>
    <m/>
    <s v="GJ"/>
    <s v="GLTRX00026727"/>
    <m/>
    <s v="sdoroshenko"/>
    <x v="0"/>
  </r>
  <r>
    <n v="101339"/>
    <s v="Financial"/>
    <d v="2025-03-01T00:00:00"/>
    <x v="2"/>
    <s v="5010-10-5-604"/>
    <s v="Service Revenue - Mid Market"/>
    <s v="Z-GBP"/>
    <s v="WIP February"/>
    <n v="0"/>
    <n v="715"/>
    <n v="0"/>
    <n v="715"/>
    <n v="1062"/>
    <n v="0"/>
    <n v="18792.61"/>
    <m/>
    <m/>
    <m/>
    <d v="2025-03-04T00:00:00"/>
    <m/>
    <s v="GJ"/>
    <s v="GLTRX00026727"/>
    <m/>
    <s v="sdoroshenko"/>
    <x v="9"/>
  </r>
  <r>
    <n v="101339"/>
    <s v="Financial"/>
    <d v="2025-03-01T00:00:00"/>
    <x v="2"/>
    <s v="5010-10-5-604"/>
    <s v="Service Revenue - Mid Market"/>
    <s v="Z-GBP"/>
    <s v="WIP February"/>
    <n v="0"/>
    <n v="14983.38"/>
    <n v="0"/>
    <n v="14983.38"/>
    <n v="1062"/>
    <n v="0"/>
    <n v="18792.61"/>
    <m/>
    <m/>
    <m/>
    <d v="2025-03-04T00:00:00"/>
    <m/>
    <s v="GJ"/>
    <s v="GLTRX00026727"/>
    <m/>
    <s v="sdoroshenko"/>
    <x v="5"/>
  </r>
  <r>
    <n v="101339"/>
    <s v="Financial"/>
    <d v="2025-03-01T00:00:00"/>
    <x v="2"/>
    <s v="5010-10-5-604"/>
    <s v="Service Revenue - Mid Market"/>
    <s v="Z-GBP"/>
    <s v="WIP February"/>
    <n v="0"/>
    <n v="1330.56"/>
    <n v="0"/>
    <n v="1330.56"/>
    <n v="1062"/>
    <n v="0"/>
    <n v="18792.61"/>
    <m/>
    <m/>
    <m/>
    <d v="2025-03-04T00:00:00"/>
    <m/>
    <s v="GJ"/>
    <s v="GLTRX00026727"/>
    <m/>
    <s v="sdoroshenko"/>
    <x v="2"/>
  </r>
  <r>
    <n v="101339"/>
    <s v="Financial"/>
    <d v="2025-03-01T00:00:00"/>
    <x v="2"/>
    <s v="5010-10-5-454"/>
    <s v="Service Revenue - Initiatives"/>
    <s v="Z-GBP"/>
    <s v="WIP February"/>
    <n v="0"/>
    <n v="6741.02"/>
    <n v="0"/>
    <n v="6741.02"/>
    <n v="1062"/>
    <n v="0"/>
    <n v="9073.02"/>
    <m/>
    <m/>
    <m/>
    <d v="2025-03-04T00:00:00"/>
    <m/>
    <s v="GJ"/>
    <s v="GLTRX00026727"/>
    <m/>
    <s v="sdoroshenko"/>
    <x v="3"/>
  </r>
  <r>
    <n v="101546"/>
    <s v="Sales"/>
    <d v="2025-03-10T00:00:00"/>
    <x v="2"/>
    <s v="5010-46-5-604"/>
    <s v="Service Revenue - Non Policy - Mid Market"/>
    <s v="Z-GBP"/>
    <s v="Gold Version Of Monthly Sales"/>
    <n v="0"/>
    <n v="0"/>
    <n v="18565.2"/>
    <n v="-18565.2"/>
    <n v="1062"/>
    <n v="0"/>
    <n v="18565.2"/>
    <s v="DQ25030035"/>
    <s v="DQ25030035"/>
    <n v="4067"/>
    <d v="2025-03-19T00:00:00"/>
    <s v="RMSLS"/>
    <s v="SJ"/>
    <s v="GLTRX00026778"/>
    <s v="DQ25030035"/>
    <s v="sdoroshenko"/>
    <x v="5"/>
  </r>
  <r>
    <n v="101545"/>
    <s v="Sales"/>
    <d v="2025-03-14T00:00:00"/>
    <x v="2"/>
    <s v="5010-46-5-604"/>
    <s v="Service Revenue - Non Policy - Mid Market"/>
    <s v="Z-GBP"/>
    <s v="GrainCo - Escone Consultancy ("/>
    <n v="0"/>
    <n v="0"/>
    <n v="715"/>
    <n v="-715"/>
    <n v="1062"/>
    <n v="0"/>
    <n v="715"/>
    <s v="DQ25020027"/>
    <s v="DQ25020027"/>
    <n v="4117"/>
    <d v="2025-03-19T00:00:00"/>
    <s v="RMSLS"/>
    <s v="SJ"/>
    <s v="GLTRX00026778"/>
    <s v="DQ25020027"/>
    <s v="sdoroshenko"/>
    <x v="9"/>
  </r>
  <r>
    <n v="101610"/>
    <s v="Sales"/>
    <d v="2025-03-25T00:00:00"/>
    <x v="2"/>
    <s v="5010-46-5-474"/>
    <s v="Service Revenue - Non Policy - Methven"/>
    <s v="Z-GBP"/>
    <s v="Cofco KIT &amp; GP Upgrade 2023"/>
    <n v="0"/>
    <n v="0"/>
    <n v="6849.7"/>
    <n v="-6849.7"/>
    <n v="1062"/>
    <n v="0"/>
    <n v="6849.7"/>
    <s v="DQ25030053"/>
    <s v="DQ25030053"/>
    <n v="9017"/>
    <d v="2025-03-31T00:00:00"/>
    <s v="RMSLS"/>
    <s v="SJ"/>
    <s v="GLTRX00026806"/>
    <s v="DQ25030053"/>
    <s v="sdoroshenko"/>
    <x v="4"/>
  </r>
  <r>
    <n v="101641"/>
    <s v="Sales"/>
    <d v="2025-03-31T00:00:00"/>
    <x v="2"/>
    <s v="5010-46-5-454"/>
    <s v="Service Revenue - Non Policy - Gen NA"/>
    <s v="Z-GBP"/>
    <s v="PETL - Add OrderID to Direct D"/>
    <n v="0"/>
    <n v="0"/>
    <n v="412.2"/>
    <n v="-412.2"/>
    <n v="1062"/>
    <n v="0"/>
    <n v="412.2"/>
    <s v="DQ25040055"/>
    <s v="DQ25040055"/>
    <n v="9990"/>
    <d v="2025-04-02T00:00:00"/>
    <s v="RMSLS"/>
    <s v="SJ"/>
    <s v="GLTRX00026831"/>
    <s v="Sales"/>
    <s v="sdoroshenko"/>
    <x v="7"/>
  </r>
  <r>
    <n v="101643"/>
    <s v="Financial"/>
    <d v="2025-03-31T00:00:00"/>
    <x v="2"/>
    <s v="5010-10-5-454"/>
    <s v="Service Revenue - Initiatives"/>
    <s v="Z-GBP"/>
    <s v="March WIP"/>
    <n v="0"/>
    <n v="0"/>
    <n v="2215.4"/>
    <n v="-2215.4"/>
    <n v="1062"/>
    <n v="0"/>
    <n v="9632.7000000000007"/>
    <m/>
    <m/>
    <m/>
    <d v="2025-04-02T00:00:00"/>
    <m/>
    <s v="GJ"/>
    <s v="GLTRX00026833"/>
    <m/>
    <s v="sdoroshenko"/>
    <x v="0"/>
  </r>
  <r>
    <n v="101643"/>
    <s v="Financial"/>
    <d v="2025-03-31T00:00:00"/>
    <x v="2"/>
    <s v="5010-10-5-604"/>
    <s v="Service Revenue - Mid Market"/>
    <s v="Z-GBP"/>
    <s v="March WIP"/>
    <n v="0"/>
    <n v="0"/>
    <n v="5821.333333333333"/>
    <n v="-5821.333333333333"/>
    <n v="1062"/>
    <n v="0"/>
    <n v="28216"/>
    <m/>
    <m/>
    <m/>
    <d v="2025-04-02T00:00:00"/>
    <m/>
    <s v="GJ"/>
    <s v="GLTRX00026833"/>
    <m/>
    <s v="sdoroshenko"/>
    <x v="9"/>
  </r>
  <r>
    <n v="101643"/>
    <s v="Financial"/>
    <d v="2025-03-31T00:00:00"/>
    <x v="2"/>
    <s v="5010-10-5-604"/>
    <s v="Service Revenue - Mid Market"/>
    <s v="Z-GBP"/>
    <s v="March WIP"/>
    <n v="0"/>
    <n v="0"/>
    <n v="729"/>
    <n v="-729"/>
    <n v="1062"/>
    <n v="0"/>
    <n v="28216"/>
    <m/>
    <m/>
    <m/>
    <d v="2025-04-02T00:00:00"/>
    <m/>
    <s v="GJ"/>
    <s v="GLTRX00026833"/>
    <m/>
    <s v="sdoroshenko"/>
    <x v="5"/>
  </r>
  <r>
    <n v="101643"/>
    <s v="Financial"/>
    <d v="2025-03-31T00:00:00"/>
    <x v="2"/>
    <s v="5010-10-5-604"/>
    <s v="Service Revenue - Mid Market"/>
    <s v="Z-GBP"/>
    <s v="March WIP"/>
    <n v="0"/>
    <n v="0"/>
    <n v="2148.12"/>
    <n v="-2148.12"/>
    <n v="1062"/>
    <n v="0"/>
    <n v="28216"/>
    <m/>
    <m/>
    <m/>
    <d v="2025-04-02T00:00:00"/>
    <m/>
    <s v="GJ"/>
    <s v="GLTRX00026833"/>
    <m/>
    <s v="sdoroshenko"/>
    <x v="5"/>
  </r>
  <r>
    <n v="101643"/>
    <s v="Financial"/>
    <d v="2025-03-31T00:00:00"/>
    <x v="2"/>
    <s v="5010-10-5-604"/>
    <s v="Service Revenue - Mid Market"/>
    <s v="Z-GBP"/>
    <s v="March WIP"/>
    <n v="0"/>
    <n v="0"/>
    <n v="5821.333333333333"/>
    <n v="-5821.333333333333"/>
    <n v="1062"/>
    <n v="0"/>
    <n v="28216"/>
    <m/>
    <m/>
    <m/>
    <d v="2025-04-02T00:00:00"/>
    <m/>
    <s v="GJ"/>
    <s v="GLTRX00026833"/>
    <m/>
    <s v="sdoroshenko"/>
    <x v="6"/>
  </r>
  <r>
    <n v="101643"/>
    <s v="Financial"/>
    <d v="2025-03-31T00:00:00"/>
    <x v="2"/>
    <s v="5010-10-5-604"/>
    <s v="Service Revenue - Mid Market"/>
    <s v="Z-GBP"/>
    <s v="March WIP"/>
    <n v="0"/>
    <n v="0"/>
    <n v="5016.213333333334"/>
    <n v="-5016.213333333334"/>
    <n v="1062"/>
    <n v="0"/>
    <n v="28216"/>
    <m/>
    <m/>
    <m/>
    <d v="2025-04-02T00:00:00"/>
    <m/>
    <s v="GJ"/>
    <s v="GLTRX00026833"/>
    <m/>
    <s v="sdoroshenko"/>
    <x v="6"/>
  </r>
  <r>
    <n v="101643"/>
    <s v="Financial"/>
    <d v="2025-03-31T00:00:00"/>
    <x v="2"/>
    <s v="5010-10-5-604"/>
    <s v="Service Revenue - Mid Market"/>
    <s v="Z-GBP"/>
    <s v="March WIP"/>
    <n v="0"/>
    <n v="0"/>
    <n v="2762.6666666666665"/>
    <n v="-2762.6666666666665"/>
    <n v="1062"/>
    <n v="0"/>
    <n v="28216"/>
    <m/>
    <m/>
    <m/>
    <d v="2025-04-02T00:00:00"/>
    <m/>
    <s v="GJ"/>
    <s v="GLTRX00026833"/>
    <m/>
    <s v="sdoroshenko"/>
    <x v="6"/>
  </r>
  <r>
    <n v="101643"/>
    <s v="Financial"/>
    <d v="2025-03-31T00:00:00"/>
    <x v="2"/>
    <s v="5010-10-5-604"/>
    <s v="Service Revenue - Mid Market"/>
    <s v="Z-GBP"/>
    <s v="March WIP"/>
    <n v="0"/>
    <n v="0"/>
    <n v="1381.3333333333333"/>
    <n v="-1381.3333333333333"/>
    <n v="1062"/>
    <n v="0"/>
    <n v="28216"/>
    <m/>
    <m/>
    <m/>
    <d v="2025-04-02T00:00:00"/>
    <m/>
    <s v="GJ"/>
    <s v="GLTRX00026833"/>
    <m/>
    <s v="sdoroshenko"/>
    <x v="6"/>
  </r>
  <r>
    <n v="101642"/>
    <s v="Sales"/>
    <d v="2025-03-31T00:00:00"/>
    <x v="2"/>
    <s v="5010-46-5-604"/>
    <s v="Service Revenue - Non Policy - Mid Market"/>
    <s v="Z-GBP"/>
    <s v="Importing Stock Lot Cost Updat"/>
    <n v="0"/>
    <n v="0"/>
    <n v="2835"/>
    <n v="-2835"/>
    <n v="1062"/>
    <n v="0"/>
    <n v="2835"/>
    <s v="DQ25040056"/>
    <s v="DQ25040056"/>
    <n v="4135"/>
    <d v="2025-04-02T00:00:00"/>
    <s v="RMSLS"/>
    <s v="SJ"/>
    <s v="GLTRX00026831"/>
    <s v="Sales"/>
    <s v="sdoroshenko"/>
    <x v="2"/>
  </r>
  <r>
    <n v="101643"/>
    <s v="Financial"/>
    <d v="2025-03-31T00:00:00"/>
    <x v="2"/>
    <s v="5010-10-5-604"/>
    <s v="Service Revenue - Mid Market"/>
    <s v="Z-GBP"/>
    <s v="March WIP"/>
    <n v="0"/>
    <n v="0"/>
    <n v="4536"/>
    <n v="-4536"/>
    <n v="1062"/>
    <n v="0"/>
    <n v="28216"/>
    <m/>
    <m/>
    <m/>
    <d v="2025-04-02T00:00:00"/>
    <m/>
    <s v="GJ"/>
    <s v="GLTRX00026833"/>
    <m/>
    <s v="sdoroshenko"/>
    <x v="2"/>
  </r>
  <r>
    <n v="101657"/>
    <s v="Financial"/>
    <d v="2025-03-31T00:00:00"/>
    <x v="2"/>
    <s v="5010-10-5-604"/>
    <s v="Service Revenue - Mid Market"/>
    <s v="Z-GBP"/>
    <s v="Stonegate 50% Provision"/>
    <n v="0"/>
    <n v="2145"/>
    <n v="0"/>
    <n v="2145"/>
    <n v="1062"/>
    <n v="2145"/>
    <n v="0"/>
    <m/>
    <m/>
    <m/>
    <d v="2025-04-03T00:00:00"/>
    <m/>
    <s v="GJ"/>
    <s v="GLTRX00026846"/>
    <m/>
    <s v="jkiernan"/>
    <x v="11"/>
  </r>
  <r>
    <n v="101643"/>
    <s v="Financial"/>
    <d v="2025-03-31T00:00:00"/>
    <x v="2"/>
    <s v="5010-10-5-454"/>
    <s v="Service Revenue - Initiatives"/>
    <s v="Z-GBP"/>
    <s v="March WIP"/>
    <n v="0"/>
    <n v="0"/>
    <n v="6741.02"/>
    <n v="-6741.02"/>
    <n v="1062"/>
    <n v="0"/>
    <n v="9632.7000000000007"/>
    <m/>
    <m/>
    <m/>
    <d v="2025-04-02T00:00:00"/>
    <m/>
    <s v="GJ"/>
    <s v="GLTRX00026833"/>
    <m/>
    <s v="sdoroshenko"/>
    <x v="3"/>
  </r>
  <r>
    <n v="101643"/>
    <s v="Financial"/>
    <d v="2025-04-01T00:00:00"/>
    <x v="3"/>
    <s v="5010-10-5-454"/>
    <s v="Service Revenue - Initiatives"/>
    <s v="Z-GBP"/>
    <s v="March WIP"/>
    <n v="0"/>
    <n v="2215.4"/>
    <n v="0"/>
    <n v="2215.4"/>
    <n v="1062"/>
    <n v="0"/>
    <n v="9632.7000000000007"/>
    <m/>
    <m/>
    <m/>
    <d v="2025-04-02T00:00:00"/>
    <m/>
    <s v="GJ"/>
    <s v="GLTRX00026833"/>
    <m/>
    <s v="sdoroshenko"/>
    <x v="0"/>
  </r>
  <r>
    <n v="101643"/>
    <s v="Financial"/>
    <d v="2025-04-01T00:00:00"/>
    <x v="3"/>
    <s v="5010-10-5-604"/>
    <s v="Service Revenue - Mid Market"/>
    <s v="Z-GBP"/>
    <s v="March WIP"/>
    <n v="0"/>
    <n v="5821.333333333333"/>
    <n v="0"/>
    <n v="5821.333333333333"/>
    <n v="1062"/>
    <n v="0"/>
    <n v="28216"/>
    <m/>
    <m/>
    <m/>
    <d v="2025-04-02T00:00:00"/>
    <m/>
    <s v="GJ"/>
    <s v="GLTRX00026833"/>
    <m/>
    <s v="sdoroshenko"/>
    <x v="9"/>
  </r>
  <r>
    <n v="101643"/>
    <s v="Financial"/>
    <d v="2025-04-01T00:00:00"/>
    <x v="3"/>
    <s v="5010-10-5-604"/>
    <s v="Service Revenue - Mid Market"/>
    <s v="Z-GBP"/>
    <s v="March WIP"/>
    <n v="0"/>
    <n v="729"/>
    <n v="0"/>
    <n v="729"/>
    <n v="1062"/>
    <n v="0"/>
    <n v="28216"/>
    <m/>
    <m/>
    <m/>
    <d v="2025-04-02T00:00:00"/>
    <m/>
    <s v="GJ"/>
    <s v="GLTRX00026833"/>
    <m/>
    <s v="sdoroshenko"/>
    <x v="5"/>
  </r>
  <r>
    <n v="101643"/>
    <s v="Financial"/>
    <d v="2025-04-01T00:00:00"/>
    <x v="3"/>
    <s v="5010-10-5-604"/>
    <s v="Service Revenue - Mid Market"/>
    <s v="Z-GBP"/>
    <s v="March WIP"/>
    <n v="0"/>
    <n v="2148.12"/>
    <n v="0"/>
    <n v="2148.12"/>
    <n v="1062"/>
    <n v="0"/>
    <n v="28216"/>
    <m/>
    <m/>
    <m/>
    <d v="2025-04-02T00:00:00"/>
    <m/>
    <s v="GJ"/>
    <s v="GLTRX00026833"/>
    <m/>
    <s v="sdoroshenko"/>
    <x v="5"/>
  </r>
  <r>
    <n v="101643"/>
    <s v="Financial"/>
    <d v="2025-04-01T00:00:00"/>
    <x v="3"/>
    <s v="5010-10-5-604"/>
    <s v="Service Revenue - Mid Market"/>
    <s v="Z-GBP"/>
    <s v="March WIP"/>
    <n v="0"/>
    <n v="5821.333333333333"/>
    <n v="0"/>
    <n v="5821.333333333333"/>
    <n v="1062"/>
    <n v="0"/>
    <n v="28216"/>
    <m/>
    <m/>
    <m/>
    <d v="2025-04-02T00:00:00"/>
    <m/>
    <s v="GJ"/>
    <s v="GLTRX00026833"/>
    <m/>
    <s v="sdoroshenko"/>
    <x v="6"/>
  </r>
  <r>
    <n v="101643"/>
    <s v="Financial"/>
    <d v="2025-04-01T00:00:00"/>
    <x v="3"/>
    <s v="5010-10-5-604"/>
    <s v="Service Revenue - Mid Market"/>
    <s v="Z-GBP"/>
    <s v="March WIP"/>
    <n v="0"/>
    <n v="5016.213333333334"/>
    <n v="0"/>
    <n v="5016.213333333334"/>
    <n v="1062"/>
    <n v="0"/>
    <n v="28216"/>
    <m/>
    <m/>
    <m/>
    <d v="2025-04-02T00:00:00"/>
    <m/>
    <s v="GJ"/>
    <s v="GLTRX00026833"/>
    <m/>
    <s v="sdoroshenko"/>
    <x v="6"/>
  </r>
  <r>
    <n v="101643"/>
    <s v="Financial"/>
    <d v="2025-04-01T00:00:00"/>
    <x v="3"/>
    <s v="5010-10-5-604"/>
    <s v="Service Revenue - Mid Market"/>
    <s v="Z-GBP"/>
    <s v="March WIP"/>
    <n v="0"/>
    <n v="2762.6666666666665"/>
    <n v="0"/>
    <n v="2762.6666666666665"/>
    <n v="1062"/>
    <n v="0"/>
    <n v="28216"/>
    <m/>
    <m/>
    <m/>
    <d v="2025-04-02T00:00:00"/>
    <m/>
    <s v="GJ"/>
    <s v="GLTRX00026833"/>
    <m/>
    <s v="sdoroshenko"/>
    <x v="6"/>
  </r>
  <r>
    <n v="101643"/>
    <s v="Financial"/>
    <d v="2025-04-01T00:00:00"/>
    <x v="3"/>
    <s v="5010-10-5-604"/>
    <s v="Service Revenue - Mid Market"/>
    <s v="Z-GBP"/>
    <s v="March WIP"/>
    <n v="0"/>
    <n v="1381.3333333333333"/>
    <n v="0"/>
    <n v="1381.3333333333333"/>
    <n v="1062"/>
    <n v="0"/>
    <n v="28216"/>
    <m/>
    <m/>
    <m/>
    <d v="2025-04-02T00:00:00"/>
    <m/>
    <s v="GJ"/>
    <s v="GLTRX00026833"/>
    <m/>
    <s v="sdoroshenko"/>
    <x v="6"/>
  </r>
  <r>
    <n v="101643"/>
    <s v="Financial"/>
    <d v="2025-04-01T00:00:00"/>
    <x v="3"/>
    <s v="5010-10-5-604"/>
    <s v="Service Revenue - Mid Market"/>
    <s v="Z-GBP"/>
    <s v="March WIP"/>
    <n v="0"/>
    <n v="4536"/>
    <n v="0"/>
    <n v="4536"/>
    <n v="1062"/>
    <n v="0"/>
    <n v="28216"/>
    <m/>
    <m/>
    <m/>
    <d v="2025-04-02T00:00:00"/>
    <m/>
    <s v="GJ"/>
    <s v="GLTRX00026833"/>
    <m/>
    <s v="sdoroshenko"/>
    <x v="2"/>
  </r>
  <r>
    <n v="101643"/>
    <s v="Financial"/>
    <d v="2025-04-01T00:00:00"/>
    <x v="3"/>
    <s v="5010-10-5-454"/>
    <s v="Service Revenue - Initiatives"/>
    <s v="Z-GBP"/>
    <s v="March WIP"/>
    <n v="0"/>
    <n v="6741.02"/>
    <n v="0"/>
    <n v="6741.02"/>
    <n v="1062"/>
    <n v="0"/>
    <n v="9632.7000000000007"/>
    <m/>
    <m/>
    <m/>
    <d v="2025-04-02T00:00:00"/>
    <m/>
    <s v="GJ"/>
    <s v="GLTRX00026833"/>
    <m/>
    <s v="sdoroshenko"/>
    <x v="3"/>
  </r>
  <r>
    <n v="101883"/>
    <s v="Sales"/>
    <d v="2025-04-15T00:00:00"/>
    <x v="3"/>
    <s v="5010-46-5-454"/>
    <s v="Service Revenue - Non Policy - Gen NA"/>
    <s v="Z-GBP"/>
    <s v="ProductID &amp; Alt Batch on Docum"/>
    <n v="0"/>
    <n v="0"/>
    <n v="1073.3"/>
    <n v="-1073.3"/>
    <n v="1062"/>
    <n v="0"/>
    <n v="1073.3"/>
    <s v="DQ25040062"/>
    <s v="DQ25040062"/>
    <n v="9990"/>
    <d v="2025-04-30T00:00:00"/>
    <s v="RMSLS"/>
    <s v="SJ"/>
    <s v="GLTRX00026934"/>
    <s v="Sales"/>
    <s v="sdoroshenko"/>
    <x v="7"/>
  </r>
  <r>
    <n v="101904"/>
    <s v="Financial"/>
    <d v="2025-04-30T00:00:00"/>
    <x v="3"/>
    <s v="5010-10-5-604"/>
    <s v="Service Revenue - Mid Market"/>
    <s v="Z-GBP"/>
    <s v="WIP April"/>
    <n v="0"/>
    <n v="0"/>
    <n v="2543.4899999999998"/>
    <n v="-2543.4899999999998"/>
    <n v="1062"/>
    <n v="0"/>
    <n v="26014.02"/>
    <m/>
    <m/>
    <m/>
    <d v="2025-05-02T00:00:00"/>
    <m/>
    <s v="GJ"/>
    <s v="GLTRX00026948"/>
    <m/>
    <s v="sdoroshenko"/>
    <x v="12"/>
  </r>
  <r>
    <n v="101886"/>
    <s v="Sales"/>
    <d v="2025-04-30T00:00:00"/>
    <x v="3"/>
    <s v="5010-10-5-604"/>
    <s v="Service Revenue - Mid Market"/>
    <s v="Z-GBP"/>
    <s v="Server MIgration"/>
    <n v="0"/>
    <n v="0"/>
    <n v="4144"/>
    <n v="-4144"/>
    <n v="1062"/>
    <n v="0"/>
    <n v="4144"/>
    <s v="DQ25050067"/>
    <s v="DQ25050067"/>
    <n v="4138"/>
    <d v="2025-05-01T00:00:00"/>
    <s v="RMSLS"/>
    <s v="SJ"/>
    <s v="GLTRX00026937"/>
    <s v="Sales"/>
    <s v="jkiernan"/>
    <x v="13"/>
  </r>
  <r>
    <n v="101904"/>
    <s v="Financial"/>
    <d v="2025-04-30T00:00:00"/>
    <x v="3"/>
    <s v="5010-10-5-604"/>
    <s v="Service Revenue - Mid Market"/>
    <s v="Z-GBP"/>
    <s v="WIP April"/>
    <n v="0"/>
    <n v="0"/>
    <n v="5821.33"/>
    <n v="-5821.33"/>
    <n v="1062"/>
    <n v="0"/>
    <n v="26014.02"/>
    <m/>
    <m/>
    <m/>
    <d v="2025-05-02T00:00:00"/>
    <m/>
    <s v="GJ"/>
    <s v="GLTRX00026948"/>
    <m/>
    <s v="sdoroshenko"/>
    <x v="9"/>
  </r>
  <r>
    <n v="101904"/>
    <s v="Financial"/>
    <d v="2025-04-30T00:00:00"/>
    <x v="3"/>
    <s v="5010-10-5-604"/>
    <s v="Service Revenue - Mid Market"/>
    <s v="Z-GBP"/>
    <s v="WIP April"/>
    <n v="0"/>
    <n v="0"/>
    <n v="197.33"/>
    <n v="-197.33"/>
    <n v="1062"/>
    <n v="0"/>
    <n v="26014.02"/>
    <m/>
    <m/>
    <m/>
    <d v="2025-05-02T00:00:00"/>
    <m/>
    <s v="GJ"/>
    <s v="GLTRX00026948"/>
    <m/>
    <s v="sdoroshenko"/>
    <x v="9"/>
  </r>
  <r>
    <n v="101887"/>
    <s v="Sales"/>
    <d v="2025-04-30T00:00:00"/>
    <x v="3"/>
    <s v="5010-10-5-604"/>
    <s v="Service Revenue - Mid Market"/>
    <s v="Z-GBP"/>
    <s v="Pool Area Update for Stores"/>
    <n v="0"/>
    <n v="0"/>
    <n v="850.5"/>
    <n v="-850.5"/>
    <n v="1062"/>
    <n v="0"/>
    <n v="850.5"/>
    <s v="DQ25050068"/>
    <s v="DQ25050068"/>
    <n v="4067"/>
    <d v="2025-05-01T00:00:00"/>
    <s v="RMSLS"/>
    <s v="SJ"/>
    <s v="GLTRX00026937"/>
    <s v="Sales"/>
    <s v="jkiernan"/>
    <x v="5"/>
  </r>
  <r>
    <n v="101888"/>
    <s v="Sales"/>
    <d v="2025-04-30T00:00:00"/>
    <x v="3"/>
    <s v="5010-10-5-604"/>
    <s v="Service Revenue - Mid Market"/>
    <s v="Z-GBP"/>
    <s v="Haulage Position - Multi Selec"/>
    <n v="0"/>
    <n v="0"/>
    <n v="1197"/>
    <n v="-1197"/>
    <n v="1062"/>
    <n v="0"/>
    <n v="1197"/>
    <s v="DQ25050069"/>
    <s v="DQ25050069"/>
    <n v="4067"/>
    <d v="2025-05-01T00:00:00"/>
    <s v="RMSLS"/>
    <s v="SJ"/>
    <s v="GLTRX00026937"/>
    <s v="Sales"/>
    <s v="jkiernan"/>
    <x v="5"/>
  </r>
  <r>
    <n v="101889"/>
    <s v="Sales"/>
    <d v="2025-04-30T00:00:00"/>
    <x v="3"/>
    <s v="5010-10-5-604"/>
    <s v="Service Revenue - Mid Market"/>
    <s v="Z-GBP"/>
    <s v="Pool Valuation Enquiry - Add p"/>
    <n v="0"/>
    <n v="0"/>
    <n v="630"/>
    <n v="-630"/>
    <n v="1062"/>
    <n v="0"/>
    <n v="630"/>
    <s v="DQ25050070"/>
    <s v="DQ25050070"/>
    <n v="4067"/>
    <d v="2025-05-01T00:00:00"/>
    <s v="RMSLS"/>
    <s v="SJ"/>
    <s v="GLTRX00026937"/>
    <s v="Sales"/>
    <s v="jkiernan"/>
    <x v="5"/>
  </r>
  <r>
    <n v="101892"/>
    <s v="Sales"/>
    <d v="2025-04-30T00:00:00"/>
    <x v="3"/>
    <s v="5010-10-5-604"/>
    <s v="Service Revenue - Mid Market"/>
    <s v="Z-GBP"/>
    <s v="Purchase Balance in Sales Volu"/>
    <n v="0"/>
    <n v="0"/>
    <n v="6427.35"/>
    <n v="-6427.35"/>
    <n v="1062"/>
    <n v="0"/>
    <n v="6427.35"/>
    <s v="DQ25050073"/>
    <s v="DQ25050073"/>
    <n v="4067"/>
    <d v="2025-05-01T00:00:00"/>
    <s v="RMSLS"/>
    <s v="SJ"/>
    <s v="GLTRX00026937"/>
    <s v="Sales"/>
    <s v="jkiernan"/>
    <x v="5"/>
  </r>
  <r>
    <n v="101890"/>
    <s v="Sales"/>
    <d v="2025-04-30T00:00:00"/>
    <x v="3"/>
    <s v="5010-10-5-604"/>
    <s v="Service Revenue - Mid Market"/>
    <s v="Z-GBP"/>
    <s v="Stock Lot Rent Details"/>
    <n v="0"/>
    <n v="0"/>
    <n v="5920"/>
    <n v="-5920"/>
    <n v="1062"/>
    <n v="0"/>
    <n v="5920"/>
    <s v="DQ25050071"/>
    <s v="DQ25050071"/>
    <n v="892"/>
    <d v="2025-05-01T00:00:00"/>
    <s v="RMSLS"/>
    <s v="SJ"/>
    <s v="GLTRX00026937"/>
    <s v="Sales"/>
    <s v="jkiernan"/>
    <x v="6"/>
  </r>
  <r>
    <n v="101891"/>
    <s v="Sales"/>
    <d v="2025-04-30T00:00:00"/>
    <x v="3"/>
    <s v="5010-10-5-604"/>
    <s v="Service Revenue - Mid Market"/>
    <s v="Z-GBP"/>
    <s v="M2M Conventional Carry Adjustm"/>
    <n v="0"/>
    <n v="0"/>
    <n v="1776"/>
    <n v="-1776"/>
    <n v="1062"/>
    <n v="0"/>
    <n v="1776"/>
    <s v="DQ25050072"/>
    <s v="DQ25050072"/>
    <n v="892"/>
    <d v="2025-05-01T00:00:00"/>
    <s v="RMSLS"/>
    <s v="SJ"/>
    <s v="GLTRX00026937"/>
    <s v="Sales"/>
    <s v="jkiernan"/>
    <x v="6"/>
  </r>
  <r>
    <n v="101904"/>
    <s v="Financial"/>
    <d v="2025-04-30T00:00:00"/>
    <x v="3"/>
    <s v="5010-10-5-604"/>
    <s v="Service Revenue - Mid Market"/>
    <s v="Z-GBP"/>
    <s v="WIP April"/>
    <n v="0"/>
    <n v="0"/>
    <n v="6512"/>
    <n v="-6512"/>
    <n v="1062"/>
    <n v="0"/>
    <n v="26014.02"/>
    <m/>
    <m/>
    <m/>
    <d v="2025-05-02T00:00:00"/>
    <m/>
    <s v="GJ"/>
    <s v="GLTRX00026948"/>
    <m/>
    <s v="sdoroshenko"/>
    <x v="6"/>
  </r>
  <r>
    <n v="101904"/>
    <s v="Financial"/>
    <d v="2025-04-30T00:00:00"/>
    <x v="3"/>
    <s v="5010-10-5-604"/>
    <s v="Service Revenue - Mid Market"/>
    <s v="Z-GBP"/>
    <s v="WIP April"/>
    <n v="0"/>
    <n v="0"/>
    <n v="2877.12"/>
    <n v="-2877.12"/>
    <n v="1062"/>
    <n v="0"/>
    <n v="26014.02"/>
    <m/>
    <m/>
    <m/>
    <d v="2025-05-02T00:00:00"/>
    <m/>
    <s v="GJ"/>
    <s v="GLTRX00026948"/>
    <m/>
    <s v="sdoroshenko"/>
    <x v="6"/>
  </r>
  <r>
    <n v="101904"/>
    <s v="Financial"/>
    <d v="2025-04-30T00:00:00"/>
    <x v="3"/>
    <s v="5010-10-5-604"/>
    <s v="Service Revenue - Mid Market"/>
    <s v="Z-GBP"/>
    <s v="WIP April"/>
    <n v="0"/>
    <n v="0"/>
    <n v="4536"/>
    <n v="-4536"/>
    <n v="1062"/>
    <n v="0"/>
    <n v="26014.02"/>
    <m/>
    <m/>
    <m/>
    <d v="2025-05-02T00:00:00"/>
    <m/>
    <s v="GJ"/>
    <s v="GLTRX00026948"/>
    <m/>
    <s v="sdoroshenko"/>
    <x v="2"/>
  </r>
  <r>
    <n v="101894"/>
    <s v="Sales"/>
    <d v="2025-04-30T00:00:00"/>
    <x v="3"/>
    <s v="5010-10-5-454"/>
    <s v="Service Revenue - Initiatives"/>
    <s v="Z-GBP"/>
    <s v="WGS GenSCOUT Build"/>
    <n v="0"/>
    <n v="0"/>
    <n v="7410"/>
    <n v="-7410"/>
    <n v="1062"/>
    <n v="0"/>
    <n v="7410"/>
    <s v="DQ25040061"/>
    <s v="DQ25040061"/>
    <n v="9995"/>
    <d v="2025-05-01T00:00:00"/>
    <s v="RMSLS"/>
    <s v="SJ"/>
    <s v="GLTRX00026939"/>
    <s v="Sales"/>
    <s v="jkiernan"/>
    <x v="3"/>
  </r>
  <r>
    <n v="101904"/>
    <s v="Financial"/>
    <d v="2025-05-01T00:00:00"/>
    <x v="4"/>
    <s v="5010-10-5-604"/>
    <s v="Service Revenue - Mid Market"/>
    <s v="Z-GBP"/>
    <s v="WIP April"/>
    <n v="0"/>
    <n v="2543.4899999999998"/>
    <n v="0"/>
    <n v="2543.4899999999998"/>
    <n v="1062"/>
    <n v="0"/>
    <n v="26014.02"/>
    <m/>
    <m/>
    <m/>
    <d v="2025-05-02T00:00:00"/>
    <m/>
    <s v="GJ"/>
    <s v="GLTRX00026948"/>
    <m/>
    <s v="sdoroshenko"/>
    <x v="12"/>
  </r>
  <r>
    <n v="101904"/>
    <s v="Financial"/>
    <d v="2025-05-01T00:00:00"/>
    <x v="4"/>
    <s v="5010-10-5-604"/>
    <s v="Service Revenue - Mid Market"/>
    <s v="Z-GBP"/>
    <s v="WIP April"/>
    <n v="0"/>
    <n v="5821.33"/>
    <n v="0"/>
    <n v="5821.33"/>
    <n v="1062"/>
    <n v="0"/>
    <n v="26014.02"/>
    <m/>
    <m/>
    <m/>
    <d v="2025-05-02T00:00:00"/>
    <m/>
    <s v="GJ"/>
    <s v="GLTRX00026948"/>
    <m/>
    <s v="sdoroshenko"/>
    <x v="9"/>
  </r>
  <r>
    <n v="101904"/>
    <s v="Financial"/>
    <d v="2025-05-01T00:00:00"/>
    <x v="4"/>
    <s v="5010-10-5-604"/>
    <s v="Service Revenue - Mid Market"/>
    <s v="Z-GBP"/>
    <s v="WIP April"/>
    <n v="0"/>
    <n v="197.33"/>
    <n v="0"/>
    <n v="197.33"/>
    <n v="1062"/>
    <n v="0"/>
    <n v="26014.02"/>
    <m/>
    <m/>
    <m/>
    <d v="2025-05-02T00:00:00"/>
    <m/>
    <s v="GJ"/>
    <s v="GLTRX00026948"/>
    <m/>
    <s v="sdoroshenko"/>
    <x v="9"/>
  </r>
  <r>
    <n v="101904"/>
    <s v="Financial"/>
    <d v="2025-05-01T00:00:00"/>
    <x v="4"/>
    <s v="5010-10-5-604"/>
    <s v="Service Revenue - Mid Market"/>
    <s v="Z-GBP"/>
    <s v="WIP April"/>
    <n v="0"/>
    <n v="6512"/>
    <n v="0"/>
    <n v="6512"/>
    <n v="1062"/>
    <n v="0"/>
    <n v="26014.02"/>
    <m/>
    <m/>
    <m/>
    <d v="2025-05-02T00:00:00"/>
    <m/>
    <s v="GJ"/>
    <s v="GLTRX00026948"/>
    <m/>
    <s v="sdoroshenko"/>
    <x v="6"/>
  </r>
  <r>
    <n v="101904"/>
    <s v="Financial"/>
    <d v="2025-05-01T00:00:00"/>
    <x v="4"/>
    <s v="5010-10-5-604"/>
    <s v="Service Revenue - Mid Market"/>
    <s v="Z-GBP"/>
    <s v="WIP April"/>
    <n v="0"/>
    <n v="2877.12"/>
    <n v="0"/>
    <n v="2877.12"/>
    <n v="1062"/>
    <n v="0"/>
    <n v="26014.02"/>
    <m/>
    <m/>
    <m/>
    <d v="2025-05-02T00:00:00"/>
    <m/>
    <s v="GJ"/>
    <s v="GLTRX00026948"/>
    <m/>
    <s v="sdoroshenko"/>
    <x v="6"/>
  </r>
  <r>
    <n v="101904"/>
    <s v="Financial"/>
    <d v="2025-05-01T00:00:00"/>
    <x v="4"/>
    <s v="5010-10-5-604"/>
    <s v="Service Revenue - Mid Market"/>
    <s v="Z-GBP"/>
    <s v="WIP April"/>
    <n v="0"/>
    <n v="4536"/>
    <n v="0"/>
    <n v="4536"/>
    <n v="1062"/>
    <n v="0"/>
    <n v="26014.02"/>
    <m/>
    <m/>
    <m/>
    <d v="2025-05-02T00:00:00"/>
    <m/>
    <s v="GJ"/>
    <s v="GLTRX00026948"/>
    <m/>
    <s v="sdoroshenko"/>
    <x v="2"/>
  </r>
  <r>
    <n v="102117"/>
    <s v="Sales"/>
    <d v="2025-05-13T00:00:00"/>
    <x v="4"/>
    <s v="5010-46-5-604"/>
    <s v="Service Revenue - Non Policy - Mid Market"/>
    <s v="Z-GBP"/>
    <s v="G Williams Server Migration (E"/>
    <n v="0"/>
    <n v="0"/>
    <n v="3700"/>
    <n v="-3700"/>
    <n v="1062"/>
    <n v="0"/>
    <n v="3700"/>
    <s v="DQ25050075"/>
    <s v="DQ25050075"/>
    <n v="4138"/>
    <d v="2025-05-27T00:00:00"/>
    <s v="RMSLS"/>
    <s v="SJ"/>
    <s v="GLTRX00027022"/>
    <s v="DQ25050075"/>
    <s v="sdoroshenko"/>
    <x v="13"/>
  </r>
  <r>
    <n v="102116"/>
    <s v="Sales"/>
    <d v="2025-05-13T00:00:00"/>
    <x v="4"/>
    <s v="5010-46-5-604"/>
    <s v="Service Revenue - Non Policy - Mid Market"/>
    <s v="Z-GBP"/>
    <s v="GrainCo - Integration Project"/>
    <n v="0"/>
    <n v="0"/>
    <n v="5920"/>
    <n v="-5920"/>
    <n v="1062"/>
    <n v="0"/>
    <n v="5920"/>
    <s v="DQ25050074"/>
    <s v="DQ25050074"/>
    <n v="4117"/>
    <d v="2025-05-27T00:00:00"/>
    <s v="RMSLS"/>
    <s v="SJ"/>
    <s v="GLTRX00027022"/>
    <s v="DQ25050074"/>
    <s v="sdoroshenko"/>
    <x v="9"/>
  </r>
  <r>
    <n v="102119"/>
    <s v="Sales"/>
    <d v="2025-05-14T00:00:00"/>
    <x v="4"/>
    <s v="5010-46-5-604"/>
    <s v="Service Revenue - Non Policy - Mid Market"/>
    <s v="Z-GBP"/>
    <s v="Dugdales Server Migration"/>
    <n v="0"/>
    <n v="0"/>
    <n v="5148"/>
    <n v="-5148"/>
    <n v="1062"/>
    <n v="0"/>
    <n v="5148"/>
    <s v="DQ25050079"/>
    <s v="DQ25050079"/>
    <n v="4112"/>
    <d v="2025-05-27T00:00:00"/>
    <s v="RMSLS"/>
    <s v="SJ"/>
    <s v="GLTRX00027022"/>
    <s v="DQ25050079"/>
    <s v="sdoroshenko"/>
    <x v="12"/>
  </r>
  <r>
    <n v="102223"/>
    <s v="Financial"/>
    <d v="2025-05-31T00:00:00"/>
    <x v="4"/>
    <s v="5010-10-5-604"/>
    <s v="Service Revenue - Mid Market"/>
    <s v="Z-GBP"/>
    <s v="Adam &amp; Howling Ltd move"/>
    <n v="0"/>
    <n v="0"/>
    <n v="2960"/>
    <n v="-2960"/>
    <n v="1062"/>
    <n v="0"/>
    <n v="2960"/>
    <m/>
    <m/>
    <m/>
    <d v="2025-06-03T00:00:00"/>
    <m/>
    <s v="GJ"/>
    <s v="GLTRX00027081"/>
    <m/>
    <s v="sdoroshenko"/>
    <x v="14"/>
  </r>
  <r>
    <n v="102225"/>
    <s v="Sales"/>
    <d v="2025-05-31T00:00:00"/>
    <x v="4"/>
    <s v="5010-46-5-454"/>
    <s v="Service Revenue - Non Policy - Gen NA"/>
    <s v="Z-GBP"/>
    <s v="DLS -GP Upgrade 2023"/>
    <n v="0"/>
    <n v="0"/>
    <n v="4359.07"/>
    <n v="-4359.07"/>
    <n v="1062"/>
    <n v="0"/>
    <n v="4359.07"/>
    <s v="DQ25060089"/>
    <s v="DQ25060089"/>
    <n v="9092"/>
    <d v="2025-06-03T00:00:00"/>
    <s v="RMSLS"/>
    <s v="SJ"/>
    <s v="GLTRX00027083"/>
    <s v="Sales"/>
    <s v="sdoroshenko"/>
    <x v="0"/>
  </r>
  <r>
    <n v="102224"/>
    <s v="Financial"/>
    <d v="2025-05-31T00:00:00"/>
    <x v="4"/>
    <s v="5010-10-5-604"/>
    <s v="Service Revenue - Mid Market"/>
    <s v="Z-GBP"/>
    <s v="WIP May"/>
    <n v="0"/>
    <n v="0"/>
    <n v="197.33"/>
    <n v="-197.33"/>
    <n v="1062"/>
    <n v="0"/>
    <n v="13207.57"/>
    <m/>
    <m/>
    <m/>
    <d v="2025-06-03T00:00:00"/>
    <m/>
    <s v="GJ"/>
    <s v="GLTRX00027082"/>
    <m/>
    <s v="sdoroshenko"/>
    <x v="9"/>
  </r>
  <r>
    <n v="102224"/>
    <s v="Financial"/>
    <d v="2025-05-31T00:00:00"/>
    <x v="4"/>
    <s v="5010-10-5-604"/>
    <s v="Service Revenue - Mid Market"/>
    <s v="Z-GBP"/>
    <s v="WIP May"/>
    <n v="0"/>
    <n v="0"/>
    <n v="2417.33"/>
    <n v="-2417.33"/>
    <n v="1062"/>
    <n v="0"/>
    <n v="13207.57"/>
    <m/>
    <m/>
    <m/>
    <d v="2025-06-03T00:00:00"/>
    <m/>
    <s v="GJ"/>
    <s v="GLTRX00027082"/>
    <m/>
    <s v="sdoroshenko"/>
    <x v="9"/>
  </r>
  <r>
    <n v="102224"/>
    <s v="Financial"/>
    <d v="2025-05-31T00:00:00"/>
    <x v="4"/>
    <s v="5010-10-5-604"/>
    <s v="Service Revenue - Mid Market"/>
    <s v="Z-GBP"/>
    <s v="WIP May"/>
    <n v="0"/>
    <n v="0"/>
    <n v="714"/>
    <n v="-714"/>
    <n v="1062"/>
    <n v="0"/>
    <n v="13207.57"/>
    <m/>
    <m/>
    <m/>
    <d v="2025-06-03T00:00:00"/>
    <m/>
    <s v="GJ"/>
    <s v="GLTRX00027082"/>
    <m/>
    <s v="sdoroshenko"/>
    <x v="5"/>
  </r>
  <r>
    <n v="102224"/>
    <s v="Financial"/>
    <d v="2025-05-31T00:00:00"/>
    <x v="4"/>
    <s v="5010-10-5-604"/>
    <s v="Service Revenue - Mid Market"/>
    <s v="Z-GBP"/>
    <s v="WIP May"/>
    <n v="0"/>
    <n v="0"/>
    <n v="4356.24"/>
    <n v="-4356.24"/>
    <n v="1062"/>
    <n v="0"/>
    <n v="13207.57"/>
    <m/>
    <m/>
    <m/>
    <d v="2025-06-03T00:00:00"/>
    <m/>
    <s v="GJ"/>
    <s v="GLTRX00027082"/>
    <m/>
    <s v="sdoroshenko"/>
    <x v="5"/>
  </r>
  <r>
    <n v="102224"/>
    <s v="Financial"/>
    <d v="2025-05-31T00:00:00"/>
    <x v="4"/>
    <s v="5010-10-5-604"/>
    <s v="Service Revenue - Mid Market"/>
    <s v="Z-GBP"/>
    <s v="WIP May"/>
    <n v="0"/>
    <n v="0"/>
    <n v="986.67"/>
    <n v="-986.67"/>
    <n v="1062"/>
    <n v="0"/>
    <n v="13207.57"/>
    <m/>
    <m/>
    <m/>
    <d v="2025-06-03T00:00:00"/>
    <m/>
    <s v="GJ"/>
    <s v="GLTRX00027082"/>
    <m/>
    <s v="sdoroshenko"/>
    <x v="15"/>
  </r>
  <r>
    <n v="102193"/>
    <s v="Sales"/>
    <d v="2025-05-31T00:00:00"/>
    <x v="4"/>
    <s v="5010-46-5-604"/>
    <s v="Service Revenue - Non Policy - Mid Market"/>
    <s v="Z-GBP"/>
    <s v="Saxon Store Management - Chang"/>
    <n v="0"/>
    <n v="0"/>
    <n v="10360"/>
    <n v="-10360"/>
    <n v="1062"/>
    <n v="0"/>
    <n v="10360"/>
    <s v="DQ25060087"/>
    <s v="DQ25060087"/>
    <n v="892"/>
    <d v="2025-06-02T00:00:00"/>
    <s v="RMSLS"/>
    <s v="SJ"/>
    <s v="GLTRX00027060"/>
    <s v="DQ25060087"/>
    <s v="sdoroshenko"/>
    <x v="6"/>
  </r>
  <r>
    <n v="102194"/>
    <s v="Sales"/>
    <d v="2025-05-31T00:00:00"/>
    <x v="4"/>
    <s v="5010-46-5-604"/>
    <s v="Service Revenue - Non Policy - Mid Market"/>
    <s v="Z-GBP"/>
    <s v="Automated Fixing Summary"/>
    <n v="0"/>
    <n v="0"/>
    <n v="8140"/>
    <n v="-8140"/>
    <n v="1062"/>
    <n v="0"/>
    <n v="8140"/>
    <s v="DQ25060088"/>
    <s v="DQ25060088"/>
    <n v="892"/>
    <d v="2025-06-02T00:00:00"/>
    <s v="RMSLS"/>
    <s v="SJ"/>
    <s v="GLTRX00027060"/>
    <s v="DQ25060088"/>
    <s v="sdoroshenko"/>
    <x v="6"/>
  </r>
  <r>
    <n v="102224"/>
    <s v="Financial"/>
    <d v="2025-05-31T00:00:00"/>
    <x v="4"/>
    <s v="5010-10-5-604"/>
    <s v="Service Revenue - Mid Market"/>
    <s v="Z-GBP"/>
    <s v="WIP May"/>
    <n v="0"/>
    <n v="0"/>
    <n v="4536"/>
    <n v="-4536"/>
    <n v="1062"/>
    <n v="0"/>
    <n v="13207.57"/>
    <m/>
    <m/>
    <m/>
    <d v="2025-06-03T00:00:00"/>
    <m/>
    <s v="GJ"/>
    <s v="GLTRX00027082"/>
    <m/>
    <s v="sdoroshenko"/>
    <x v="2"/>
  </r>
  <r>
    <n v="102224"/>
    <s v="Financial"/>
    <d v="2025-06-01T00:00:00"/>
    <x v="5"/>
    <s v="5010-10-5-604"/>
    <s v="Service Revenue - Mid Market"/>
    <s v="Z-GBP"/>
    <s v="WIP May"/>
    <n v="0"/>
    <n v="197.33"/>
    <n v="0"/>
    <n v="197.33"/>
    <n v="1062"/>
    <n v="0"/>
    <n v="13207.57"/>
    <m/>
    <m/>
    <m/>
    <d v="2025-06-03T00:00:00"/>
    <m/>
    <s v="GJ"/>
    <s v="GLTRX00027082"/>
    <m/>
    <s v="sdoroshenko"/>
    <x v="9"/>
  </r>
  <r>
    <n v="102224"/>
    <s v="Financial"/>
    <d v="2025-06-01T00:00:00"/>
    <x v="5"/>
    <s v="5010-10-5-604"/>
    <s v="Service Revenue - Mid Market"/>
    <s v="Z-GBP"/>
    <s v="WIP May"/>
    <n v="0"/>
    <n v="2417.33"/>
    <n v="0"/>
    <n v="2417.33"/>
    <n v="1062"/>
    <n v="0"/>
    <n v="13207.57"/>
    <m/>
    <m/>
    <m/>
    <d v="2025-06-03T00:00:00"/>
    <m/>
    <s v="GJ"/>
    <s v="GLTRX00027082"/>
    <m/>
    <s v="sdoroshenko"/>
    <x v="9"/>
  </r>
  <r>
    <n v="102224"/>
    <s v="Financial"/>
    <d v="2025-06-01T00:00:00"/>
    <x v="5"/>
    <s v="5010-10-5-604"/>
    <s v="Service Revenue - Mid Market"/>
    <s v="Z-GBP"/>
    <s v="WIP May"/>
    <n v="0"/>
    <n v="714"/>
    <n v="0"/>
    <n v="714"/>
    <n v="1062"/>
    <n v="0"/>
    <n v="13207.57"/>
    <m/>
    <m/>
    <m/>
    <d v="2025-06-03T00:00:00"/>
    <m/>
    <s v="GJ"/>
    <s v="GLTRX00027082"/>
    <m/>
    <s v="sdoroshenko"/>
    <x v="5"/>
  </r>
  <r>
    <n v="102224"/>
    <s v="Financial"/>
    <d v="2025-06-01T00:00:00"/>
    <x v="5"/>
    <s v="5010-10-5-604"/>
    <s v="Service Revenue - Mid Market"/>
    <s v="Z-GBP"/>
    <s v="WIP May"/>
    <n v="0"/>
    <n v="4356.24"/>
    <n v="0"/>
    <n v="4356.24"/>
    <n v="1062"/>
    <n v="0"/>
    <n v="13207.57"/>
    <m/>
    <m/>
    <m/>
    <d v="2025-06-03T00:00:00"/>
    <m/>
    <s v="GJ"/>
    <s v="GLTRX00027082"/>
    <m/>
    <s v="sdoroshenko"/>
    <x v="5"/>
  </r>
  <r>
    <n v="102224"/>
    <s v="Financial"/>
    <d v="2025-06-01T00:00:00"/>
    <x v="5"/>
    <s v="5010-10-5-604"/>
    <s v="Service Revenue - Mid Market"/>
    <s v="Z-GBP"/>
    <s v="WIP May"/>
    <n v="0"/>
    <n v="986.67"/>
    <n v="0"/>
    <n v="986.67"/>
    <n v="1062"/>
    <n v="0"/>
    <n v="13207.57"/>
    <m/>
    <m/>
    <m/>
    <d v="2025-06-03T00:00:00"/>
    <m/>
    <s v="GJ"/>
    <s v="GLTRX00027082"/>
    <m/>
    <s v="sdoroshenko"/>
    <x v="15"/>
  </r>
  <r>
    <n v="102224"/>
    <s v="Financial"/>
    <d v="2025-06-01T00:00:00"/>
    <x v="5"/>
    <s v="5010-10-5-604"/>
    <s v="Service Revenue - Mid Market"/>
    <s v="Z-GBP"/>
    <s v="WIP May"/>
    <n v="0"/>
    <n v="4536"/>
    <n v="0"/>
    <n v="4536"/>
    <n v="1062"/>
    <n v="0"/>
    <n v="13207.57"/>
    <m/>
    <m/>
    <m/>
    <d v="2025-06-03T00:00:00"/>
    <m/>
    <s v="GJ"/>
    <s v="GLTRX00027082"/>
    <m/>
    <s v="sdoroshenko"/>
    <x v="2"/>
  </r>
  <r>
    <n v="102391"/>
    <s v="Sales"/>
    <d v="2025-06-09T00:00:00"/>
    <x v="5"/>
    <s v="5010-46-5-604"/>
    <s v="Service Revenue - Non Policy - Mid Market"/>
    <s v="Z-GBP"/>
    <s v="GrainCo - TELUS/VeVirgo Develo"/>
    <n v="0"/>
    <n v="0"/>
    <n v="991.6"/>
    <n v="-991.6"/>
    <n v="1062"/>
    <n v="0"/>
    <n v="991.6"/>
    <s v="DQ25060092"/>
    <s v="DQ25060092"/>
    <n v="4117"/>
    <d v="2025-06-27T00:00:00"/>
    <s v="RMSLS"/>
    <s v="SJ"/>
    <s v="GLTRX00027152"/>
    <s v="DQ25060092"/>
    <s v="sdoroshenko"/>
    <x v="9"/>
  </r>
  <r>
    <n v="102394"/>
    <s v="Sales"/>
    <d v="2025-06-24T00:00:00"/>
    <x v="5"/>
    <s v="5010-46-5-604"/>
    <s v="Service Revenue - Non Policy - Mid Market"/>
    <s v="Z-GBP"/>
    <s v="Enhancements To Payment Schedu"/>
    <n v="0"/>
    <n v="0"/>
    <n v="4662"/>
    <n v="-4662"/>
    <n v="1062"/>
    <n v="0"/>
    <n v="4662"/>
    <s v="DQ25060102"/>
    <s v="DQ25060102"/>
    <n v="4067"/>
    <d v="2025-06-27T00:00:00"/>
    <s v="RMSLS"/>
    <s v="SJ"/>
    <s v="GLTRX00027152"/>
    <s v="DQ25060102"/>
    <s v="sdoroshenko"/>
    <x v="5"/>
  </r>
  <r>
    <n v="102395"/>
    <s v="Sales"/>
    <d v="2025-06-24T00:00:00"/>
    <x v="5"/>
    <s v="5010-46-5-604"/>
    <s v="Service Revenue - Non Policy - Mid Market"/>
    <s v="Z-GBP"/>
    <s v="Add Parent Account To Purchase"/>
    <n v="0"/>
    <n v="0"/>
    <n v="919.8"/>
    <n v="-919.8"/>
    <n v="1062"/>
    <n v="0"/>
    <n v="919.8"/>
    <s v="DQ25060103"/>
    <s v="DQ25060103"/>
    <n v="4067"/>
    <d v="2025-06-27T00:00:00"/>
    <s v="RMSLS"/>
    <s v="SJ"/>
    <s v="GLTRX00027152"/>
    <s v="DQ25060103"/>
    <s v="sdoroshenko"/>
    <x v="5"/>
  </r>
  <r>
    <n v="102396"/>
    <s v="Sales"/>
    <d v="2025-06-24T00:00:00"/>
    <x v="5"/>
    <s v="5010-46-5-604"/>
    <s v="Service Revenue - Non Policy - Mid Market"/>
    <s v="Z-GBP"/>
    <s v="Saxon - Charge Tables Training"/>
    <n v="0"/>
    <n v="0"/>
    <n v="1480"/>
    <n v="-1480"/>
    <n v="1062"/>
    <n v="0"/>
    <n v="1480"/>
    <s v="DQ25060104"/>
    <s v="DQ25060104"/>
    <n v="892"/>
    <d v="2025-06-27T00:00:00"/>
    <s v="RMSLS"/>
    <s v="SJ"/>
    <s v="GLTRX00027152"/>
    <s v="DQ25060104"/>
    <s v="sdoroshenko"/>
    <x v="6"/>
  </r>
  <r>
    <n v="102397"/>
    <s v="Sales"/>
    <d v="2025-06-25T00:00:00"/>
    <x v="5"/>
    <s v="5010-46-5-604"/>
    <s v="Service Revenue - Non Policy - Mid Market"/>
    <s v="Z-GBP"/>
    <s v="Transport Wallboard update - a"/>
    <n v="0"/>
    <n v="0"/>
    <n v="2368"/>
    <n v="-2368"/>
    <n v="1062"/>
    <n v="0"/>
    <n v="2368"/>
    <s v="DQ25060105"/>
    <s v="DQ25060105"/>
    <n v="4117"/>
    <d v="2025-06-27T00:00:00"/>
    <s v="RMSLS"/>
    <s v="SJ"/>
    <s v="GLTRX00027152"/>
    <s v="DQ25060105"/>
    <s v="sdoroshenko"/>
    <x v="9"/>
  </r>
  <r>
    <n v="102398"/>
    <s v="Sales"/>
    <d v="2025-06-25T00:00:00"/>
    <x v="5"/>
    <s v="5010-46-5-604"/>
    <s v="Service Revenue - Non Policy - Mid Market"/>
    <s v="Z-GBP"/>
    <s v="SML - Free Stock Consultancy"/>
    <n v="0"/>
    <n v="0"/>
    <n v="1096.2"/>
    <n v="-1096.2"/>
    <n v="1062"/>
    <n v="0"/>
    <n v="1096.2"/>
    <s v="DQ25060108"/>
    <s v="DQ25060108"/>
    <n v="4135"/>
    <d v="2025-06-27T00:00:00"/>
    <s v="RMSLS"/>
    <s v="SJ"/>
    <s v="GLTRX00027152"/>
    <s v="DQ25060108"/>
    <s v="sdoroshenko"/>
    <x v="2"/>
  </r>
  <r>
    <n v="102435"/>
    <s v="Sales"/>
    <d v="2025-06-25T00:00:00"/>
    <x v="5"/>
    <s v="5010-46-5-454"/>
    <s v="Service Revenue - Non Policy - Gen NA"/>
    <s v="Z-GBP"/>
    <s v="PETL Archiving and Filtering"/>
    <n v="0"/>
    <n v="0"/>
    <n v="4153.7299999999996"/>
    <n v="-4153.7299999999996"/>
    <n v="1062"/>
    <n v="0"/>
    <n v="4153.7299999999996"/>
    <s v="DQ25060106"/>
    <s v="DQ25060106"/>
    <n v="9995"/>
    <d v="2025-07-01T00:00:00"/>
    <s v="RMSLS"/>
    <s v="SJ"/>
    <s v="GLTRX00027175"/>
    <s v="Sales"/>
    <s v="sdoroshenko"/>
    <x v="3"/>
  </r>
  <r>
    <n v="102432"/>
    <s v="Sales"/>
    <d v="2025-06-27T00:00:00"/>
    <x v="5"/>
    <s v="5010-46-5-604"/>
    <s v="Service Revenue - Non Policy - Mid Market"/>
    <s v="Z-GBP"/>
    <s v="Training Consultancy"/>
    <n v="0"/>
    <n v="0"/>
    <n v="1287.5999999999999"/>
    <n v="-1287.5999999999999"/>
    <n v="1062"/>
    <n v="0"/>
    <n v="1287.5999999999999"/>
    <s v="DQ25060109"/>
    <s v="DQ25060109"/>
    <n v="9098"/>
    <d v="2025-07-01T00:00:00"/>
    <s v="RMSLS"/>
    <s v="SJ"/>
    <s v="GLTRX00027174"/>
    <s v="DQ25060109"/>
    <s v="sdoroshenko"/>
    <x v="16"/>
  </r>
  <r>
    <n v="102476"/>
    <s v="Financial"/>
    <d v="2025-06-30T00:00:00"/>
    <x v="5"/>
    <s v="5010-10-5-604"/>
    <s v="Service Revenue - Mid Market"/>
    <s v="Z-GBP"/>
    <s v="June WIP"/>
    <n v="0"/>
    <n v="0"/>
    <n v="3236.27"/>
    <n v="-3236.27"/>
    <n v="1062"/>
    <n v="0"/>
    <n v="17184.13"/>
    <m/>
    <m/>
    <m/>
    <d v="2025-07-03T00:00:00"/>
    <m/>
    <s v="GJ"/>
    <s v="GLTRX00027212"/>
    <m/>
    <s v="sdoroshenko"/>
    <x v="1"/>
  </r>
  <r>
    <n v="102465"/>
    <s v="Sales"/>
    <d v="2025-06-30T00:00:00"/>
    <x v="5"/>
    <s v="5010-46-5-604"/>
    <s v="Service Revenue - Non Policy - Mid Market"/>
    <s v="Z-GBP"/>
    <s v="Area Address Functionality"/>
    <n v="0"/>
    <n v="0"/>
    <n v="2520"/>
    <n v="-2520"/>
    <n v="1062"/>
    <n v="0"/>
    <n v="2520"/>
    <s v="DQ25070114"/>
    <s v="DQ25070114"/>
    <n v="4067"/>
    <d v="2025-07-03T00:00:00"/>
    <s v="RMSLS"/>
    <s v="SJ"/>
    <s v="GLTRX00027202"/>
    <s v="DQ25070114"/>
    <s v="sdoroshenko"/>
    <x v="5"/>
  </r>
  <r>
    <n v="102476"/>
    <s v="Financial"/>
    <d v="2025-06-30T00:00:00"/>
    <x v="5"/>
    <s v="5010-10-5-604"/>
    <s v="Service Revenue - Mid Market"/>
    <s v="Z-GBP"/>
    <s v="June WIP"/>
    <n v="0"/>
    <n v="0"/>
    <n v="3388.56"/>
    <n v="-3388.56"/>
    <n v="1062"/>
    <n v="0"/>
    <n v="17184.13"/>
    <m/>
    <m/>
    <m/>
    <d v="2025-07-03T00:00:00"/>
    <m/>
    <s v="GJ"/>
    <s v="GLTRX00027212"/>
    <m/>
    <s v="sdoroshenko"/>
    <x v="5"/>
  </r>
  <r>
    <n v="102476"/>
    <s v="Financial"/>
    <d v="2025-06-30T00:00:00"/>
    <x v="5"/>
    <s v="5010-10-5-604"/>
    <s v="Service Revenue - Mid Market"/>
    <s v="Z-GBP"/>
    <s v="June WIP"/>
    <n v="0"/>
    <n v="0"/>
    <n v="986.67"/>
    <n v="-986.67"/>
    <n v="1062"/>
    <n v="0"/>
    <n v="17184.13"/>
    <m/>
    <m/>
    <m/>
    <d v="2025-07-03T00:00:00"/>
    <m/>
    <s v="GJ"/>
    <s v="GLTRX00027212"/>
    <m/>
    <s v="sdoroshenko"/>
    <x v="15"/>
  </r>
  <r>
    <n v="102471"/>
    <s v="Sales"/>
    <d v="2025-06-30T00:00:00"/>
    <x v="5"/>
    <s v="5010-46-5-604"/>
    <s v="Service Revenue - Non Policy - Mid Market"/>
    <s v="Z-GBP"/>
    <s v="Trading Partner Closure routin"/>
    <n v="0"/>
    <n v="0"/>
    <n v="592"/>
    <n v="-592"/>
    <n v="1062"/>
    <n v="0"/>
    <n v="592"/>
    <s v="DQ25070115"/>
    <s v="DQ25070115"/>
    <n v="892"/>
    <d v="2025-07-03T00:00:00"/>
    <s v="RMSLS"/>
    <s v="SJ"/>
    <s v="GLTRX00027207"/>
    <s v="Sales"/>
    <s v="sdoroshenko"/>
    <x v="6"/>
  </r>
  <r>
    <n v="102464"/>
    <s v="Sales"/>
    <d v="2025-06-30T00:00:00"/>
    <x v="5"/>
    <s v="5010-46-5-604"/>
    <s v="Service Revenue - Non Policy - Mid Market"/>
    <s v="Z-GBP"/>
    <s v="Sample Request Usability &amp; Out"/>
    <n v="0"/>
    <n v="0"/>
    <n v="2835"/>
    <n v="-2835"/>
    <n v="1062"/>
    <n v="0"/>
    <n v="2835"/>
    <s v="DQ25070113"/>
    <s v="DQ25070113"/>
    <n v="4135"/>
    <d v="2025-07-03T00:00:00"/>
    <s v="RMSLS"/>
    <s v="SJ"/>
    <s v="GLTRX00027202"/>
    <s v="DQ25070113"/>
    <s v="sdoroshenko"/>
    <x v="2"/>
  </r>
  <r>
    <n v="102476"/>
    <s v="Financial"/>
    <d v="2025-06-30T00:00:00"/>
    <x v="5"/>
    <s v="5010-10-5-604"/>
    <s v="Service Revenue - Mid Market"/>
    <s v="Z-GBP"/>
    <s v="June WIP"/>
    <n v="0"/>
    <n v="0"/>
    <n v="4536"/>
    <n v="-4536"/>
    <n v="1062"/>
    <n v="0"/>
    <n v="17184.13"/>
    <m/>
    <m/>
    <m/>
    <d v="2025-07-03T00:00:00"/>
    <m/>
    <s v="GJ"/>
    <s v="GLTRX00027212"/>
    <m/>
    <s v="sdoroshenko"/>
    <x v="2"/>
  </r>
  <r>
    <n v="102476"/>
    <s v="Financial"/>
    <d v="2025-06-30T00:00:00"/>
    <x v="5"/>
    <s v="5010-10-5-604"/>
    <s v="Service Revenue - Mid Market"/>
    <s v="Z-GBP"/>
    <s v="June WIP"/>
    <n v="0"/>
    <n v="0"/>
    <n v="248.64"/>
    <n v="-248.64"/>
    <n v="1062"/>
    <n v="0"/>
    <n v="17184.13"/>
    <m/>
    <m/>
    <m/>
    <d v="2025-07-03T00:00:00"/>
    <m/>
    <s v="GJ"/>
    <s v="GLTRX00027212"/>
    <m/>
    <s v="sdoroshenko"/>
    <x v="2"/>
  </r>
  <r>
    <n v="102476"/>
    <s v="Financial"/>
    <d v="2025-06-30T00:00:00"/>
    <x v="5"/>
    <s v="5010-10-5-604"/>
    <s v="Service Revenue - Mid Market"/>
    <s v="Z-GBP"/>
    <s v="June WIP"/>
    <n v="0"/>
    <n v="0"/>
    <n v="2520"/>
    <n v="-2520"/>
    <n v="1062"/>
    <n v="0"/>
    <n v="17184.13"/>
    <m/>
    <m/>
    <m/>
    <d v="2025-07-03T00:00:00"/>
    <m/>
    <s v="GJ"/>
    <s v="GLTRX00027212"/>
    <m/>
    <s v="sdoroshenko"/>
    <x v="2"/>
  </r>
  <r>
    <n v="102476"/>
    <s v="Financial"/>
    <d v="2025-06-30T00:00:00"/>
    <x v="5"/>
    <s v="5010-10-5-604"/>
    <s v="Service Revenue - Mid Market"/>
    <s v="Z-GBP"/>
    <s v="June WIP"/>
    <n v="0"/>
    <n v="0"/>
    <n v="2268"/>
    <n v="-2268"/>
    <n v="1062"/>
    <n v="0"/>
    <n v="17184.13"/>
    <m/>
    <m/>
    <m/>
    <d v="2025-07-03T00:00:00"/>
    <m/>
    <s v="GJ"/>
    <s v="GLTRX00027212"/>
    <m/>
    <s v="sdoroshenko"/>
    <x v="2"/>
  </r>
  <r>
    <n v="102476"/>
    <s v="Financial"/>
    <d v="2025-07-01T00:00:00"/>
    <x v="6"/>
    <s v="5010-10-5-604"/>
    <s v="Service Revenue - Mid Market"/>
    <s v="Z-GBP"/>
    <s v="June WIP"/>
    <n v="0"/>
    <n v="3236.27"/>
    <n v="0"/>
    <n v="3236.27"/>
    <n v="1062"/>
    <n v="0"/>
    <n v="17184.13"/>
    <m/>
    <m/>
    <m/>
    <d v="2025-07-03T00:00:00"/>
    <m/>
    <s v="GJ"/>
    <s v="GLTRX00027212"/>
    <m/>
    <s v="sdoroshenko"/>
    <x v="1"/>
  </r>
  <r>
    <n v="102476"/>
    <s v="Financial"/>
    <d v="2025-07-01T00:00:00"/>
    <x v="6"/>
    <s v="5010-10-5-604"/>
    <s v="Service Revenue - Mid Market"/>
    <s v="Z-GBP"/>
    <s v="June WIP"/>
    <n v="0"/>
    <n v="3388.56"/>
    <n v="0"/>
    <n v="3388.56"/>
    <n v="1062"/>
    <n v="0"/>
    <n v="17184.13"/>
    <m/>
    <m/>
    <m/>
    <d v="2025-07-03T00:00:00"/>
    <m/>
    <s v="GJ"/>
    <s v="GLTRX00027212"/>
    <m/>
    <s v="sdoroshenko"/>
    <x v="5"/>
  </r>
  <r>
    <n v="102476"/>
    <s v="Financial"/>
    <d v="2025-07-01T00:00:00"/>
    <x v="6"/>
    <s v="5010-10-5-604"/>
    <s v="Service Revenue - Mid Market"/>
    <s v="Z-GBP"/>
    <s v="June WIP"/>
    <n v="0"/>
    <n v="986.67"/>
    <n v="0"/>
    <n v="986.67"/>
    <n v="1062"/>
    <n v="0"/>
    <n v="17184.13"/>
    <m/>
    <m/>
    <m/>
    <d v="2025-07-03T00:00:00"/>
    <m/>
    <s v="GJ"/>
    <s v="GLTRX00027212"/>
    <m/>
    <s v="sdoroshenko"/>
    <x v="15"/>
  </r>
  <r>
    <n v="102476"/>
    <s v="Financial"/>
    <d v="2025-07-01T00:00:00"/>
    <x v="6"/>
    <s v="5010-10-5-604"/>
    <s v="Service Revenue - Mid Market"/>
    <s v="Z-GBP"/>
    <s v="June WIP"/>
    <n v="0"/>
    <n v="4536"/>
    <n v="0"/>
    <n v="4536"/>
    <n v="1062"/>
    <n v="0"/>
    <n v="17184.13"/>
    <m/>
    <m/>
    <m/>
    <d v="2025-07-03T00:00:00"/>
    <m/>
    <s v="GJ"/>
    <s v="GLTRX00027212"/>
    <m/>
    <s v="sdoroshenko"/>
    <x v="2"/>
  </r>
  <r>
    <n v="102476"/>
    <s v="Financial"/>
    <d v="2025-07-01T00:00:00"/>
    <x v="6"/>
    <s v="5010-10-5-604"/>
    <s v="Service Revenue - Mid Market"/>
    <s v="Z-GBP"/>
    <s v="June WIP"/>
    <n v="0"/>
    <n v="248.64"/>
    <n v="0"/>
    <n v="248.64"/>
    <n v="1062"/>
    <n v="0"/>
    <n v="17184.13"/>
    <m/>
    <m/>
    <m/>
    <d v="2025-07-03T00:00:00"/>
    <m/>
    <s v="GJ"/>
    <s v="GLTRX00027212"/>
    <m/>
    <s v="sdoroshenko"/>
    <x v="2"/>
  </r>
  <r>
    <n v="102476"/>
    <s v="Financial"/>
    <d v="2025-07-01T00:00:00"/>
    <x v="6"/>
    <s v="5010-10-5-604"/>
    <s v="Service Revenue - Mid Market"/>
    <s v="Z-GBP"/>
    <s v="June WIP"/>
    <n v="0"/>
    <n v="2520"/>
    <n v="0"/>
    <n v="2520"/>
    <n v="1062"/>
    <n v="0"/>
    <n v="17184.13"/>
    <m/>
    <m/>
    <m/>
    <d v="2025-07-03T00:00:00"/>
    <m/>
    <s v="GJ"/>
    <s v="GLTRX00027212"/>
    <m/>
    <s v="sdoroshenko"/>
    <x v="2"/>
  </r>
  <r>
    <n v="102476"/>
    <s v="Financial"/>
    <d v="2025-07-01T00:00:00"/>
    <x v="6"/>
    <s v="5010-10-5-604"/>
    <s v="Service Revenue - Mid Market"/>
    <s v="Z-GBP"/>
    <s v="June WIP"/>
    <n v="0"/>
    <n v="2268"/>
    <n v="0"/>
    <n v="2268"/>
    <n v="1062"/>
    <n v="0"/>
    <n v="17184.13"/>
    <m/>
    <m/>
    <m/>
    <d v="2025-07-03T00:00:00"/>
    <m/>
    <s v="GJ"/>
    <s v="GLTRX00027212"/>
    <m/>
    <s v="sdoroshenko"/>
    <x v="2"/>
  </r>
  <r>
    <n v="102765"/>
    <s v="Sales"/>
    <d v="2025-07-16T00:00:00"/>
    <x v="6"/>
    <s v="5010-46-5-604"/>
    <s v="Service Revenue - Non Policy - Mid Market"/>
    <s v="Z-GBP"/>
    <s v="Primetics - Application Instal"/>
    <n v="0"/>
    <n v="0"/>
    <n v="2520"/>
    <n v="-2520"/>
    <n v="1062"/>
    <n v="0"/>
    <n v="2520"/>
    <s v="DQ25070118"/>
    <s v="DQ25070118"/>
    <n v="4135"/>
    <d v="2025-07-25T00:00:00"/>
    <s v="RMSLS"/>
    <s v="SJ"/>
    <s v="GLTRX00027279"/>
    <s v="DQ25070118"/>
    <s v="sdoroshenko"/>
    <x v="2"/>
  </r>
  <r>
    <n v="102764"/>
    <s v="Sales"/>
    <d v="2025-07-21T00:00:00"/>
    <x v="6"/>
    <s v="5010-46-5-604"/>
    <s v="Service Revenue - Non Policy - Mid Market"/>
    <s v="Z-GBP"/>
    <s v="Enhancement to the Default Pla"/>
    <n v="0"/>
    <n v="0"/>
    <n v="3150"/>
    <n v="-3150"/>
    <n v="1062"/>
    <n v="0"/>
    <n v="3150"/>
    <s v="DQ25070116"/>
    <s v="DQ25070116"/>
    <n v="4067"/>
    <d v="2025-07-25T00:00:00"/>
    <s v="RMSLS"/>
    <s v="SJ"/>
    <s v="GLTRX00027279"/>
    <s v="DQ25070116"/>
    <s v="sdoroshenko"/>
    <x v="5"/>
  </r>
  <r>
    <n v="102767"/>
    <s v="Sales"/>
    <d v="2025-07-23T00:00:00"/>
    <x v="6"/>
    <s v="5010-46-5-604"/>
    <s v="Service Revenue - Non Policy - Mid Market"/>
    <s v="Z-GBP"/>
    <s v="Dugdales PETL Archiving &amp; Filt"/>
    <n v="0"/>
    <n v="0"/>
    <n v="1480"/>
    <n v="-1480"/>
    <n v="1062"/>
    <n v="0"/>
    <n v="1480"/>
    <s v="DQ25070122"/>
    <s v="DQ25070122"/>
    <n v="4112"/>
    <d v="2025-07-25T00:00:00"/>
    <s v="RMSLS"/>
    <s v="SJ"/>
    <s v="GLTRX00027279"/>
    <s v="DQ25070122"/>
    <s v="sdoroshenko"/>
    <x v="12"/>
  </r>
  <r>
    <n v="102840"/>
    <s v="Sales"/>
    <d v="2025-07-29T00:00:00"/>
    <x v="6"/>
    <s v="5010-46-5-604"/>
    <s v="Service Revenue - Non Policy - Mid Market"/>
    <s v="Z-GBP"/>
    <s v="Stonegate - Pre Project consul"/>
    <n v="0"/>
    <n v="0"/>
    <n v="5920"/>
    <n v="-5920"/>
    <n v="1062"/>
    <n v="0"/>
    <n v="5920"/>
    <s v="DQ25070125"/>
    <s v="DQ25070125"/>
    <n v="4071"/>
    <d v="2025-08-01T00:00:00"/>
    <s v="RMSLS"/>
    <s v="SJ"/>
    <s v="GLTRX00027315"/>
    <s v="Sales"/>
    <s v="sdoroshenko"/>
    <x v="11"/>
  </r>
  <r>
    <n v="102857"/>
    <s v="Sales"/>
    <d v="2025-07-31T00:00:00"/>
    <x v="6"/>
    <s v="5010-46-5-454"/>
    <s v="Service Revenue - Non Policy - Gen NA"/>
    <s v="Z-GBP"/>
    <s v="Contact Roles in Generation"/>
    <n v="0"/>
    <n v="0"/>
    <n v="3808.72"/>
    <n v="-3808.72"/>
    <n v="1062"/>
    <n v="0"/>
    <n v="3808.72"/>
    <s v="DQ25080126"/>
    <s v="DQ25080126"/>
    <n v="9990"/>
    <d v="2025-08-04T00:00:00"/>
    <s v="RMSLS"/>
    <s v="SJ"/>
    <s v="GLTRX00027330"/>
    <s v="Sales"/>
    <s v="sdoroshenko"/>
    <x v="7"/>
  </r>
  <r>
    <n v="102864"/>
    <s v="Financial"/>
    <d v="2025-07-31T00:00:00"/>
    <x v="6"/>
    <s v="5010-10-5-604"/>
    <s v="Service Revenue - Mid Market"/>
    <s v="Z-GBP"/>
    <s v="July WIP"/>
    <n v="0"/>
    <n v="0"/>
    <n v="4864.2666666666664"/>
    <n v="-4864.2666666666664"/>
    <n v="1062"/>
    <n v="0"/>
    <n v="28187.41"/>
    <m/>
    <m/>
    <m/>
    <d v="2025-08-05T00:00:00"/>
    <m/>
    <s v="GJ"/>
    <s v="GLTRX00027336"/>
    <m/>
    <s v="sdoroshenko"/>
    <x v="1"/>
  </r>
  <r>
    <n v="102864"/>
    <s v="Financial"/>
    <d v="2025-07-31T00:00:00"/>
    <x v="6"/>
    <s v="5010-10-5-604"/>
    <s v="Service Revenue - Mid Market"/>
    <s v="Z-GBP"/>
    <s v="July WIP"/>
    <n v="0"/>
    <n v="0"/>
    <n v="2832.4799999999996"/>
    <n v="-2832.4799999999996"/>
    <n v="1062"/>
    <n v="0"/>
    <n v="28187.41"/>
    <m/>
    <m/>
    <m/>
    <d v="2025-08-05T00:00:00"/>
    <m/>
    <s v="GJ"/>
    <s v="GLTRX00027336"/>
    <m/>
    <s v="sdoroshenko"/>
    <x v="5"/>
  </r>
  <r>
    <n v="102864"/>
    <s v="Financial"/>
    <d v="2025-07-31T00:00:00"/>
    <x v="6"/>
    <s v="5010-10-5-604"/>
    <s v="Service Revenue - Mid Market"/>
    <s v="Z-GBP"/>
    <s v="July WIP"/>
    <n v="0"/>
    <n v="0"/>
    <n v="986.66666666666663"/>
    <n v="-986.66666666666663"/>
    <n v="1062"/>
    <n v="0"/>
    <n v="28187.41"/>
    <m/>
    <m/>
    <m/>
    <d v="2025-08-05T00:00:00"/>
    <m/>
    <s v="GJ"/>
    <s v="GLTRX00027336"/>
    <m/>
    <s v="sdoroshenko"/>
    <x v="15"/>
  </r>
  <r>
    <n v="102864"/>
    <s v="Financial"/>
    <d v="2025-07-31T00:00:00"/>
    <x v="6"/>
    <s v="5010-10-5-604"/>
    <s v="Service Revenue - Mid Market"/>
    <s v="Z-GBP"/>
    <s v="July WIP"/>
    <n v="0"/>
    <n v="0"/>
    <n v="2368"/>
    <n v="-2368"/>
    <n v="1062"/>
    <n v="0"/>
    <n v="28187.41"/>
    <m/>
    <m/>
    <m/>
    <d v="2025-08-05T00:00:00"/>
    <m/>
    <s v="GJ"/>
    <s v="GLTRX00027336"/>
    <m/>
    <s v="sdoroshenko"/>
    <x v="6"/>
  </r>
  <r>
    <n v="102864"/>
    <s v="Financial"/>
    <d v="2025-07-31T00:00:00"/>
    <x v="6"/>
    <s v="5010-10-5-604"/>
    <s v="Service Revenue - Mid Market"/>
    <s v="Z-GBP"/>
    <s v="July WIP"/>
    <n v="0"/>
    <n v="0"/>
    <n v="4536"/>
    <n v="-4536"/>
    <n v="1062"/>
    <n v="0"/>
    <n v="28187.41"/>
    <m/>
    <m/>
    <m/>
    <d v="2025-08-05T00:00:00"/>
    <m/>
    <s v="GJ"/>
    <s v="GLTRX00027336"/>
    <m/>
    <s v="sdoroshenko"/>
    <x v="2"/>
  </r>
  <r>
    <n v="102864"/>
    <s v="Financial"/>
    <d v="2025-07-31T00:00:00"/>
    <x v="6"/>
    <s v="5010-10-5-604"/>
    <s v="Service Revenue - Mid Market"/>
    <s v="Z-GBP"/>
    <s v="July WIP"/>
    <n v="0"/>
    <n v="0"/>
    <n v="3360"/>
    <n v="-3360"/>
    <n v="1062"/>
    <n v="0"/>
    <n v="28187.41"/>
    <m/>
    <m/>
    <m/>
    <d v="2025-08-05T00:00:00"/>
    <m/>
    <s v="GJ"/>
    <s v="GLTRX00027336"/>
    <m/>
    <s v="sdoroshenko"/>
    <x v="2"/>
  </r>
  <r>
    <n v="102864"/>
    <s v="Financial"/>
    <d v="2025-07-31T00:00:00"/>
    <x v="6"/>
    <s v="5010-10-5-604"/>
    <s v="Service Revenue - Mid Market"/>
    <s v="Z-GBP"/>
    <s v="July WIP"/>
    <n v="0"/>
    <n v="0"/>
    <n v="2436"/>
    <n v="-2436"/>
    <n v="1062"/>
    <n v="0"/>
    <n v="28187.41"/>
    <m/>
    <m/>
    <m/>
    <d v="2025-08-05T00:00:00"/>
    <m/>
    <s v="GJ"/>
    <s v="GLTRX00027336"/>
    <m/>
    <s v="sdoroshenko"/>
    <x v="2"/>
  </r>
  <r>
    <n v="102864"/>
    <s v="Financial"/>
    <d v="2025-07-31T00:00:00"/>
    <x v="6"/>
    <s v="5010-10-5-604"/>
    <s v="Service Revenue - Mid Market"/>
    <s v="Z-GBP"/>
    <s v="July WIP"/>
    <n v="0"/>
    <n v="0"/>
    <n v="6804"/>
    <n v="-6804"/>
    <n v="1062"/>
    <n v="0"/>
    <n v="28187.41"/>
    <m/>
    <m/>
    <m/>
    <d v="2025-08-05T00:00:00"/>
    <m/>
    <s v="GJ"/>
    <s v="GLTRX00027336"/>
    <m/>
    <s v="sdoroshenko"/>
    <x v="2"/>
  </r>
  <r>
    <n v="102863"/>
    <s v="Financial"/>
    <d v="2025-07-31T00:00:00"/>
    <x v="6"/>
    <s v="5010-10-5-604"/>
    <s v="Service Revenue - Mid Market"/>
    <s v="Z-GBP"/>
    <s v="Stonegate site visit move"/>
    <n v="0"/>
    <n v="0"/>
    <n v="1378.65"/>
    <n v="-1378.65"/>
    <n v="1062"/>
    <n v="0"/>
    <n v="1378.65"/>
    <m/>
    <m/>
    <m/>
    <d v="2025-08-05T00:00:00"/>
    <m/>
    <s v="GJ"/>
    <s v="GLTRX00027335"/>
    <m/>
    <s v="jkiernan"/>
    <x v="11"/>
  </r>
  <r>
    <n v="102864"/>
    <s v="Financial"/>
    <d v="2025-08-01T00:00:00"/>
    <x v="7"/>
    <s v="5010-10-5-604"/>
    <s v="Service Revenue - Mid Market"/>
    <s v="Z-GBP"/>
    <s v="July WIP"/>
    <n v="0"/>
    <n v="4864.2666666666664"/>
    <n v="0"/>
    <n v="4864.2666666666664"/>
    <n v="1062"/>
    <n v="0"/>
    <n v="28187.41"/>
    <m/>
    <m/>
    <m/>
    <d v="2025-08-05T00:00:00"/>
    <m/>
    <s v="GJ"/>
    <s v="GLTRX00027336"/>
    <m/>
    <s v="sdoroshenko"/>
    <x v="1"/>
  </r>
  <r>
    <n v="102864"/>
    <s v="Financial"/>
    <d v="2025-08-01T00:00:00"/>
    <x v="7"/>
    <s v="5010-10-5-604"/>
    <s v="Service Revenue - Mid Market"/>
    <s v="Z-GBP"/>
    <s v="July WIP"/>
    <n v="0"/>
    <n v="2832.4799999999996"/>
    <n v="0"/>
    <n v="2832.4799999999996"/>
    <n v="1062"/>
    <n v="0"/>
    <n v="28187.41"/>
    <m/>
    <m/>
    <m/>
    <d v="2025-08-05T00:00:00"/>
    <m/>
    <s v="GJ"/>
    <s v="GLTRX00027336"/>
    <m/>
    <s v="sdoroshenko"/>
    <x v="5"/>
  </r>
  <r>
    <n v="102864"/>
    <s v="Financial"/>
    <d v="2025-08-01T00:00:00"/>
    <x v="7"/>
    <s v="5010-10-5-604"/>
    <s v="Service Revenue - Mid Market"/>
    <s v="Z-GBP"/>
    <s v="July WIP"/>
    <n v="0"/>
    <n v="986.66666666666663"/>
    <n v="0"/>
    <n v="986.66666666666663"/>
    <n v="1062"/>
    <n v="0"/>
    <n v="28187.41"/>
    <m/>
    <m/>
    <m/>
    <d v="2025-08-05T00:00:00"/>
    <m/>
    <s v="GJ"/>
    <s v="GLTRX00027336"/>
    <m/>
    <s v="sdoroshenko"/>
    <x v="15"/>
  </r>
  <r>
    <n v="102864"/>
    <s v="Financial"/>
    <d v="2025-08-01T00:00:00"/>
    <x v="7"/>
    <s v="5010-10-5-604"/>
    <s v="Service Revenue - Mid Market"/>
    <s v="Z-GBP"/>
    <s v="July WIP"/>
    <n v="0"/>
    <n v="2368"/>
    <n v="0"/>
    <n v="2368"/>
    <n v="1062"/>
    <n v="0"/>
    <n v="28187.41"/>
    <m/>
    <m/>
    <m/>
    <d v="2025-08-05T00:00:00"/>
    <m/>
    <s v="GJ"/>
    <s v="GLTRX00027336"/>
    <m/>
    <s v="sdoroshenko"/>
    <x v="6"/>
  </r>
  <r>
    <n v="102864"/>
    <s v="Financial"/>
    <d v="2025-08-01T00:00:00"/>
    <x v="7"/>
    <s v="5010-10-5-604"/>
    <s v="Service Revenue - Mid Market"/>
    <s v="Z-GBP"/>
    <s v="July WIP"/>
    <n v="0"/>
    <n v="4536"/>
    <n v="0"/>
    <n v="4536"/>
    <n v="1062"/>
    <n v="0"/>
    <n v="28187.41"/>
    <m/>
    <m/>
    <m/>
    <d v="2025-08-05T00:00:00"/>
    <m/>
    <s v="GJ"/>
    <s v="GLTRX00027336"/>
    <m/>
    <s v="sdoroshenko"/>
    <x v="2"/>
  </r>
  <r>
    <n v="102864"/>
    <s v="Financial"/>
    <d v="2025-08-01T00:00:00"/>
    <x v="7"/>
    <s v="5010-10-5-604"/>
    <s v="Service Revenue - Mid Market"/>
    <s v="Z-GBP"/>
    <s v="July WIP"/>
    <n v="0"/>
    <n v="3360"/>
    <n v="0"/>
    <n v="3360"/>
    <n v="1062"/>
    <n v="0"/>
    <n v="28187.41"/>
    <m/>
    <m/>
    <m/>
    <d v="2025-08-05T00:00:00"/>
    <m/>
    <s v="GJ"/>
    <s v="GLTRX00027336"/>
    <m/>
    <s v="sdoroshenko"/>
    <x v="2"/>
  </r>
  <r>
    <n v="102864"/>
    <s v="Financial"/>
    <d v="2025-08-01T00:00:00"/>
    <x v="7"/>
    <s v="5010-10-5-604"/>
    <s v="Service Revenue - Mid Market"/>
    <s v="Z-GBP"/>
    <s v="July WIP"/>
    <n v="0"/>
    <n v="2436"/>
    <n v="0"/>
    <n v="2436"/>
    <n v="1062"/>
    <n v="0"/>
    <n v="28187.41"/>
    <m/>
    <m/>
    <m/>
    <d v="2025-08-05T00:00:00"/>
    <m/>
    <s v="GJ"/>
    <s v="GLTRX00027336"/>
    <m/>
    <s v="sdoroshenko"/>
    <x v="2"/>
  </r>
  <r>
    <n v="102864"/>
    <s v="Financial"/>
    <d v="2025-08-01T00:00:00"/>
    <x v="7"/>
    <s v="5010-10-5-604"/>
    <s v="Service Revenue - Mid Market"/>
    <s v="Z-GBP"/>
    <s v="July WIP"/>
    <n v="0"/>
    <n v="6804"/>
    <n v="0"/>
    <n v="6804"/>
    <n v="1062"/>
    <n v="0"/>
    <n v="28187.41"/>
    <m/>
    <m/>
    <m/>
    <d v="2025-08-05T00:00:00"/>
    <m/>
    <s v="GJ"/>
    <s v="GLTRX00027336"/>
    <m/>
    <s v="sdoroshenko"/>
    <x v="2"/>
  </r>
  <r>
    <n v="102974"/>
    <s v="Financial"/>
    <d v="2025-08-01T00:00:00"/>
    <x v="7"/>
    <s v="5010-10-5-604"/>
    <s v="Service Revenue - Mid Market"/>
    <s v="Z-GBP"/>
    <s v="Back Out Journal Entry 101657"/>
    <n v="0"/>
    <n v="0"/>
    <n v="2145"/>
    <n v="-2145"/>
    <n v="1062"/>
    <n v="0"/>
    <n v="2145"/>
    <m/>
    <m/>
    <m/>
    <d v="2025-08-08T00:00:00"/>
    <m/>
    <s v="GJ"/>
    <s v="GLTRX00027376"/>
    <m/>
    <s v="jkiernan"/>
    <x v="11"/>
  </r>
  <r>
    <n v="103059"/>
    <s v="Sales"/>
    <d v="2025-08-14T00:00:00"/>
    <x v="7"/>
    <s v="5010-46-5-604"/>
    <s v="Service Revenue - Non Policy - Mid Market"/>
    <s v="Z-GBP"/>
    <s v="Portal Update"/>
    <n v="0"/>
    <n v="0"/>
    <n v="2960"/>
    <n v="-2960"/>
    <n v="1062"/>
    <n v="0"/>
    <n v="2960"/>
    <s v="DQ25080131"/>
    <s v="DQ25080131"/>
    <n v="9089"/>
    <d v="2025-08-19T00:00:00"/>
    <s v="RMSLS"/>
    <s v="SJ"/>
    <s v="GLTRX00027402"/>
    <s v="DQ25080131"/>
    <s v="sdoroshenko"/>
    <x v="15"/>
  </r>
  <r>
    <n v="103058"/>
    <s v="Sales"/>
    <d v="2025-08-14T00:00:00"/>
    <x v="7"/>
    <s v="5010-46-5-604"/>
    <s v="Service Revenue - Non Policy - Mid Market"/>
    <s v="Z-GBP"/>
    <s v="Saxon Concur Consultancy - Esc"/>
    <n v="0"/>
    <n v="0"/>
    <n v="5520.4"/>
    <n v="-5520.4"/>
    <n v="1062"/>
    <n v="0"/>
    <n v="5520.4"/>
    <s v="DQ25080130"/>
    <s v="DQ25080130"/>
    <n v="892"/>
    <d v="2025-08-19T00:00:00"/>
    <s v="RMSLS"/>
    <s v="SJ"/>
    <s v="GLTRX00027402"/>
    <s v="DQ25080130"/>
    <s v="sdoroshenko"/>
    <x v="6"/>
  </r>
  <r>
    <n v="103060"/>
    <s v="Sales"/>
    <d v="2025-08-18T00:00:00"/>
    <x v="7"/>
    <s v="5010-46-5-604"/>
    <s v="Service Revenue - Non Policy - Mid Market"/>
    <s v="Z-GBP"/>
    <s v="Mobile app - deep link updates"/>
    <n v="0"/>
    <n v="0"/>
    <n v="3780"/>
    <n v="-3780"/>
    <n v="1062"/>
    <n v="0"/>
    <n v="3780"/>
    <s v="DQ25080132"/>
    <s v="DQ25080132"/>
    <n v="4135"/>
    <d v="2025-08-19T00:00:00"/>
    <s v="RMSLS"/>
    <s v="SJ"/>
    <s v="GLTRX00027402"/>
    <s v="DQ25080132"/>
    <s v="sdoroshenko"/>
    <x v="2"/>
  </r>
  <r>
    <n v="103197"/>
    <s v="Financial"/>
    <d v="2025-08-29T00:00:00"/>
    <x v="7"/>
    <s v="5010-10-5-454"/>
    <s v="Service Revenue - Initiatives"/>
    <s v="Z-GBP"/>
    <s v="WIP August"/>
    <n v="0"/>
    <n v="0"/>
    <n v="1864.8"/>
    <n v="-1864.8"/>
    <n v="1062"/>
    <n v="0"/>
    <n v="4340.92"/>
    <m/>
    <m/>
    <m/>
    <d v="2025-09-03T00:00:00"/>
    <m/>
    <s v="GJ"/>
    <s v="GLTRX00027463"/>
    <m/>
    <s v="sdoroshenko"/>
    <x v="17"/>
  </r>
  <r>
    <n v="103197"/>
    <s v="Financial"/>
    <d v="2025-08-29T00:00:00"/>
    <x v="7"/>
    <s v="5010-10-5-454"/>
    <s v="Service Revenue - Initiatives"/>
    <s v="Z-GBP"/>
    <s v="WIP August"/>
    <n v="0"/>
    <n v="0"/>
    <n v="2869.03"/>
    <n v="-2869.03"/>
    <n v="1062"/>
    <n v="0"/>
    <n v="4340.92"/>
    <m/>
    <m/>
    <m/>
    <d v="2025-09-03T00:00:00"/>
    <m/>
    <s v="GJ"/>
    <s v="GLTRX00027463"/>
    <m/>
    <s v="sdoroshenko"/>
    <x v="5"/>
  </r>
  <r>
    <n v="103197"/>
    <s v="Financial"/>
    <d v="2025-08-29T00:00:00"/>
    <x v="7"/>
    <s v="5010-10-5-454"/>
    <s v="Service Revenue - Initiatives"/>
    <s v="Z-GBP"/>
    <s v="WIP August"/>
    <n v="0"/>
    <n v="0"/>
    <n v="4536"/>
    <n v="-4536"/>
    <n v="1062"/>
    <n v="0"/>
    <n v="4340.92"/>
    <m/>
    <m/>
    <m/>
    <d v="2025-09-03T00:00:00"/>
    <m/>
    <s v="GJ"/>
    <s v="GLTRX00027463"/>
    <m/>
    <s v="sdoroshenko"/>
    <x v="2"/>
  </r>
  <r>
    <n v="103194"/>
    <s v="Financial"/>
    <d v="2025-08-31T00:00:00"/>
    <x v="7"/>
    <s v="5010-10-5-604"/>
    <s v="Service Revenue - Mid Market"/>
    <s v="Z-GBP"/>
    <s v="WIP August"/>
    <n v="0"/>
    <n v="0"/>
    <n v="484.57500000000005"/>
    <n v="-484.57500000000005"/>
    <n v="1062"/>
    <n v="0"/>
    <n v="39224.82"/>
    <m/>
    <m/>
    <m/>
    <d v="2025-09-02T00:00:00"/>
    <m/>
    <s v="GJ"/>
    <s v="GLTRX00027460"/>
    <m/>
    <s v="sdoroshenko"/>
    <x v="7"/>
  </r>
  <r>
    <n v="103195"/>
    <s v="Financial"/>
    <d v="2025-08-31T00:00:00"/>
    <x v="7"/>
    <s v="5010-10-5-454"/>
    <s v="Service Revenue - Initiatives"/>
    <s v="Z-GBP"/>
    <s v="WIP August"/>
    <n v="0"/>
    <n v="0"/>
    <n v="4340.9195199999995"/>
    <n v="-4340.9195199999995"/>
    <n v="1062"/>
    <n v="0"/>
    <n v="484.58"/>
    <m/>
    <m/>
    <m/>
    <d v="2025-09-03T00:00:00"/>
    <m/>
    <s v="GJ"/>
    <s v="GLTRX00027461"/>
    <m/>
    <s v="sdoroshenko"/>
    <x v="18"/>
  </r>
  <r>
    <n v="103195"/>
    <s v="Financial"/>
    <d v="2025-08-31T00:00:00"/>
    <x v="7"/>
    <s v="5010-10-5-454"/>
    <s v="Service Revenue - Initiatives"/>
    <s v="Z-GBP"/>
    <s v="WIP August"/>
    <n v="0"/>
    <n v="0"/>
    <n v="1282.6666666666667"/>
    <n v="-1282.6666666666667"/>
    <n v="1062"/>
    <n v="0"/>
    <n v="484.58"/>
    <m/>
    <m/>
    <m/>
    <d v="2025-09-03T00:00:00"/>
    <m/>
    <s v="GJ"/>
    <s v="GLTRX00027461"/>
    <m/>
    <s v="sdoroshenko"/>
    <x v="19"/>
  </r>
  <r>
    <n v="103195"/>
    <s v="Financial"/>
    <d v="2025-08-31T00:00:00"/>
    <x v="7"/>
    <s v="5010-10-5-454"/>
    <s v="Service Revenue - Initiatives"/>
    <s v="Z-GBP"/>
    <s v="WIP August"/>
    <n v="0"/>
    <n v="0"/>
    <n v="10734.933333333332"/>
    <n v="-10734.933333333332"/>
    <n v="1062"/>
    <n v="0"/>
    <n v="484.58"/>
    <m/>
    <m/>
    <m/>
    <d v="2025-09-03T00:00:00"/>
    <m/>
    <s v="GJ"/>
    <s v="GLTRX00027461"/>
    <m/>
    <s v="sdoroshenko"/>
    <x v="1"/>
  </r>
  <r>
    <n v="103194"/>
    <s v="Financial"/>
    <d v="2025-08-31T00:00:00"/>
    <x v="7"/>
    <s v="5010-10-5-604"/>
    <s v="Service Revenue - Mid Market"/>
    <s v="Z-GBP"/>
    <s v="WIP August"/>
    <n v="0"/>
    <n v="0"/>
    <n v="869.4"/>
    <n v="-869.4"/>
    <n v="1062"/>
    <n v="0"/>
    <n v="39224.82"/>
    <m/>
    <m/>
    <m/>
    <d v="2025-09-02T00:00:00"/>
    <m/>
    <s v="GJ"/>
    <s v="GLTRX00027460"/>
    <m/>
    <s v="sdoroshenko"/>
    <x v="5"/>
  </r>
  <r>
    <n v="103194"/>
    <s v="Financial"/>
    <d v="2025-08-31T00:00:00"/>
    <x v="7"/>
    <s v="5010-10-5-604"/>
    <s v="Service Revenue - Mid Market"/>
    <s v="Z-GBP"/>
    <s v="WIP August"/>
    <n v="0"/>
    <n v="0"/>
    <n v="2368"/>
    <n v="-2368"/>
    <n v="1062"/>
    <n v="0"/>
    <n v="39224.82"/>
    <m/>
    <m/>
    <m/>
    <d v="2025-09-02T00:00:00"/>
    <m/>
    <s v="GJ"/>
    <s v="GLTRX00027460"/>
    <m/>
    <s v="sdoroshenko"/>
    <x v="6"/>
  </r>
  <r>
    <n v="103194"/>
    <s v="Financial"/>
    <d v="2025-08-31T00:00:00"/>
    <x v="7"/>
    <s v="5010-10-5-604"/>
    <s v="Service Revenue - Mid Market"/>
    <s v="Z-GBP"/>
    <s v="WIP August"/>
    <n v="0"/>
    <n v="0"/>
    <n v="2520"/>
    <n v="-2520"/>
    <n v="1062"/>
    <n v="0"/>
    <n v="39224.82"/>
    <m/>
    <m/>
    <m/>
    <d v="2025-09-02T00:00:00"/>
    <m/>
    <s v="GJ"/>
    <s v="GLTRX00027460"/>
    <m/>
    <s v="sdoroshenko"/>
    <x v="2"/>
  </r>
  <r>
    <n v="103195"/>
    <s v="Financial"/>
    <d v="2025-08-31T00:00:00"/>
    <x v="7"/>
    <s v="5010-10-5-454"/>
    <s v="Service Revenue - Initiatives"/>
    <s v="Z-GBP"/>
    <s v="WIP August"/>
    <n v="0"/>
    <n v="0"/>
    <n v="10374.000000000002"/>
    <n v="-10374.000000000002"/>
    <n v="1062"/>
    <n v="0"/>
    <n v="484.58"/>
    <m/>
    <m/>
    <m/>
    <d v="2025-09-03T00:00:00"/>
    <m/>
    <s v="GJ"/>
    <s v="GLTRX00027461"/>
    <m/>
    <s v="sdoroshenko"/>
    <x v="2"/>
  </r>
  <r>
    <n v="103195"/>
    <s v="Financial"/>
    <d v="2025-08-31T00:00:00"/>
    <x v="7"/>
    <s v="5010-10-5-454"/>
    <s v="Service Revenue - Initiatives"/>
    <s v="Z-GBP"/>
    <s v="WIP August"/>
    <n v="0"/>
    <n v="0"/>
    <n v="882"/>
    <n v="-882"/>
    <n v="1062"/>
    <n v="0"/>
    <n v="484.58"/>
    <m/>
    <m/>
    <m/>
    <d v="2025-09-03T00:00:00"/>
    <m/>
    <s v="GJ"/>
    <s v="GLTRX00027461"/>
    <m/>
    <s v="sdoroshenko"/>
    <x v="2"/>
  </r>
  <r>
    <n v="103194"/>
    <s v="Financial"/>
    <d v="2025-08-31T00:00:00"/>
    <x v="7"/>
    <s v="5010-10-5-604"/>
    <s v="Service Revenue - Mid Market"/>
    <s v="Z-GBP"/>
    <s v="WIP August"/>
    <n v="0"/>
    <n v="0"/>
    <n v="923.99999999999989"/>
    <n v="-923.99999999999989"/>
    <n v="1062"/>
    <n v="0"/>
    <n v="39224.82"/>
    <m/>
    <m/>
    <m/>
    <d v="2025-09-02T00:00:00"/>
    <m/>
    <s v="GJ"/>
    <s v="GLTRX00027460"/>
    <m/>
    <s v="sdoroshenko"/>
    <x v="2"/>
  </r>
  <r>
    <n v="103193"/>
    <s v="Financial"/>
    <d v="2025-08-31T00:00:00"/>
    <x v="7"/>
    <s v="5010-46-5-454"/>
    <s v="Service Revenue - Non Policy - Gen NA"/>
    <s v="Z-GBP"/>
    <s v="West Gaines move"/>
    <n v="0"/>
    <n v="0"/>
    <n v="2055.81"/>
    <n v="-2055.81"/>
    <n v="1062"/>
    <n v="0"/>
    <n v="2055.81"/>
    <m/>
    <m/>
    <m/>
    <d v="2025-09-02T00:00:00"/>
    <m/>
    <s v="GJ"/>
    <s v="GLTRX00027459"/>
    <m/>
    <s v="sdoroshenko"/>
    <x v="3"/>
  </r>
  <r>
    <n v="103197"/>
    <s v="Financial"/>
    <d v="2025-09-01T00:00:00"/>
    <x v="8"/>
    <s v="5010-10-5-454"/>
    <s v="Service Revenue - Initiatives"/>
    <s v="Z-GBP"/>
    <s v="WIP August"/>
    <n v="0"/>
    <n v="1864.8"/>
    <n v="0"/>
    <n v="1864.8"/>
    <n v="1062"/>
    <n v="0"/>
    <n v="4340.92"/>
    <m/>
    <m/>
    <m/>
    <d v="2025-09-03T00:00:00"/>
    <m/>
    <s v="GJ"/>
    <s v="GLTRX00027463"/>
    <m/>
    <s v="sdoroshenko"/>
    <x v="17"/>
  </r>
  <r>
    <n v="103194"/>
    <s v="Financial"/>
    <d v="2025-09-01T00:00:00"/>
    <x v="8"/>
    <s v="5010-10-5-604"/>
    <s v="Service Revenue - Mid Market"/>
    <s v="Z-GBP"/>
    <s v="WIP August"/>
    <n v="0"/>
    <n v="484.57500000000005"/>
    <n v="0"/>
    <n v="484.57500000000005"/>
    <n v="1062"/>
    <n v="0"/>
    <n v="39224.82"/>
    <m/>
    <m/>
    <m/>
    <d v="2025-09-02T00:00:00"/>
    <m/>
    <s v="GJ"/>
    <s v="GLTRX00027460"/>
    <m/>
    <s v="sdoroshenko"/>
    <x v="7"/>
  </r>
  <r>
    <n v="103195"/>
    <s v="Financial"/>
    <d v="2025-09-01T00:00:00"/>
    <x v="8"/>
    <s v="5010-10-5-454"/>
    <s v="Service Revenue - Initiatives"/>
    <s v="Z-GBP"/>
    <s v="WIP August"/>
    <n v="0"/>
    <n v="4340.9195199999995"/>
    <n v="0"/>
    <n v="4340.9195199999995"/>
    <n v="1062"/>
    <n v="0"/>
    <n v="484.58"/>
    <m/>
    <m/>
    <m/>
    <d v="2025-09-03T00:00:00"/>
    <m/>
    <s v="GJ"/>
    <s v="GLTRX00027461"/>
    <m/>
    <s v="sdoroshenko"/>
    <x v="18"/>
  </r>
  <r>
    <n v="103195"/>
    <s v="Financial"/>
    <d v="2025-09-01T00:00:00"/>
    <x v="8"/>
    <s v="5010-10-5-454"/>
    <s v="Service Revenue - Initiatives"/>
    <s v="Z-GBP"/>
    <s v="WIP August"/>
    <n v="0"/>
    <n v="1282.6666666666667"/>
    <n v="0"/>
    <n v="1282.6666666666667"/>
    <n v="1062"/>
    <n v="0"/>
    <n v="484.58"/>
    <m/>
    <m/>
    <m/>
    <d v="2025-09-03T00:00:00"/>
    <m/>
    <s v="GJ"/>
    <s v="GLTRX00027461"/>
    <m/>
    <s v="sdoroshenko"/>
    <x v="19"/>
  </r>
  <r>
    <n v="103195"/>
    <s v="Financial"/>
    <d v="2025-09-01T00:00:00"/>
    <x v="8"/>
    <s v="5010-10-5-454"/>
    <s v="Service Revenue - Initiatives"/>
    <s v="Z-GBP"/>
    <s v="WIP August"/>
    <n v="0"/>
    <n v="10734.933333333332"/>
    <n v="0"/>
    <n v="10734.933333333332"/>
    <n v="1062"/>
    <n v="0"/>
    <n v="484.58"/>
    <m/>
    <m/>
    <m/>
    <d v="2025-09-03T00:00:00"/>
    <m/>
    <s v="GJ"/>
    <s v="GLTRX00027461"/>
    <m/>
    <s v="sdoroshenko"/>
    <x v="1"/>
  </r>
  <r>
    <n v="103197"/>
    <s v="Financial"/>
    <d v="2025-09-01T00:00:00"/>
    <x v="8"/>
    <s v="5010-10-5-454"/>
    <s v="Service Revenue - Initiatives"/>
    <s v="Z-GBP"/>
    <s v="WIP August"/>
    <n v="0"/>
    <n v="2869.03"/>
    <n v="0"/>
    <n v="2869.03"/>
    <n v="1062"/>
    <n v="0"/>
    <n v="4340.92"/>
    <m/>
    <m/>
    <m/>
    <d v="2025-09-03T00:00:00"/>
    <m/>
    <s v="GJ"/>
    <s v="GLTRX00027463"/>
    <m/>
    <s v="sdoroshenko"/>
    <x v="5"/>
  </r>
  <r>
    <n v="103194"/>
    <s v="Financial"/>
    <d v="2025-09-01T00:00:00"/>
    <x v="8"/>
    <s v="5010-10-5-604"/>
    <s v="Service Revenue - Mid Market"/>
    <s v="Z-GBP"/>
    <s v="WIP August"/>
    <n v="0"/>
    <n v="869.4"/>
    <n v="0"/>
    <n v="869.4"/>
    <n v="1062"/>
    <n v="0"/>
    <n v="39224.82"/>
    <m/>
    <m/>
    <m/>
    <d v="2025-09-02T00:00:00"/>
    <m/>
    <s v="GJ"/>
    <s v="GLTRX00027460"/>
    <m/>
    <s v="sdoroshenko"/>
    <x v="5"/>
  </r>
  <r>
    <n v="103194"/>
    <s v="Financial"/>
    <d v="2025-09-01T00:00:00"/>
    <x v="8"/>
    <s v="5010-10-5-604"/>
    <s v="Service Revenue - Mid Market"/>
    <s v="Z-GBP"/>
    <s v="WIP August"/>
    <n v="0"/>
    <n v="2368"/>
    <n v="0"/>
    <n v="2368"/>
    <n v="1062"/>
    <n v="0"/>
    <n v="39224.82"/>
    <m/>
    <m/>
    <m/>
    <d v="2025-09-02T00:00:00"/>
    <m/>
    <s v="GJ"/>
    <s v="GLTRX00027460"/>
    <m/>
    <s v="sdoroshenko"/>
    <x v="6"/>
  </r>
  <r>
    <n v="103197"/>
    <s v="Financial"/>
    <d v="2025-09-01T00:00:00"/>
    <x v="8"/>
    <s v="5010-10-5-454"/>
    <s v="Service Revenue - Initiatives"/>
    <s v="Z-GBP"/>
    <s v="WIP August"/>
    <n v="0"/>
    <n v="4536"/>
    <n v="0"/>
    <n v="4536"/>
    <n v="1062"/>
    <n v="0"/>
    <n v="4340.92"/>
    <m/>
    <m/>
    <m/>
    <d v="2025-09-03T00:00:00"/>
    <m/>
    <s v="GJ"/>
    <s v="GLTRX00027463"/>
    <m/>
    <s v="sdoroshenko"/>
    <x v="2"/>
  </r>
  <r>
    <n v="103194"/>
    <s v="Financial"/>
    <d v="2025-09-01T00:00:00"/>
    <x v="8"/>
    <s v="5010-10-5-604"/>
    <s v="Service Revenue - Mid Market"/>
    <s v="Z-GBP"/>
    <s v="WIP August"/>
    <n v="0"/>
    <n v="2520"/>
    <n v="0"/>
    <n v="2520"/>
    <n v="1062"/>
    <n v="0"/>
    <n v="39224.82"/>
    <m/>
    <m/>
    <m/>
    <d v="2025-09-02T00:00:00"/>
    <m/>
    <s v="GJ"/>
    <s v="GLTRX00027460"/>
    <m/>
    <s v="sdoroshenko"/>
    <x v="2"/>
  </r>
  <r>
    <n v="103195"/>
    <s v="Financial"/>
    <d v="2025-09-01T00:00:00"/>
    <x v="8"/>
    <s v="5010-10-5-454"/>
    <s v="Service Revenue - Initiatives"/>
    <s v="Z-GBP"/>
    <s v="WIP August"/>
    <n v="0"/>
    <n v="10374.000000000002"/>
    <n v="0"/>
    <n v="10374.000000000002"/>
    <n v="1062"/>
    <n v="0"/>
    <n v="484.58"/>
    <m/>
    <m/>
    <m/>
    <d v="2025-09-03T00:00:00"/>
    <m/>
    <s v="GJ"/>
    <s v="GLTRX00027461"/>
    <m/>
    <s v="sdoroshenko"/>
    <x v="2"/>
  </r>
  <r>
    <n v="103195"/>
    <s v="Financial"/>
    <d v="2025-09-01T00:00:00"/>
    <x v="8"/>
    <s v="5010-10-5-454"/>
    <s v="Service Revenue - Initiatives"/>
    <s v="Z-GBP"/>
    <s v="WIP August"/>
    <n v="0"/>
    <n v="882"/>
    <n v="0"/>
    <n v="882"/>
    <n v="1062"/>
    <n v="0"/>
    <n v="484.58"/>
    <m/>
    <m/>
    <m/>
    <d v="2025-09-03T00:00:00"/>
    <m/>
    <s v="GJ"/>
    <s v="GLTRX00027461"/>
    <m/>
    <s v="sdoroshenko"/>
    <x v="2"/>
  </r>
  <r>
    <n v="103194"/>
    <s v="Financial"/>
    <d v="2025-09-01T00:00:00"/>
    <x v="8"/>
    <s v="5010-10-5-604"/>
    <s v="Service Revenue - Mid Market"/>
    <s v="Z-GBP"/>
    <s v="WIP August"/>
    <n v="0"/>
    <n v="923.99999999999989"/>
    <n v="0"/>
    <n v="923.99999999999989"/>
    <n v="1062"/>
    <n v="0"/>
    <n v="39224.82"/>
    <m/>
    <m/>
    <m/>
    <d v="2025-09-02T00:00:00"/>
    <m/>
    <s v="GJ"/>
    <s v="GLTRX00027460"/>
    <m/>
    <s v="sdoroshenko"/>
    <x v="2"/>
  </r>
  <r>
    <n v="103367"/>
    <s v="Sales"/>
    <d v="2025-09-12T00:00:00"/>
    <x v="8"/>
    <s v="5010-46-5-454"/>
    <s v="Service Revenue - Non Policy - Gen NA"/>
    <s v="Z-GBP"/>
    <s v="Generation 2025"/>
    <n v="0"/>
    <n v="0"/>
    <n v="2739.74"/>
    <n v="-2739.74"/>
    <n v="1062"/>
    <n v="0"/>
    <n v="2739.74"/>
    <s v="DQ25090153"/>
    <s v="DQ25090153"/>
    <n v="4100"/>
    <d v="2025-09-25T00:00:00"/>
    <s v="RMSLS"/>
    <s v="SJ"/>
    <s v="GLTRX00027534"/>
    <s v="Sales"/>
    <s v="sdoroshenko"/>
    <x v="18"/>
  </r>
  <r>
    <n v="103367"/>
    <s v="Sales"/>
    <d v="2025-09-12T00:00:00"/>
    <x v="8"/>
    <s v="5010-46-5-454"/>
    <s v="Service Revenue - Non Policy - Gen NA"/>
    <s v="Z-GBP"/>
    <s v="Generation 2025"/>
    <n v="0"/>
    <n v="0"/>
    <n v="1603.75"/>
    <n v="-1603.75"/>
    <n v="1062"/>
    <n v="0"/>
    <n v="1603.75"/>
    <s v="DQ25090153"/>
    <s v="DQ25090153"/>
    <n v="4100"/>
    <d v="2025-09-25T00:00:00"/>
    <s v="RMSLS"/>
    <s v="SJ"/>
    <s v="GLTRX00027534"/>
    <s v="Sales"/>
    <s v="sdoroshenko"/>
    <x v="18"/>
  </r>
  <r>
    <n v="103368"/>
    <s v="Sales"/>
    <d v="2025-09-12T00:00:00"/>
    <x v="8"/>
    <s v="5010-46-5-454"/>
    <s v="Service Revenue - Non Policy - Gen NA"/>
    <s v="Z-GBP"/>
    <s v="Generation 2025"/>
    <n v="0"/>
    <n v="0"/>
    <n v="2739.74"/>
    <n v="-2739.74"/>
    <n v="1062"/>
    <n v="0"/>
    <n v="2739.74"/>
    <s v="DQ25090153-1"/>
    <s v="DQ25090153-1"/>
    <n v="4100"/>
    <d v="2025-09-25T00:00:00"/>
    <s v="RMSLS"/>
    <s v="SJ"/>
    <s v="GLTRX00027534"/>
    <s v="Sales"/>
    <s v="sdoroshenko"/>
    <x v="18"/>
  </r>
  <r>
    <n v="103368"/>
    <s v="Sales"/>
    <d v="2025-09-12T00:00:00"/>
    <x v="8"/>
    <s v="5010-46-5-454"/>
    <s v="Service Revenue - Non Policy - Gen NA"/>
    <s v="Z-GBP"/>
    <s v="Generation 2025"/>
    <n v="0"/>
    <n v="0"/>
    <n v="1603.75"/>
    <n v="-1603.75"/>
    <n v="1062"/>
    <n v="0"/>
    <n v="1603.75"/>
    <s v="DQ25090153-1"/>
    <s v="DQ25090153-1"/>
    <n v="4100"/>
    <d v="2025-09-25T00:00:00"/>
    <s v="RMSLS"/>
    <s v="SJ"/>
    <s v="GLTRX00027534"/>
    <s v="Sales"/>
    <s v="sdoroshenko"/>
    <x v="18"/>
  </r>
  <r>
    <n v="103421"/>
    <s v="Sales"/>
    <d v="2025-09-16T00:00:00"/>
    <x v="8"/>
    <s v="5010-46-5-604"/>
    <s v="Service Revenue - Non Policy - Mid Market"/>
    <s v="Z-GBP"/>
    <s v="BMGG - Bespoke Portal Amendmen"/>
    <n v="0"/>
    <n v="0"/>
    <n v="2619.6"/>
    <n v="-2619.6"/>
    <n v="1062"/>
    <n v="0"/>
    <n v="2619.6"/>
    <s v="DQ25090161"/>
    <s v="DQ25090161"/>
    <n v="4070"/>
    <d v="2025-10-01T00:00:00"/>
    <s v="RMSLS"/>
    <s v="SJ"/>
    <s v="GLTRX00027565"/>
    <s v="Sales"/>
    <s v="sdoroshenko"/>
    <x v="17"/>
  </r>
  <r>
    <n v="103398"/>
    <s v="Sales"/>
    <d v="2025-09-16T00:00:00"/>
    <x v="8"/>
    <s v="5010-46-5-604"/>
    <s v="Service Revenue - Non Policy - Mid Market"/>
    <s v="Z-GBP"/>
    <s v="Change to Sales Volume Breakdo"/>
    <n v="0"/>
    <n v="0"/>
    <n v="1335.6"/>
    <n v="-1335.6"/>
    <n v="1062"/>
    <n v="0"/>
    <n v="1335.6"/>
    <s v="DQ25090160"/>
    <s v="DQ25090160"/>
    <n v="4067"/>
    <d v="2025-10-01T00:00:00"/>
    <s v="RMSLS"/>
    <s v="SJ"/>
    <s v="GLTRX00027551"/>
    <s v="DQ25090160"/>
    <s v="sdoroshenko"/>
    <x v="5"/>
  </r>
  <r>
    <n v="103394"/>
    <s v="Sales"/>
    <d v="2025-09-16T00:00:00"/>
    <x v="8"/>
    <s v="5010-46-5-604"/>
    <s v="Service Revenue - Non Policy - Mid Market"/>
    <s v="Z-GBP"/>
    <s v="Red Tractor - Specification 1"/>
    <n v="0"/>
    <n v="0"/>
    <n v="8880"/>
    <n v="-8880"/>
    <n v="1062"/>
    <n v="0"/>
    <n v="8880"/>
    <s v="DQ25090156"/>
    <s v="DQ25090156"/>
    <n v="892"/>
    <d v="2025-10-01T00:00:00"/>
    <s v="RMSLS"/>
    <s v="SJ"/>
    <s v="GLTRX00027551"/>
    <s v="DQ25090156"/>
    <s v="sdoroshenko"/>
    <x v="6"/>
  </r>
  <r>
    <n v="103395"/>
    <s v="Sales"/>
    <d v="2025-09-16T00:00:00"/>
    <x v="8"/>
    <s v="5010-46-5-604"/>
    <s v="Service Revenue - Non Policy - Mid Market"/>
    <s v="Z-GBP"/>
    <s v="Template Update Enhancements:"/>
    <n v="0"/>
    <n v="0"/>
    <n v="3654"/>
    <n v="-3654"/>
    <n v="1062"/>
    <n v="0"/>
    <n v="3654"/>
    <s v="DQ25090157"/>
    <s v="DQ25090157"/>
    <n v="4135"/>
    <d v="2025-10-01T00:00:00"/>
    <s v="RMSLS"/>
    <s v="SJ"/>
    <s v="GLTRX00027551"/>
    <s v="DQ25090157"/>
    <s v="sdoroshenko"/>
    <x v="2"/>
  </r>
  <r>
    <n v="103396"/>
    <s v="Sales"/>
    <d v="2025-09-16T00:00:00"/>
    <x v="8"/>
    <s v="5010-46-5-604"/>
    <s v="Service Revenue - Non Policy - Mid Market"/>
    <s v="Z-GBP"/>
    <s v="Enhancement to Template Update"/>
    <n v="0"/>
    <n v="0"/>
    <n v="1045.8"/>
    <n v="-1045.8"/>
    <n v="1062"/>
    <n v="0"/>
    <n v="1045.8"/>
    <s v="DQ25090158"/>
    <s v="DQ25090158"/>
    <n v="4135"/>
    <d v="2025-10-01T00:00:00"/>
    <s v="RMSLS"/>
    <s v="SJ"/>
    <s v="GLTRX00027551"/>
    <s v="DQ25090158"/>
    <s v="sdoroshenko"/>
    <x v="2"/>
  </r>
  <r>
    <n v="103397"/>
    <s v="Sales"/>
    <d v="2025-09-16T00:00:00"/>
    <x v="8"/>
    <s v="5010-46-5-604"/>
    <s v="Service Revenue - Non Policy - Mid Market"/>
    <s v="Z-GBP"/>
    <s v="Cool Farm Data Retrieval"/>
    <n v="0"/>
    <n v="0"/>
    <n v="919.8"/>
    <n v="-919.8"/>
    <n v="1062"/>
    <n v="0"/>
    <n v="919.8"/>
    <s v="DQ25090159"/>
    <s v="DQ25090159"/>
    <n v="4135"/>
    <d v="2025-10-01T00:00:00"/>
    <s v="RMSLS"/>
    <s v="SJ"/>
    <s v="GLTRX00027551"/>
    <s v="DQ25090159"/>
    <s v="sdoroshenko"/>
    <x v="2"/>
  </r>
  <r>
    <n v="103399"/>
    <s v="Sales"/>
    <d v="2025-09-18T00:00:00"/>
    <x v="8"/>
    <s v="5010-46-5-604"/>
    <s v="Service Revenue - Non Policy - Mid Market"/>
    <s v="Z-GBP"/>
    <s v="User Diary &amp; Sales Volume Brea"/>
    <n v="0"/>
    <n v="0"/>
    <n v="1675.8"/>
    <n v="-1675.8"/>
    <n v="1062"/>
    <n v="0"/>
    <n v="1675.8"/>
    <s v="DQ25090162"/>
    <s v="DQ25090162"/>
    <n v="4067"/>
    <d v="2025-10-01T00:00:00"/>
    <s v="RMSLS"/>
    <s v="SJ"/>
    <s v="GLTRX00027551"/>
    <s v="DQ25090162"/>
    <s v="sdoroshenko"/>
    <x v="5"/>
  </r>
  <r>
    <n v="103369"/>
    <s v="Sales"/>
    <d v="2025-09-25T00:00:00"/>
    <x v="8"/>
    <s v="5010-46-5-454"/>
    <s v="Service Revenue - Non Policy - Gen NA"/>
    <s v="Z-GBP"/>
    <s v="Voided Trn Maintenance"/>
    <n v="0"/>
    <n v="2739.74"/>
    <n v="0"/>
    <n v="2739.74"/>
    <n v="1062"/>
    <n v="2739.74"/>
    <n v="0"/>
    <s v="DQ25090153"/>
    <s v="DQ25090153"/>
    <n v="4100"/>
    <d v="2025-09-25T00:00:00"/>
    <s v="RMMSC"/>
    <s v="RMJ"/>
    <s v="GLTRX00027533"/>
    <s v="Sales"/>
    <s v="sdoroshenko"/>
    <x v="18"/>
  </r>
  <r>
    <n v="103369"/>
    <s v="Sales"/>
    <d v="2025-09-25T00:00:00"/>
    <x v="8"/>
    <s v="5010-46-5-454"/>
    <s v="Service Revenue - Non Policy - Gen NA"/>
    <s v="Z-GBP"/>
    <s v="Voided Trn Maintenance"/>
    <n v="0"/>
    <n v="1603.75"/>
    <n v="0"/>
    <n v="1603.75"/>
    <n v="1062"/>
    <n v="1603.75"/>
    <n v="0"/>
    <s v="DQ25090153"/>
    <s v="DQ25090153"/>
    <n v="4100"/>
    <d v="2025-09-25T00:00:00"/>
    <s v="RMMSC"/>
    <s v="RMJ"/>
    <s v="GLTRX00027533"/>
    <s v="Sales"/>
    <s v="sdoroshenko"/>
    <x v="18"/>
  </r>
  <r>
    <n v="103451"/>
    <s v="Financial"/>
    <d v="2025-09-30T00:00:00"/>
    <x v="8"/>
    <s v="5010-10-5-454"/>
    <s v="Service Revenue - Initiatives"/>
    <s v="Z-GBP"/>
    <s v="September WIP"/>
    <n v="0"/>
    <n v="0"/>
    <n v="6080.4471000000012"/>
    <n v="-6080.4471000000012"/>
    <n v="1062"/>
    <n v="0"/>
    <n v="25431.35"/>
    <m/>
    <m/>
    <m/>
    <d v="2025-10-02T00:00:00"/>
    <m/>
    <s v="GJ"/>
    <s v="GLTRX00027579"/>
    <m/>
    <s v="sdoroshenko"/>
    <x v="7"/>
  </r>
  <r>
    <n v="103451"/>
    <s v="Financial"/>
    <d v="2025-09-30T00:00:00"/>
    <x v="8"/>
    <s v="5010-10-5-604"/>
    <s v="Service Revenue - Mid Market"/>
    <s v="Z-GBP"/>
    <s v="September WIP"/>
    <n v="0"/>
    <n v="0"/>
    <n v="4025.2338"/>
    <n v="-4025.2338"/>
    <n v="1062"/>
    <n v="0"/>
    <n v="45918.93"/>
    <m/>
    <m/>
    <m/>
    <d v="2025-10-02T00:00:00"/>
    <m/>
    <s v="GJ"/>
    <s v="GLTRX00027579"/>
    <m/>
    <s v="sdoroshenko"/>
    <x v="7"/>
  </r>
  <r>
    <n v="103451"/>
    <s v="Financial"/>
    <d v="2025-09-30T00:00:00"/>
    <x v="8"/>
    <s v="5010-10-5-454"/>
    <s v="Service Revenue - Initiatives"/>
    <s v="Z-GBP"/>
    <s v="September WIP"/>
    <n v="0"/>
    <n v="0"/>
    <n v="15325.668826666666"/>
    <n v="-15325.668826666666"/>
    <n v="1062"/>
    <n v="0"/>
    <n v="25431.35"/>
    <m/>
    <m/>
    <m/>
    <d v="2025-10-02T00:00:00"/>
    <m/>
    <s v="GJ"/>
    <s v="GLTRX00027579"/>
    <m/>
    <s v="sdoroshenko"/>
    <x v="18"/>
  </r>
  <r>
    <n v="103451"/>
    <s v="Financial"/>
    <d v="2025-09-30T00:00:00"/>
    <x v="8"/>
    <s v="5010-10-5-604"/>
    <s v="Service Revenue - Mid Market"/>
    <s v="Z-GBP"/>
    <s v="September WIP"/>
    <n v="0"/>
    <n v="0"/>
    <n v="1282.6666666666667"/>
    <n v="-1282.6666666666667"/>
    <n v="1062"/>
    <n v="0"/>
    <n v="45918.93"/>
    <m/>
    <m/>
    <m/>
    <d v="2025-10-02T00:00:00"/>
    <m/>
    <s v="GJ"/>
    <s v="GLTRX00027579"/>
    <m/>
    <s v="sdoroshenko"/>
    <x v="19"/>
  </r>
  <r>
    <n v="103451"/>
    <s v="Financial"/>
    <d v="2025-09-30T00:00:00"/>
    <x v="8"/>
    <s v="5010-10-5-604"/>
    <s v="Service Revenue - Mid Market"/>
    <s v="Z-GBP"/>
    <s v="September WIP"/>
    <n v="0"/>
    <n v="0"/>
    <n v="296"/>
    <n v="-296"/>
    <n v="1062"/>
    <n v="0"/>
    <n v="45918.93"/>
    <m/>
    <m/>
    <m/>
    <d v="2025-10-02T00:00:00"/>
    <m/>
    <s v="GJ"/>
    <s v="GLTRX00027579"/>
    <m/>
    <s v="sdoroshenko"/>
    <x v="20"/>
  </r>
  <r>
    <n v="103451"/>
    <s v="Financial"/>
    <d v="2025-09-30T00:00:00"/>
    <x v="8"/>
    <s v="5010-10-5-454"/>
    <s v="Service Revenue - Initiatives"/>
    <s v="Z-GBP"/>
    <s v="September WIP"/>
    <n v="0"/>
    <n v="0"/>
    <n v="16704.266666666666"/>
    <n v="-16704.266666666666"/>
    <n v="1062"/>
    <n v="0"/>
    <n v="25431.35"/>
    <m/>
    <m/>
    <m/>
    <d v="2025-10-02T00:00:00"/>
    <m/>
    <s v="GJ"/>
    <s v="GLTRX00027579"/>
    <m/>
    <s v="sdoroshenko"/>
    <x v="1"/>
  </r>
  <r>
    <n v="103465"/>
    <s v="Sales"/>
    <d v="2025-09-30T00:00:00"/>
    <x v="8"/>
    <s v="5010-10-5-604"/>
    <s v="Service Revenue - Mid Market"/>
    <s v="Z-GBP"/>
    <s v="Fund Diary Enhancements"/>
    <n v="0"/>
    <n v="0"/>
    <n v="5707.8"/>
    <n v="-5707.8"/>
    <n v="1062"/>
    <n v="0"/>
    <n v="5707.8"/>
    <s v="DQ25100166"/>
    <s v="DQ25100166"/>
    <n v="4067"/>
    <d v="2025-10-03T00:00:00"/>
    <s v="RMSLS"/>
    <s v="SJ"/>
    <s v="GLTRX00027589"/>
    <s v="Sales"/>
    <s v="sdoroshenko"/>
    <x v="5"/>
  </r>
  <r>
    <n v="103451"/>
    <s v="Financial"/>
    <d v="2025-09-30T00:00:00"/>
    <x v="8"/>
    <s v="5010-10-5-454"/>
    <s v="Service Revenue - Initiatives"/>
    <s v="Z-GBP"/>
    <s v="September WIP"/>
    <n v="0"/>
    <n v="0"/>
    <n v="16758"/>
    <n v="-16758"/>
    <n v="1062"/>
    <n v="0"/>
    <n v="25431.35"/>
    <m/>
    <m/>
    <m/>
    <d v="2025-10-02T00:00:00"/>
    <m/>
    <s v="GJ"/>
    <s v="GLTRX00027579"/>
    <m/>
    <s v="sdoroshenko"/>
    <x v="5"/>
  </r>
  <r>
    <n v="103400"/>
    <s v="Sales"/>
    <d v="2025-09-30T00:00:00"/>
    <x v="8"/>
    <s v="5010-46-5-604"/>
    <s v="Service Revenue - Non Policy - Mid Market"/>
    <s v="Z-GBP"/>
    <s v="SML - Database Consultancy"/>
    <n v="0"/>
    <n v="0"/>
    <n v="4531.95"/>
    <n v="-4531.95"/>
    <n v="1062"/>
    <n v="0"/>
    <n v="4531.95"/>
    <s v="DQ25090165"/>
    <s v="DQ25090165"/>
    <n v="4135"/>
    <d v="2025-10-01T00:00:00"/>
    <s v="RMSLS"/>
    <s v="SJ"/>
    <s v="GLTRX00027551"/>
    <s v="DQ25090165"/>
    <s v="sdoroshenko"/>
    <x v="2"/>
  </r>
  <r>
    <n v="103401"/>
    <s v="Sales"/>
    <d v="2025-09-30T00:00:00"/>
    <x v="8"/>
    <s v="5010-46-5-604"/>
    <s v="Service Revenue - Non Policy - Mid Market"/>
    <s v="Z-GBP"/>
    <s v="Scada 2024 Pre Project"/>
    <n v="0"/>
    <n v="0"/>
    <n v="4534.6000000000004"/>
    <n v="-4534.6000000000004"/>
    <n v="1062"/>
    <n v="0"/>
    <n v="4534.6000000000004"/>
    <s v="DQ25090164"/>
    <s v="DQ25090164"/>
    <n v="4135"/>
    <d v="2025-10-01T00:00:00"/>
    <s v="RMSLS"/>
    <s v="SJ"/>
    <s v="GLTRX00027552"/>
    <s v="Sales"/>
    <s v="sdoroshenko"/>
    <x v="2"/>
  </r>
  <r>
    <n v="103403"/>
    <s v="Sales"/>
    <d v="2025-09-30T00:00:00"/>
    <x v="8"/>
    <s v="5010-46-5-604"/>
    <s v="Service Revenue - Non Policy - Mid Market"/>
    <s v="Z-GBP"/>
    <s v="Voided Trn Maintenance"/>
    <n v="0"/>
    <n v="4534.6000000000004"/>
    <n v="0"/>
    <n v="4534.6000000000004"/>
    <n v="1062"/>
    <n v="4534.6000000000004"/>
    <n v="0"/>
    <s v="DQ25090164"/>
    <s v="DQ25090164"/>
    <n v="4135"/>
    <d v="2025-10-01T00:00:00"/>
    <s v="RMMSC"/>
    <s v="RMJ"/>
    <s v="GLTRX00027553"/>
    <s v="Sales"/>
    <s v="sdoroshenko"/>
    <x v="2"/>
  </r>
  <r>
    <n v="103451"/>
    <s v="Financial"/>
    <d v="2025-09-30T00:00:00"/>
    <x v="8"/>
    <s v="5010-10-5-604"/>
    <s v="Service Revenue - Mid Market"/>
    <s v="Z-GBP"/>
    <s v="September WIP"/>
    <n v="0"/>
    <n v="0"/>
    <n v="10878"/>
    <n v="-10878"/>
    <n v="1062"/>
    <n v="0"/>
    <n v="45918.93"/>
    <m/>
    <m/>
    <m/>
    <d v="2025-10-02T00:00:00"/>
    <m/>
    <s v="GJ"/>
    <s v="GLTRX00027579"/>
    <m/>
    <s v="sdoroshenko"/>
    <x v="2"/>
  </r>
  <r>
    <n v="103451"/>
    <s v="Financial"/>
    <d v="2025-10-01T00:00:00"/>
    <x v="9"/>
    <s v="5010-10-5-454"/>
    <s v="Service Revenue - Initiatives"/>
    <s v="Z-GBP"/>
    <s v="September WIP"/>
    <m/>
    <n v="16704.266666666666"/>
    <m/>
    <n v="16704.266666666666"/>
    <n v="1062"/>
    <m/>
    <m/>
    <m/>
    <m/>
    <m/>
    <d v="2025-10-02T00:00:00"/>
    <m/>
    <s v="GJ"/>
    <s v="GLREV00027579"/>
    <m/>
    <s v="sdoroshenko"/>
    <x v="1"/>
  </r>
  <r>
    <n v="103451"/>
    <s v="Financial"/>
    <d v="2025-10-01T00:00:00"/>
    <x v="9"/>
    <s v="5010-10-5-454"/>
    <s v="Service Revenue - Initiatives"/>
    <s v="Z-GBP"/>
    <s v="September WIP"/>
    <m/>
    <n v="10878"/>
    <m/>
    <n v="10878"/>
    <n v="1062"/>
    <m/>
    <m/>
    <m/>
    <m/>
    <m/>
    <d v="2025-10-02T00:00:00"/>
    <m/>
    <s v="GJ"/>
    <s v="GLREV00027579"/>
    <m/>
    <s v="sdoroshenko"/>
    <x v="2"/>
  </r>
  <r>
    <n v="103451"/>
    <s v="Financial"/>
    <d v="2025-10-01T00:00:00"/>
    <x v="9"/>
    <s v="5010-10-5-454"/>
    <s v="Service Revenue - Initiatives"/>
    <s v="Z-GBP"/>
    <s v="September WIP"/>
    <m/>
    <n v="6080.4471000000012"/>
    <m/>
    <n v="6080.4471000000012"/>
    <n v="1062"/>
    <m/>
    <m/>
    <m/>
    <m/>
    <m/>
    <d v="2025-10-02T00:00:00"/>
    <m/>
    <s v="GJ"/>
    <s v="GLREV00027579"/>
    <m/>
    <s v="sdoroshenko"/>
    <x v="7"/>
  </r>
  <r>
    <n v="103451"/>
    <s v="Financial"/>
    <d v="2025-10-01T00:00:00"/>
    <x v="9"/>
    <s v="5010-10-5-454"/>
    <s v="Service Revenue - Initiatives"/>
    <s v="Z-GBP"/>
    <s v="September WIP"/>
    <m/>
    <n v="1282.6666666666667"/>
    <m/>
    <n v="1282.6666666666667"/>
    <n v="1062"/>
    <m/>
    <m/>
    <m/>
    <m/>
    <m/>
    <d v="2025-10-02T00:00:00"/>
    <m/>
    <s v="GJ"/>
    <s v="GLREV00027579"/>
    <m/>
    <s v="sdoroshenko"/>
    <x v="19"/>
  </r>
  <r>
    <n v="103451"/>
    <s v="Financial"/>
    <d v="2025-10-01T00:00:00"/>
    <x v="9"/>
    <s v="5010-10-5-454"/>
    <s v="Service Revenue - Initiatives"/>
    <s v="Z-GBP"/>
    <s v="September WIP"/>
    <m/>
    <n v="15325.668826666666"/>
    <m/>
    <n v="15325.668826666666"/>
    <n v="1062"/>
    <m/>
    <m/>
    <m/>
    <m/>
    <m/>
    <d v="2025-10-02T00:00:00"/>
    <m/>
    <s v="GJ"/>
    <s v="GLREV00027579"/>
    <m/>
    <s v="sdoroshenko"/>
    <x v="18"/>
  </r>
  <r>
    <n v="103451"/>
    <s v="Financial"/>
    <d v="2025-10-01T00:00:00"/>
    <x v="9"/>
    <s v="5010-10-5-454"/>
    <s v="Service Revenue - Initiatives"/>
    <s v="Z-GBP"/>
    <s v="September WIP"/>
    <m/>
    <n v="4025.2338"/>
    <m/>
    <n v="4025.2338"/>
    <n v="1062"/>
    <m/>
    <m/>
    <m/>
    <m/>
    <m/>
    <d v="2025-10-02T00:00:00"/>
    <m/>
    <s v="GJ"/>
    <s v="GLREV00027579"/>
    <m/>
    <s v="sdoroshenko"/>
    <x v="7"/>
  </r>
  <r>
    <n v="103451"/>
    <s v="Financial"/>
    <d v="2025-10-01T00:00:00"/>
    <x v="9"/>
    <s v="5010-10-5-454"/>
    <s v="Service Revenue - Initiatives"/>
    <s v="Z-GBP"/>
    <s v="September WIP"/>
    <m/>
    <n v="16758"/>
    <m/>
    <n v="16758"/>
    <n v="1062"/>
    <m/>
    <m/>
    <m/>
    <m/>
    <m/>
    <d v="2025-10-02T00:00:00"/>
    <m/>
    <s v="GJ"/>
    <s v="GLREV00027579"/>
    <m/>
    <s v="sdoroshenko"/>
    <x v="5"/>
  </r>
  <r>
    <n v="103451"/>
    <s v="Financial"/>
    <d v="2025-10-01T00:00:00"/>
    <x v="9"/>
    <s v="5010-10-5-454"/>
    <s v="Service Revenue - Initiatives"/>
    <s v="Z-GBP"/>
    <s v="September WIP"/>
    <m/>
    <n v="296"/>
    <m/>
    <n v="296"/>
    <n v="1062"/>
    <m/>
    <m/>
    <m/>
    <m/>
    <m/>
    <d v="2025-10-02T00:00:00"/>
    <m/>
    <s v="GJ"/>
    <s v="GLREV00027579"/>
    <m/>
    <s v="sdoroshenko"/>
    <x v="20"/>
  </r>
  <r>
    <n v="103682"/>
    <s v="Sales"/>
    <d v="2025-10-30T00:00:00"/>
    <x v="9"/>
    <s v="5010-46-5-474"/>
    <s v="Service Revenue - Non Policy - Methven"/>
    <s v="Z-GBP"/>
    <s v="NCC Escrow Deposit for AquaGol"/>
    <n v="0"/>
    <n v="0"/>
    <n v="7400"/>
    <n v="-7400"/>
    <n v="1062"/>
    <n v="0"/>
    <n v="7400"/>
    <s v="DQ25100180"/>
    <s v="DQ25100180"/>
    <n v="9005"/>
    <d v="2025-11-05T00:00:00"/>
    <s v="RMSLS"/>
    <s v="SJ"/>
    <s v="GLTRX00027693"/>
    <s v="DQ25100180"/>
    <s v="sdoroshenko"/>
    <x v="19"/>
  </r>
  <r>
    <n v="103641"/>
    <s v="Financial"/>
    <d v="2025-10-30T00:00:00"/>
    <x v="9"/>
    <s v="5010-10-5-474"/>
    <s v="Service Revenue - Methven"/>
    <s v="Z-GBP"/>
    <s v="Denholm provision"/>
    <n v="0"/>
    <n v="12718.75"/>
    <n v="0"/>
    <n v="12718.75"/>
    <n v="1062"/>
    <n v="12718.75"/>
    <n v="0"/>
    <m/>
    <m/>
    <m/>
    <d v="2025-10-30T00:00:00"/>
    <m/>
    <s v="GJ"/>
    <s v="GLTRX00027669"/>
    <m/>
    <s v="sdoroshenko"/>
    <x v="19"/>
  </r>
  <r>
    <n v="103688"/>
    <s v="Sales"/>
    <d v="2025-10-31T00:00:00"/>
    <x v="9"/>
    <s v="5010-46-5-454"/>
    <s v="Service Revenue - Non Policy - Gen NA"/>
    <s v="Z-GBP"/>
    <s v="Royalty Credits"/>
    <n v="0"/>
    <n v="0"/>
    <n v="284.67"/>
    <n v="-284.67"/>
    <n v="1062"/>
    <n v="0"/>
    <n v="284.67"/>
    <s v="DQ25110182"/>
    <s v="DQ25110182"/>
    <n v="9990"/>
    <d v="2025-11-05T00:00:00"/>
    <s v="RMSLS"/>
    <s v="SJ"/>
    <s v="GLTRX00027695"/>
    <s v="Sales"/>
    <s v="sdoroshenko"/>
    <x v="7"/>
  </r>
  <r>
    <n v="103688"/>
    <s v="Sales"/>
    <d v="2025-10-31T00:00:00"/>
    <x v="9"/>
    <s v="5010-46-5-454"/>
    <s v="Service Revenue - Non Policy - Gen NA"/>
    <s v="Z-GBP"/>
    <s v="Royalty Credits"/>
    <n v="0"/>
    <n v="0"/>
    <n v="4270.12"/>
    <n v="-4270.12"/>
    <n v="1062"/>
    <n v="0"/>
    <n v="4270.12"/>
    <s v="DQ25110182"/>
    <s v="DQ25110182"/>
    <n v="9990"/>
    <d v="2025-11-05T00:00:00"/>
    <s v="RMSLS"/>
    <s v="SJ"/>
    <s v="GLTRX00027695"/>
    <s v="Sales"/>
    <s v="sdoroshenko"/>
    <x v="7"/>
  </r>
  <r>
    <n v="103686"/>
    <s v="Sales"/>
    <d v="2025-10-31T00:00:00"/>
    <x v="9"/>
    <s v="5010-46-5-454"/>
    <s v="Service Revenue - Non Policy - Gen NA"/>
    <s v="Z-GBP"/>
    <s v="Alliance Integration into Cant"/>
    <n v="0"/>
    <n v="0"/>
    <n v="328.32"/>
    <n v="-328.32"/>
    <n v="1062"/>
    <n v="0"/>
    <n v="328.32"/>
    <s v="DQ25110181"/>
    <s v="DQ25110181"/>
    <n v="9990"/>
    <d v="2025-11-05T00:00:00"/>
    <s v="RMSLS"/>
    <s v="SJ"/>
    <s v="GLTRX00027695"/>
    <s v="Sales"/>
    <s v="sdoroshenko"/>
    <x v="7"/>
  </r>
  <r>
    <n v="103686"/>
    <s v="Sales"/>
    <d v="2025-10-31T00:00:00"/>
    <x v="9"/>
    <s v="5010-46-5-454"/>
    <s v="Service Revenue - Non Policy - Gen NA"/>
    <s v="Z-GBP"/>
    <s v="Alliance Integration into Cant"/>
    <n v="0"/>
    <n v="0"/>
    <n v="5280.71"/>
    <n v="-5280.71"/>
    <n v="1062"/>
    <n v="0"/>
    <n v="5280.71"/>
    <s v="DQ25110181"/>
    <s v="DQ25110181"/>
    <n v="9990"/>
    <d v="2025-11-05T00:00:00"/>
    <s v="RMSLS"/>
    <s v="SJ"/>
    <s v="GLTRX00027695"/>
    <s v="Sales"/>
    <s v="sdoroshenko"/>
    <x v="7"/>
  </r>
  <r>
    <n v="103685"/>
    <s v="Sales"/>
    <d v="2025-10-31T00:00:00"/>
    <x v="9"/>
    <s v="5010-46-5-604"/>
    <s v="Service Revenue - Non Policy - Mid Market"/>
    <s v="Z-GBP"/>
    <s v="TP Activity Status"/>
    <n v="0"/>
    <n v="0"/>
    <n v="16039.8"/>
    <n v="-16039.8"/>
    <n v="1062"/>
    <n v="0"/>
    <n v="16039.8"/>
    <s v="DQ25110185"/>
    <s v="DQ25110185"/>
    <n v="4067"/>
    <d v="2025-11-05T00:00:00"/>
    <s v="RMSLS"/>
    <s v="SJ"/>
    <s v="GLTRX00027693"/>
    <s v="DQ25110185"/>
    <s v="sdoroshenko"/>
    <x v="5"/>
  </r>
  <r>
    <n v="103684"/>
    <s v="Sales"/>
    <d v="2025-10-31T00:00:00"/>
    <x v="9"/>
    <s v="5010-46-5-604"/>
    <s v="Service Revenue - Non Policy - Mid Market"/>
    <s v="Z-GBP"/>
    <s v="Area Assignment Import - AA Pr"/>
    <n v="0"/>
    <n v="0"/>
    <n v="630"/>
    <n v="-630"/>
    <n v="1062"/>
    <n v="0"/>
    <n v="630"/>
    <s v="DQ25110184"/>
    <s v="DQ25110184"/>
    <n v="4067"/>
    <d v="2025-11-05T00:00:00"/>
    <s v="RMSLS"/>
    <s v="SJ"/>
    <s v="GLTRX00027693"/>
    <s v="DQ25110184"/>
    <s v="sdoroshenko"/>
    <x v="5"/>
  </r>
  <r>
    <n v="103683"/>
    <s v="Sales"/>
    <d v="2025-10-31T00:00:00"/>
    <x v="9"/>
    <s v="5010-46-5-604"/>
    <s v="Service Revenue - Non Policy - Mid Market"/>
    <s v="Z-GBP"/>
    <s v="Position Enquiry - Cancelled C"/>
    <n v="0"/>
    <n v="0"/>
    <n v="1575"/>
    <n v="-1575"/>
    <n v="1062"/>
    <n v="0"/>
    <n v="1575"/>
    <s v="DQ25110183"/>
    <s v="DQ25110183"/>
    <n v="4067"/>
    <d v="2025-11-05T00:00:00"/>
    <s v="RMSLS"/>
    <s v="SJ"/>
    <s v="GLTRX00027693"/>
    <s v="DQ25110183"/>
    <s v="sdoroshenko"/>
    <x v="5"/>
  </r>
  <r>
    <n v="103679"/>
    <s v="Financial"/>
    <d v="2025-10-31T00:00:00"/>
    <x v="9"/>
    <s v="5010-10-5-454"/>
    <s v="Service Revenue - Initiatives"/>
    <s v="Z-GBP"/>
    <s v="October WIP"/>
    <m/>
    <m/>
    <n v="18036.266666666666"/>
    <n v="-18036.266666666666"/>
    <n v="1062"/>
    <n v="0"/>
    <n v="15325.67"/>
    <m/>
    <m/>
    <m/>
    <d v="2025-11-04T00:00:00"/>
    <m/>
    <s v="GJ"/>
    <s v="GLTRX00027690"/>
    <m/>
    <s v="sdoroshenko"/>
    <x v="1"/>
  </r>
  <r>
    <n v="103679"/>
    <s v="Financial"/>
    <d v="2025-10-31T00:00:00"/>
    <x v="9"/>
    <s v="5010-10-5-454"/>
    <s v="Service Revenue - Initiatives"/>
    <s v="Z-GBP"/>
    <s v="October WIP"/>
    <m/>
    <m/>
    <n v="10878"/>
    <n v="-10878"/>
    <n v="1062"/>
    <n v="0"/>
    <n v="15325.67"/>
    <m/>
    <m/>
    <m/>
    <d v="2025-11-04T00:00:00"/>
    <m/>
    <s v="GJ"/>
    <s v="GLTRX00027690"/>
    <m/>
    <s v="sdoroshenko"/>
    <x v="2"/>
  </r>
  <r>
    <n v="103679"/>
    <s v="Financial"/>
    <d v="2025-10-31T00:00:00"/>
    <x v="9"/>
    <s v="5010-10-5-454"/>
    <s v="Service Revenue - Initiatives"/>
    <s v="Z-GBP"/>
    <s v="October WIP"/>
    <m/>
    <m/>
    <n v="1282.6666666666667"/>
    <n v="-1282.6666666666667"/>
    <n v="1062"/>
    <n v="0"/>
    <n v="15325.67"/>
    <m/>
    <m/>
    <m/>
    <d v="2025-11-04T00:00:00"/>
    <m/>
    <s v="GJ"/>
    <s v="GLTRX00027690"/>
    <m/>
    <s v="sdoroshenko"/>
    <x v="19"/>
  </r>
  <r>
    <n v="103679"/>
    <s v="Financial"/>
    <d v="2025-10-31T00:00:00"/>
    <x v="9"/>
    <s v="5010-10-5-454"/>
    <s v="Service Revenue - Initiatives"/>
    <s v="Z-GBP"/>
    <s v="October WIP"/>
    <m/>
    <m/>
    <n v="15325.668826666666"/>
    <n v="-15325.668826666666"/>
    <n v="1062"/>
    <n v="0"/>
    <n v="15325.67"/>
    <m/>
    <m/>
    <m/>
    <d v="2025-11-04T00:00:00"/>
    <m/>
    <s v="GJ"/>
    <s v="GLTRX00027690"/>
    <m/>
    <s v="sdoroshenko"/>
    <x v="18"/>
  </r>
  <r>
    <n v="103679"/>
    <s v="Financial"/>
    <d v="2025-10-31T00:00:00"/>
    <x v="9"/>
    <s v="5010-10-5-454"/>
    <s v="Service Revenue - Initiatives"/>
    <s v="Z-GBP"/>
    <s v="October WIP"/>
    <m/>
    <m/>
    <n v="296"/>
    <n v="-296"/>
    <n v="1062"/>
    <n v="0"/>
    <n v="15325.67"/>
    <m/>
    <m/>
    <m/>
    <d v="2025-11-04T00:00:00"/>
    <m/>
    <s v="GJ"/>
    <s v="GLTRX00027690"/>
    <m/>
    <s v="sdoroshenko"/>
    <x v="20"/>
  </r>
  <r>
    <n v="103679"/>
    <s v="Financial"/>
    <d v="2025-10-31T00:00:00"/>
    <x v="9"/>
    <s v="5010-10-5-454"/>
    <s v="Service Revenue - Initiatives"/>
    <s v="Z-GBP"/>
    <s v="October WIP"/>
    <m/>
    <m/>
    <n v="1890"/>
    <n v="-1890"/>
    <n v="1062"/>
    <n v="0"/>
    <n v="15325.67"/>
    <m/>
    <m/>
    <m/>
    <d v="2025-11-04T00:00:00"/>
    <m/>
    <s v="GJ"/>
    <s v="GLTRX00027690"/>
    <m/>
    <s v="sdoroshenko"/>
    <x v="2"/>
  </r>
  <r>
    <n v="103679"/>
    <s v="Financial"/>
    <d v="2025-11-01T00:00:00"/>
    <x v="10"/>
    <s v="5010-10-5-454"/>
    <s v="Service Revenue - Initiatives"/>
    <s v="Z-GBP"/>
    <s v="October WIP"/>
    <m/>
    <n v="18036.266666666666"/>
    <m/>
    <n v="18036.266666666666"/>
    <n v="1062"/>
    <m/>
    <m/>
    <m/>
    <m/>
    <m/>
    <d v="2025-11-04T00:00:00"/>
    <m/>
    <s v="GJ"/>
    <s v="GLREV00027690"/>
    <m/>
    <s v="sdoroshenko"/>
    <x v="1"/>
  </r>
  <r>
    <n v="103679"/>
    <s v="Financial"/>
    <d v="2025-11-01T00:00:00"/>
    <x v="10"/>
    <s v="5010-10-5-454"/>
    <s v="Service Revenue - Initiatives"/>
    <s v="Z-GBP"/>
    <s v="October WIP"/>
    <m/>
    <n v="10878"/>
    <m/>
    <n v="10878"/>
    <n v="1062"/>
    <m/>
    <m/>
    <m/>
    <m/>
    <m/>
    <d v="2025-11-04T00:00:00"/>
    <m/>
    <s v="GJ"/>
    <s v="GLREV00027690"/>
    <m/>
    <s v="sdoroshenko"/>
    <x v="2"/>
  </r>
  <r>
    <n v="103679"/>
    <s v="Financial"/>
    <d v="2025-11-01T00:00:00"/>
    <x v="10"/>
    <s v="5010-10-5-454"/>
    <s v="Service Revenue - Initiatives"/>
    <s v="Z-GBP"/>
    <s v="October WIP"/>
    <m/>
    <n v="1282.6666666666667"/>
    <m/>
    <n v="1282.6666666666667"/>
    <n v="1062"/>
    <m/>
    <m/>
    <m/>
    <m/>
    <m/>
    <d v="2025-11-04T00:00:00"/>
    <m/>
    <s v="GJ"/>
    <s v="GLREV00027690"/>
    <m/>
    <s v="sdoroshenko"/>
    <x v="19"/>
  </r>
  <r>
    <n v="103679"/>
    <s v="Financial"/>
    <d v="2025-11-01T00:00:00"/>
    <x v="10"/>
    <s v="5010-10-5-454"/>
    <s v="Service Revenue - Initiatives"/>
    <s v="Z-GBP"/>
    <s v="October WIP"/>
    <m/>
    <n v="15325.668826666666"/>
    <m/>
    <n v="15325.668826666666"/>
    <n v="1062"/>
    <m/>
    <m/>
    <m/>
    <m/>
    <m/>
    <d v="2025-11-04T00:00:00"/>
    <m/>
    <s v="GJ"/>
    <s v="GLREV00027690"/>
    <m/>
    <s v="sdoroshenko"/>
    <x v="18"/>
  </r>
  <r>
    <n v="103679"/>
    <s v="Financial"/>
    <d v="2025-11-01T00:00:00"/>
    <x v="10"/>
    <s v="5010-10-5-454"/>
    <s v="Service Revenue - Initiatives"/>
    <s v="Z-GBP"/>
    <s v="October WIP"/>
    <m/>
    <n v="296"/>
    <m/>
    <n v="296"/>
    <n v="1062"/>
    <m/>
    <m/>
    <m/>
    <m/>
    <m/>
    <d v="2025-11-04T00:00:00"/>
    <m/>
    <s v="GJ"/>
    <s v="GLREV00027690"/>
    <m/>
    <s v="sdoroshenko"/>
    <x v="20"/>
  </r>
  <r>
    <n v="103679"/>
    <s v="Financial"/>
    <d v="2025-11-01T00:00:00"/>
    <x v="10"/>
    <s v="5010-10-5-454"/>
    <s v="Service Revenue - Initiatives"/>
    <s v="Z-GBP"/>
    <s v="October WIP"/>
    <m/>
    <n v="1890"/>
    <m/>
    <n v="1890"/>
    <n v="1062"/>
    <m/>
    <m/>
    <m/>
    <m/>
    <m/>
    <d v="2025-11-04T00:00:00"/>
    <m/>
    <s v="GJ"/>
    <s v="GLREV00027690"/>
    <m/>
    <s v="sdoroshenko"/>
    <x v="2"/>
  </r>
  <r>
    <n v="103926"/>
    <s v="Sales"/>
    <d v="2025-11-18T00:00:00"/>
    <x v="10"/>
    <s v="5010-46-5-604"/>
    <s v="Service Revenue - Non Policy - Mid Market"/>
    <s v="Z-GBP"/>
    <s v="SML - Fertiliser Developments"/>
    <n v="0"/>
    <n v="0"/>
    <n v="12600"/>
    <n v="-12600"/>
    <n v="1062"/>
    <n v="0"/>
    <n v="12600"/>
    <s v="DQ25110194"/>
    <s v="DQ25110194"/>
    <n v="4135"/>
    <d v="2025-11-18T00:00:00"/>
    <s v="RMSLS"/>
    <s v="SJ"/>
    <s v="GLTRX00027776"/>
    <s v="DQ25110194"/>
    <s v="sdoroshenko"/>
    <x v="2"/>
  </r>
  <r>
    <n v="103927"/>
    <s v="Sales"/>
    <d v="2025-11-18T00:00:00"/>
    <x v="10"/>
    <s v="5010-46-5-604"/>
    <s v="Service Revenue - Non Policy - Mid Market"/>
    <s v="Z-GBP"/>
    <s v="Glasson GP Migration"/>
    <n v="0"/>
    <n v="0"/>
    <n v="23561.599999999999"/>
    <n v="-23561.599999999999"/>
    <n v="1062"/>
    <n v="0"/>
    <n v="23561.599999999999"/>
    <s v="DQ25110195"/>
    <s v="DQ25110195"/>
    <n v="750"/>
    <d v="2025-11-18T00:00:00"/>
    <s v="RMSLS"/>
    <s v="SJ"/>
    <s v="GLTRX00027776"/>
    <s v="DQ25110195"/>
    <s v="sdoroshenko"/>
    <x v="1"/>
  </r>
  <r>
    <n v="103928"/>
    <s v="Sales"/>
    <d v="2025-11-18T00:00:00"/>
    <x v="10"/>
    <s v="5010-46-5-604"/>
    <s v="Service Revenue - Non Policy - Mid Market"/>
    <s v="Z-GBP"/>
    <s v="Contract /Order Enquiry Copy F"/>
    <n v="0"/>
    <n v="0"/>
    <n v="2205"/>
    <n v="-2205"/>
    <n v="1062"/>
    <n v="0"/>
    <n v="2205"/>
    <s v="DQ25110197"/>
    <s v="DQ25110197"/>
    <n v="4135"/>
    <d v="2025-11-18T00:00:00"/>
    <s v="RMSLS"/>
    <s v="SJ"/>
    <s v="GLTRX00027776"/>
    <s v="DQ25110197"/>
    <s v="sdoroshenko"/>
    <x v="2"/>
  </r>
  <r>
    <n v="104058"/>
    <s v="Sales"/>
    <d v="2025-11-28T00:00:00"/>
    <x v="10"/>
    <s v="5010-46-5-604"/>
    <s v="Service Revenue - Non Policy - Mid Market"/>
    <s v="Z-GBP"/>
    <s v="Contract Consolidation Screen"/>
    <n v="0"/>
    <n v="0"/>
    <n v="630"/>
    <n v="-630"/>
    <n v="1062"/>
    <n v="0"/>
    <n v="630"/>
    <s v="DQ25120198"/>
    <s v="DQ25120198"/>
    <n v="4067"/>
    <d v="2025-12-03T00:00:00"/>
    <s v="RMSLS"/>
    <s v="SJ"/>
    <s v="GLTRX00027844"/>
    <s v="Sales"/>
    <s v="sdoroshenko"/>
    <x v="5"/>
  </r>
  <r>
    <n v="104075"/>
    <s v="Financial"/>
    <d v="2025-12-01T00:00:00"/>
    <x v="11"/>
    <s v="5010-10-5-454"/>
    <s v="Service Revenue - Initiatives"/>
    <s v="Z-GBP"/>
    <s v=" WIP November"/>
    <m/>
    <n v="1480"/>
    <m/>
    <n v="1480"/>
    <m/>
    <m/>
    <m/>
    <m/>
    <m/>
    <m/>
    <d v="2025-12-03T00:00:00"/>
    <m/>
    <s v="GJ"/>
    <s v="GLREV00027859"/>
    <m/>
    <s v="jkiernan"/>
    <x v="19"/>
  </r>
  <r>
    <n v="104075"/>
    <s v="Financial"/>
    <d v="2025-12-01T00:00:00"/>
    <x v="11"/>
    <s v="5010-10-5-604"/>
    <s v="Service Revenue - Mid Market"/>
    <s v="Z-GBP"/>
    <s v=" WIP November"/>
    <m/>
    <n v="21869.123866666669"/>
    <m/>
    <n v="21869.123866666669"/>
    <m/>
    <m/>
    <m/>
    <m/>
    <m/>
    <m/>
    <d v="2025-12-03T00:00:00"/>
    <m/>
    <s v="GJ"/>
    <s v="GLREV00027859"/>
    <m/>
    <s v="jkiernan"/>
    <x v="18"/>
  </r>
  <r>
    <n v="104075"/>
    <s v="Financial"/>
    <d v="2025-12-01T00:00:00"/>
    <x v="11"/>
    <s v="5010-10-5-454"/>
    <s v="Service Revenue - Initiatives"/>
    <s v="Z-GBP"/>
    <s v=" WIP November"/>
    <m/>
    <n v="296"/>
    <m/>
    <n v="296"/>
    <m/>
    <m/>
    <m/>
    <m/>
    <m/>
    <m/>
    <d v="2025-12-03T00:00:00"/>
    <m/>
    <s v="GJ"/>
    <s v="GLREV00027859"/>
    <m/>
    <s v="jkiernan"/>
    <x v="20"/>
  </r>
  <r>
    <n v="104075"/>
    <s v="Financial"/>
    <d v="2025-12-01T00:00:00"/>
    <x v="11"/>
    <s v="5010-10-5-604"/>
    <s v="Service Revenue - Mid Market"/>
    <s v="Z-GBP"/>
    <s v=" WIP November"/>
    <m/>
    <n v="690.66666666666663"/>
    <m/>
    <n v="690.66666666666663"/>
    <m/>
    <m/>
    <m/>
    <m/>
    <m/>
    <m/>
    <d v="2025-12-03T00:00:00"/>
    <m/>
    <s v="GJ"/>
    <s v="GLREV00027859"/>
    <m/>
    <s v="jkiernan"/>
    <x v="10"/>
  </r>
  <r>
    <n v="104075"/>
    <s v="Financial"/>
    <d v="2025-12-01T00:00:00"/>
    <x v="11"/>
    <s v="5010-10-5-454"/>
    <s v="Service Revenue - Initiatives"/>
    <s v="Z-GBP"/>
    <s v=" WIP November"/>
    <m/>
    <n v="2829.12"/>
    <m/>
    <n v="2829.12"/>
    <m/>
    <m/>
    <m/>
    <m/>
    <m/>
    <m/>
    <d v="2025-12-03T00:00:00"/>
    <m/>
    <s v="GJ"/>
    <s v="GLREV00027859"/>
    <m/>
    <s v="jkiernan"/>
    <x v="5"/>
  </r>
  <r>
    <n v="104075"/>
    <s v="Financial"/>
    <d v="2025-12-01T00:00:00"/>
    <x v="11"/>
    <s v="5010-10-5-604"/>
    <s v="Service Revenue - Mid Market"/>
    <s v="Z-GBP"/>
    <s v=" WIP November"/>
    <m/>
    <n v="5920"/>
    <m/>
    <n v="5920"/>
    <m/>
    <m/>
    <m/>
    <m/>
    <m/>
    <m/>
    <d v="2025-12-03T00:00:00"/>
    <m/>
    <s v="GJ"/>
    <s v="GLREV00027859"/>
    <m/>
    <s v="jkiernan"/>
    <x v="6"/>
  </r>
  <r>
    <n v="104144"/>
    <s v="Sales"/>
    <d v="2025-12-10T00:00:00"/>
    <x v="11"/>
    <s v="5010-46-5-474"/>
    <s v="Service Revenue - Non Policy - Methven"/>
    <s v="Z-GBP"/>
    <s v="Clover OAUTH v2 Enforcement an"/>
    <n v="0"/>
    <n v="0"/>
    <n v="3700"/>
    <n v="-3700"/>
    <n v="1062"/>
    <n v="0"/>
    <n v="3700"/>
    <s v="DQ25120204"/>
    <s v="DQ25120204"/>
    <n v="9005"/>
    <d v="2025-12-18T00:00:00"/>
    <s v="RMSLS"/>
    <s v="SJ"/>
    <s v="GLTRX00027900"/>
    <s v="DQ25120204"/>
    <s v="sdoroshenko"/>
    <x v="19"/>
  </r>
  <r>
    <n v="104204"/>
    <s v="Sales"/>
    <d v="2025-12-18T00:00:00"/>
    <x v="11"/>
    <s v="5010-46-5-604"/>
    <s v="Service Revenue - Non Policy - Mid Market"/>
    <s v="Z-GBP"/>
    <s v="SML - Database Consultancy"/>
    <n v="0"/>
    <n v="0"/>
    <n v="3112.2"/>
    <n v="-3112.2"/>
    <n v="1062"/>
    <n v="0"/>
    <n v="3112.2"/>
    <s v="DQ25120209"/>
    <s v="DQ25120209"/>
    <n v="4135"/>
    <d v="2025-12-22T00:00:00"/>
    <s v="RMSLS"/>
    <s v="SJ"/>
    <s v="GLTRX00027917"/>
    <s v="DQ25120209"/>
    <s v="sdoroshenko"/>
    <x v="2"/>
  </r>
  <r>
    <n v="104205"/>
    <s v="Sales"/>
    <d v="2025-12-22T00:00:00"/>
    <x v="11"/>
    <s v="5010-46-5-604"/>
    <s v="Service Revenue - Non Policy - Mid Market"/>
    <s v="Z-GBP"/>
    <s v="Transport Loading Plan"/>
    <n v="0"/>
    <n v="0"/>
    <n v="9450"/>
    <n v="-9450"/>
    <n v="1062"/>
    <n v="0"/>
    <n v="9450"/>
    <s v="DQ25120210"/>
    <s v="DQ25120210"/>
    <n v="4067"/>
    <d v="2025-12-22T00:00:00"/>
    <s v="RMSLS"/>
    <s v="SJ"/>
    <s v="GLTRX00027917"/>
    <s v="DQ25120210"/>
    <s v="sdoroshenko"/>
    <x v="5"/>
  </r>
  <r>
    <n v="104206"/>
    <s v="Sales"/>
    <d v="2025-12-22T00:00:00"/>
    <x v="11"/>
    <s v="5010-46-5-604"/>
    <s v="Service Revenue - Non Policy - Mid Market"/>
    <s v="Z-GBP"/>
    <s v="Transport Fixing Report Readab"/>
    <n v="0"/>
    <n v="0"/>
    <n v="740"/>
    <n v="-740"/>
    <n v="1062"/>
    <n v="0"/>
    <n v="740"/>
    <s v="DQ25120212"/>
    <s v="DQ25120212"/>
    <n v="4136"/>
    <d v="2025-12-22T00:00:00"/>
    <s v="RMSLS"/>
    <s v="SJ"/>
    <s v="GLTRX00027917"/>
    <s v="DQ25120212"/>
    <s v="sdoroshenko"/>
    <x v="10"/>
  </r>
  <r>
    <n v="104207"/>
    <s v="Sales"/>
    <d v="2025-12-22T00:00:00"/>
    <x v="11"/>
    <s v="5010-46-5-604"/>
    <s v="Service Revenue - Non Policy - Mid Market"/>
    <s v="Z-GBP"/>
    <s v="Cope Seeds PICR"/>
    <n v="0"/>
    <n v="0"/>
    <n v="2520"/>
    <n v="-2520"/>
    <n v="1062"/>
    <n v="0"/>
    <n v="2520"/>
    <s v="DQ25120211"/>
    <s v="DQ25120211"/>
    <n v="4102"/>
    <d v="2025-12-22T00:00:00"/>
    <s v="RMSLS"/>
    <s v="SJ"/>
    <s v="GLTRX00027918"/>
    <s v="Sales"/>
    <s v="sdoroshenko"/>
    <x v="21"/>
  </r>
  <r>
    <n v="104345"/>
    <s v="Financial"/>
    <d v="2025-12-31T00:00:00"/>
    <x v="11"/>
    <s v="5010-10-5-474"/>
    <s v="Service Revenue - Methven"/>
    <s v="Z-GBP"/>
    <s v="Denholm 2nd 50% Provision"/>
    <n v="0"/>
    <n v="12718.75"/>
    <n v="0"/>
    <n v="12718.75"/>
    <n v="1062"/>
    <n v="12718.75"/>
    <n v="0"/>
    <m/>
    <m/>
    <m/>
    <d v="2026-01-06T00:00:00"/>
    <m/>
    <s v="GJ"/>
    <s v="GLTRX00027974"/>
    <m/>
    <s v="jkiernan"/>
    <x v="19"/>
  </r>
  <r>
    <n v="104075"/>
    <s v="Financial"/>
    <d v="2025-11-28T00:00:00"/>
    <x v="10"/>
    <s v="5010-10-5-454"/>
    <s v="Service Revenue - Initiatives"/>
    <s v="Z-GBP"/>
    <s v="November WIP"/>
    <m/>
    <m/>
    <n v="1480"/>
    <n v="-1480"/>
    <n v="1062"/>
    <m/>
    <n v="1480"/>
    <m/>
    <m/>
    <m/>
    <d v="2025-12-03T00:00:00"/>
    <m/>
    <s v="GJ"/>
    <s v="GLTRX00027859"/>
    <m/>
    <s v="jkiernan"/>
    <x v="19"/>
  </r>
  <r>
    <n v="104075"/>
    <s v="Financial"/>
    <d v="2025-11-28T00:00:00"/>
    <x v="10"/>
    <s v="5010-10-5-604"/>
    <s v="Service Revenue - Mid Market"/>
    <s v="Z-GBP"/>
    <s v="November WIP"/>
    <m/>
    <m/>
    <n v="21869.123866666669"/>
    <n v="-21869.123866666669"/>
    <n v="1062"/>
    <m/>
    <n v="21869.123866666669"/>
    <m/>
    <m/>
    <m/>
    <d v="2025-12-03T00:00:00"/>
    <m/>
    <s v="GJ"/>
    <s v="GLTRX00027859"/>
    <m/>
    <s v="jkiernan"/>
    <x v="18"/>
  </r>
  <r>
    <n v="104075"/>
    <s v="Financial"/>
    <d v="2025-11-28T00:00:00"/>
    <x v="10"/>
    <s v="5010-10-5-454"/>
    <s v="Service Revenue - Initiatives"/>
    <s v="Z-GBP"/>
    <s v="November WIP"/>
    <m/>
    <m/>
    <n v="296"/>
    <n v="-296"/>
    <n v="1062"/>
    <m/>
    <n v="296"/>
    <m/>
    <m/>
    <m/>
    <d v="2025-12-03T00:00:00"/>
    <m/>
    <s v="GJ"/>
    <s v="GLTRX00027859"/>
    <m/>
    <s v="jkiernan"/>
    <x v="20"/>
  </r>
  <r>
    <n v="104075"/>
    <s v="Financial"/>
    <d v="2025-11-28T00:00:00"/>
    <x v="10"/>
    <s v="5010-10-5-604"/>
    <s v="Service Revenue - Mid Market"/>
    <s v="Z-GBP"/>
    <s v="November WIP"/>
    <m/>
    <m/>
    <n v="690.66666666666663"/>
    <n v="-690.66666666666663"/>
    <n v="1062"/>
    <m/>
    <n v="690.66666666666663"/>
    <m/>
    <m/>
    <m/>
    <d v="2025-12-03T00:00:00"/>
    <m/>
    <s v="GJ"/>
    <s v="GLTRX00027859"/>
    <m/>
    <s v="jkiernan"/>
    <x v="10"/>
  </r>
  <r>
    <n v="104075"/>
    <s v="Financial"/>
    <d v="2025-11-28T00:00:00"/>
    <x v="10"/>
    <s v="5010-10-5-454"/>
    <s v="Service Revenue - Initiatives"/>
    <s v="Z-GBP"/>
    <s v="November WIP"/>
    <m/>
    <m/>
    <n v="2829.12"/>
    <n v="-2829.12"/>
    <n v="1062"/>
    <m/>
    <n v="2829.12"/>
    <m/>
    <m/>
    <m/>
    <d v="2025-12-03T00:00:00"/>
    <m/>
    <s v="GJ"/>
    <s v="GLTRX00027859"/>
    <m/>
    <s v="jkiernan"/>
    <x v="5"/>
  </r>
  <r>
    <n v="104075"/>
    <s v="Financial"/>
    <d v="2025-11-28T00:00:00"/>
    <x v="10"/>
    <s v="5010-10-5-604"/>
    <s v="Service Revenue - Mid Market"/>
    <s v="Z-GBP"/>
    <s v="November WIP"/>
    <m/>
    <m/>
    <n v="5920"/>
    <n v="-5920"/>
    <n v="1062"/>
    <m/>
    <n v="5920"/>
    <m/>
    <m/>
    <m/>
    <d v="2025-12-03T00:00:00"/>
    <m/>
    <s v="GJ"/>
    <s v="GLTRX00027859"/>
    <m/>
    <s v="jkiernan"/>
    <x v="6"/>
  </r>
  <r>
    <n v="104371"/>
    <s v="Financial"/>
    <d v="2025-12-31T00:00:00"/>
    <x v="11"/>
    <s v="5010-10-5-454"/>
    <s v="Service Revenue - Initiatives"/>
    <s v="Z-GBP"/>
    <s v="December WIP"/>
    <m/>
    <m/>
    <n v="21869.123866666669"/>
    <n v="-21869.123866666669"/>
    <m/>
    <m/>
    <m/>
    <m/>
    <m/>
    <m/>
    <d v="2026-01-06T00:00:00"/>
    <m/>
    <s v="GJ"/>
    <s v="GLTRX00027985"/>
    <m/>
    <s v="sdoroshenko"/>
    <x v="18"/>
  </r>
  <r>
    <n v="104371"/>
    <s v="Financial"/>
    <d v="2025-12-31T00:00:00"/>
    <x v="11"/>
    <s v="5010-10-5-604"/>
    <s v="Service Revenue - Mid Market"/>
    <s v="Z-GBP"/>
    <s v="December WIP"/>
    <m/>
    <m/>
    <n v="296"/>
    <n v="-296"/>
    <m/>
    <m/>
    <m/>
    <m/>
    <m/>
    <m/>
    <d v="2026-01-06T00:00:00"/>
    <m/>
    <s v="GJ"/>
    <s v="GLTRX00027985"/>
    <m/>
    <s v="sdoroshenko"/>
    <x v="20"/>
  </r>
  <r>
    <n v="104371"/>
    <s v="Financial"/>
    <d v="2025-12-31T00:00:00"/>
    <x v="11"/>
    <s v="5010-10-5-454"/>
    <s v="Service Revenue - Initiatives"/>
    <s v="Z-GBP"/>
    <s v="December WIP"/>
    <m/>
    <m/>
    <n v="16181.333333333334"/>
    <n v="-16181.333333333334"/>
    <m/>
    <m/>
    <m/>
    <m/>
    <m/>
    <m/>
    <d v="2026-01-06T00:00:00"/>
    <m/>
    <s v="GJ"/>
    <s v="GLTRX00027985"/>
    <m/>
    <s v="sdoroshenko"/>
    <x v="6"/>
  </r>
  <r>
    <n v="104371"/>
    <s v="Financial"/>
    <d v="2025-12-31T00:00:00"/>
    <x v="11"/>
    <s v="5010-10-5-604"/>
    <s v="Service Revenue - Mid Market"/>
    <s v="Z-GBP"/>
    <s v="December WIP"/>
    <m/>
    <m/>
    <n v="1973.3333333333333"/>
    <n v="-1973.3333333333333"/>
    <m/>
    <m/>
    <m/>
    <m/>
    <m/>
    <m/>
    <d v="2026-01-06T00:00:00"/>
    <m/>
    <s v="GJ"/>
    <s v="GLTRX00027985"/>
    <m/>
    <s v="sdoroshenko"/>
    <x v="1"/>
  </r>
  <r>
    <n v="104090"/>
    <s v="Financial"/>
    <d v="2025-11-30T00:00:00"/>
    <x v="10"/>
    <s v="5010-10-5-474"/>
    <s v="Service Revenue - Methven"/>
    <s v="Z-GBP"/>
    <s v="NCC Escrow Deposit for AquaGold (KFAST)"/>
    <n v="0"/>
    <n v="0"/>
    <n v="7400"/>
    <n v="-7400"/>
    <n v="1062"/>
    <n v="0"/>
    <n v="7400"/>
    <m/>
    <m/>
    <m/>
    <n v="45995"/>
    <m/>
    <s v="GJ"/>
    <s v="GLTRX00027873"/>
    <m/>
    <s v="jkiernan"/>
    <x v="19"/>
  </r>
  <r>
    <n v="104405"/>
    <s v="Financial"/>
    <d v="2025-12-31T00:00:00"/>
    <x v="11"/>
    <s v="5010-46-5-474"/>
    <s v="Service Revenue - Non Policy - Methven"/>
    <s v="Z-GBP"/>
    <s v="NCC Escrow Deposit for AquaGold (KFAST)"/>
    <n v="0"/>
    <n v="0"/>
    <n v="7400"/>
    <n v="-7400"/>
    <n v="1062"/>
    <n v="0"/>
    <n v="7400"/>
    <m/>
    <m/>
    <m/>
    <n v="46032"/>
    <m/>
    <s v="GJ"/>
    <s v="GLTRX00028017"/>
    <m/>
    <s v="jkiernan"/>
    <x v="19"/>
  </r>
  <r>
    <n v="104090"/>
    <s v="Financial"/>
    <d v="2025-11-30T00:00:00"/>
    <x v="10"/>
    <s v="5010-46-5-474"/>
    <s v="Service Revenue - Non Policy - Methven"/>
    <s v="Z-GBP"/>
    <s v="NCC Escrow Deposit for AquaGold (KFAST)"/>
    <n v="0"/>
    <n v="7400"/>
    <n v="0"/>
    <n v="7400"/>
    <n v="1062"/>
    <n v="7400"/>
    <n v="0"/>
    <m/>
    <m/>
    <m/>
    <n v="45995"/>
    <m/>
    <s v="GJ"/>
    <s v="GLTRX00027873"/>
    <m/>
    <s v="jkiernan"/>
    <x v="19"/>
  </r>
  <r>
    <n v="104405"/>
    <s v="Financial"/>
    <d v="2025-12-31T00:00:00"/>
    <x v="11"/>
    <s v="5010-10-5-474"/>
    <s v="Service Revenue - Methven"/>
    <s v="Z-GBP"/>
    <s v="NCC Escrow Deposit for AquaGold (KFAST)"/>
    <n v="0"/>
    <n v="7400"/>
    <n v="0"/>
    <n v="7400"/>
    <n v="1062"/>
    <n v="7400"/>
    <n v="0"/>
    <m/>
    <m/>
    <m/>
    <n v="46032"/>
    <m/>
    <s v="GJ"/>
    <s v="GLTRX00028017"/>
    <m/>
    <s v="jkiernan"/>
    <x v="19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m/>
    <x v="0"/>
    <m/>
    <m/>
    <m/>
    <m/>
    <m/>
    <m/>
    <m/>
    <m/>
    <n v="31"/>
    <n v="28"/>
    <n v="31"/>
    <n v="30"/>
    <n v="31"/>
    <n v="30"/>
    <n v="31"/>
    <n v="31"/>
    <n v="30"/>
    <n v="31"/>
    <n v="30"/>
    <n v="31"/>
    <m/>
    <m/>
  </r>
  <r>
    <s v="Primetics GEN NA Def Expenses"/>
    <x v="1"/>
    <s v="INV-256165"/>
    <s v="Making Tax Digital"/>
    <n v="-334.33"/>
    <d v="2025-02-01T00:00:00"/>
    <d v="2026-01-31T00:00:00"/>
    <n v="364"/>
    <m/>
    <n v="-334.33"/>
    <n v="-334.33"/>
    <m/>
    <m/>
    <m/>
    <m/>
    <m/>
    <m/>
    <m/>
    <m/>
    <m/>
    <m/>
    <m/>
    <n v="-334.33"/>
    <m/>
  </r>
  <r>
    <s v="Primetics GEN NA Def Expenses"/>
    <x v="2"/>
    <s v="RCT000929"/>
    <s v="Progress Licences"/>
    <n v="-5720"/>
    <s v="On Installation"/>
    <m/>
    <m/>
    <m/>
    <m/>
    <m/>
    <m/>
    <m/>
    <m/>
    <m/>
    <m/>
    <n v="-5720"/>
    <m/>
    <n v="5720"/>
    <m/>
    <n v="-5720"/>
    <m/>
    <n v="-5720"/>
    <n v="-5720"/>
  </r>
  <r>
    <s v="Primetics CHO Def Expenses"/>
    <x v="3"/>
    <s v="INV203896"/>
    <s v="Making Tax Digital"/>
    <n v="-334.33"/>
    <d v="2025-08-06T00:00:00"/>
    <d v="2026-08-05T00:00:00"/>
    <n v="364"/>
    <m/>
    <m/>
    <m/>
    <m/>
    <m/>
    <m/>
    <m/>
    <m/>
    <m/>
    <n v="-334.33"/>
    <m/>
    <m/>
    <m/>
    <m/>
    <n v="-334.33"/>
    <n v="-334.33"/>
  </r>
  <r>
    <s v="Primetics CHO Def Expenses"/>
    <x v="4"/>
    <s v="INV-250985"/>
    <s v="Making Tax Digital"/>
    <n v="-1194.06"/>
    <d v="2025-01-01T00:00:00"/>
    <d v="2025-12-31T00:00:00"/>
    <n v="364"/>
    <m/>
    <n v="-1194.06"/>
    <n v="-1194.06"/>
    <m/>
    <m/>
    <m/>
    <m/>
    <m/>
    <m/>
    <m/>
    <m/>
    <m/>
    <m/>
    <m/>
    <n v="-1194.06"/>
    <n v="-1194.06"/>
  </r>
  <r>
    <s v="Primetics CHO Def Expenses"/>
    <x v="4"/>
    <s v="INV241979"/>
    <s v="Making Tax Digital"/>
    <n v="-1229.8800000000001"/>
    <d v="2026-01-01T00:00:00"/>
    <d v="2026-12-31T00:00:00"/>
    <n v="364"/>
    <m/>
    <m/>
    <m/>
    <m/>
    <m/>
    <m/>
    <m/>
    <m/>
    <m/>
    <m/>
    <m/>
    <m/>
    <m/>
    <m/>
    <n v="0"/>
    <n v="-1229.8800000000001"/>
  </r>
  <r>
    <s v="Primetics CHO Def Expenses"/>
    <x v="5"/>
    <s v="INV184361"/>
    <s v="Making Tax Digital"/>
    <n v="-477.62"/>
    <d v="2025-05-01T00:00:00"/>
    <d v="2026-04-30T00:00:00"/>
    <n v="364"/>
    <m/>
    <m/>
    <m/>
    <m/>
    <m/>
    <m/>
    <n v="-477.62"/>
    <m/>
    <m/>
    <m/>
    <m/>
    <m/>
    <m/>
    <m/>
    <n v="-477.62"/>
    <n v="-477.62"/>
  </r>
  <r>
    <s v="Primetics CHO Def Expenses"/>
    <x v="6"/>
    <s v="INV204022"/>
    <s v="Making Tax Digital"/>
    <n v="-3139.09"/>
    <d v="2025-07-01T00:00:00"/>
    <d v="2026-06-30T00:00:00"/>
    <n v="364"/>
    <m/>
    <m/>
    <m/>
    <m/>
    <m/>
    <m/>
    <m/>
    <m/>
    <n v="-3139.09"/>
    <m/>
    <m/>
    <m/>
    <m/>
    <m/>
    <n v="-3139.09"/>
    <n v="-3139.09"/>
  </r>
  <r>
    <s v="Primetics CHO Def Expenses"/>
    <x v="6"/>
    <s v="RCT000941"/>
    <s v="Progress Licences"/>
    <n v="-2671.5"/>
    <s v="On completion "/>
    <m/>
    <m/>
    <m/>
    <m/>
    <m/>
    <m/>
    <m/>
    <m/>
    <m/>
    <m/>
    <m/>
    <m/>
    <m/>
    <m/>
    <m/>
    <m/>
    <n v="0"/>
    <n v="-2671.5"/>
  </r>
  <r>
    <s v="Primetics CHO Def Expenses"/>
    <x v="7"/>
    <s v="INV212023"/>
    <s v="Making Tax Digital"/>
    <n v="-334.95"/>
    <d v="2025-09-17T00:00:00"/>
    <d v="2026-09-16T00:00:00"/>
    <n v="364"/>
    <m/>
    <m/>
    <m/>
    <m/>
    <m/>
    <m/>
    <m/>
    <m/>
    <m/>
    <m/>
    <n v="-334.95"/>
    <m/>
    <m/>
    <m/>
    <n v="-334.95"/>
    <n v="-334.95"/>
  </r>
  <r>
    <s v="Primetics CHO Def Expenses"/>
    <x v="8"/>
    <s v="INV174359"/>
    <s v="Making Tax Digital"/>
    <n v="-382.1"/>
    <d v="2025-03-01T00:00:00"/>
    <d v="2026-02-28T00:00:00"/>
    <n v="364"/>
    <m/>
    <m/>
    <m/>
    <m/>
    <n v="-382.1"/>
    <m/>
    <m/>
    <m/>
    <m/>
    <m/>
    <m/>
    <m/>
    <m/>
    <m/>
    <n v="-382.1"/>
    <n v="-382.1"/>
  </r>
  <r>
    <s v="Primetics CHO Def Expenses"/>
    <x v="9"/>
    <s v="INV180690"/>
    <s v="Making Tax Digital"/>
    <n v="-334.33"/>
    <d v="2025-04-01T00:00:00"/>
    <d v="2026-03-31T00:00:00"/>
    <n v="364"/>
    <m/>
    <m/>
    <m/>
    <m/>
    <m/>
    <n v="-334.33"/>
    <m/>
    <m/>
    <m/>
    <m/>
    <m/>
    <m/>
    <m/>
    <m/>
    <n v="-334.33"/>
    <n v="-334.33"/>
  </r>
  <r>
    <s v="Primetics CHO Def Expenses"/>
    <x v="10"/>
    <s v="INV180679"/>
    <s v="Making Tax Digital"/>
    <n v="-246.29"/>
    <d v="2025-04-29T00:00:00"/>
    <d v="2026-04-28T00:00:00"/>
    <n v="364"/>
    <m/>
    <m/>
    <m/>
    <m/>
    <m/>
    <n v="-246.29"/>
    <m/>
    <m/>
    <m/>
    <m/>
    <m/>
    <m/>
    <m/>
    <m/>
    <n v="-246.29"/>
    <n v="-246.29"/>
  </r>
  <r>
    <s v="Primetics CHO Def Expenses"/>
    <x v="11"/>
    <s v="INV235918"/>
    <s v="Making Tax Digital"/>
    <n v="-574.41"/>
    <d v="2025-10-01T00:00:00"/>
    <d v="2026-09-30T00:00:00"/>
    <n v="364"/>
    <m/>
    <m/>
    <m/>
    <m/>
    <m/>
    <m/>
    <m/>
    <m/>
    <m/>
    <m/>
    <m/>
    <n v="-574.41"/>
    <m/>
    <m/>
    <n v="-574.41"/>
    <n v="-574.41"/>
  </r>
  <r>
    <s v="Primetics CHO Def Expenses"/>
    <x v="12"/>
    <s v="INV233369"/>
    <s v="Making Tax Digital"/>
    <n v="-396.6"/>
    <d v="2025-12-01T00:00:00"/>
    <d v="2026-11-30T00:00:00"/>
    <n v="364"/>
    <m/>
    <m/>
    <m/>
    <m/>
    <m/>
    <m/>
    <m/>
    <m/>
    <m/>
    <m/>
    <m/>
    <m/>
    <m/>
    <n v="-396.6"/>
    <n v="-396.6"/>
    <n v="-396.6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m/>
    <m/>
    <x v="0"/>
    <m/>
    <m/>
    <m/>
    <m/>
    <m/>
    <m/>
    <m/>
    <n v="31"/>
    <n v="29"/>
    <n v="31"/>
    <n v="30"/>
    <n v="31"/>
    <n v="30"/>
    <n v="31"/>
    <n v="31"/>
    <n v="30"/>
    <n v="31"/>
    <n v="30"/>
    <n v="31"/>
    <m/>
    <m/>
    <m/>
    <m/>
  </r>
  <r>
    <s v="Primetics GEN NA"/>
    <s v="SEED"/>
    <x v="1"/>
    <s v="RCT000901"/>
    <s v="Annual Progress Maintenance"/>
    <n v="-5230.5"/>
    <d v="2024-09-26T00:00:00"/>
    <d v="2025-09-25T00:00:00"/>
    <n v="364"/>
    <n v="-3836.657967032967"/>
    <n v="-445.45467032967031"/>
    <n v="-416.71565934065933"/>
    <n v="-445.45467032967031"/>
    <n v="-431.08516483516485"/>
    <n v="-445.45467032967031"/>
    <n v="-431.08516483516485"/>
    <n v="-445.45467032967031"/>
    <n v="-445.45467032967031"/>
    <n v="-330.5"/>
    <m/>
    <m/>
    <m/>
    <n v="-3836.6593406593411"/>
    <m/>
    <m/>
    <n v="1.3736263740611321E-3"/>
  </r>
  <r>
    <s v="Primetics GEN NA"/>
    <s v="SEED"/>
    <x v="1"/>
    <s v="INV-175452"/>
    <s v="Annual Open Accounts Maintenance"/>
    <n v="-2270.3000000000002"/>
    <d v="2024-02-01T00:00:00"/>
    <d v="2025-01-31T00:00:00"/>
    <n v="365"/>
    <n v="-186.59999999999991"/>
    <n v="-186.6"/>
    <m/>
    <m/>
    <m/>
    <m/>
    <m/>
    <m/>
    <m/>
    <m/>
    <m/>
    <m/>
    <m/>
    <n v="-186.6"/>
    <m/>
    <m/>
    <n v="0"/>
  </r>
  <r>
    <s v="Primetics GEN NA"/>
    <s v="SEED"/>
    <x v="1"/>
    <s v="INV-256165"/>
    <s v="Annual Open Accounts Maintenance"/>
    <n v="-2004.12"/>
    <d v="2025-02-01T00:00:00"/>
    <d v="2026-01-31T00:00:00"/>
    <n v="364"/>
    <n v="-2004.12"/>
    <m/>
    <n v="-159.66890109890107"/>
    <n v="-170.68054945054942"/>
    <n v="-165.17472527472526"/>
    <n v="-170.68054945054942"/>
    <n v="-165.17472527472526"/>
    <n v="-170.68054945054942"/>
    <n v="-170.68054945054942"/>
    <n v="-165.17472527472526"/>
    <n v="-170.68054945054942"/>
    <n v="-165.17472527472526"/>
    <n v="-170.68054945054942"/>
    <n v="-1844.4510989010987"/>
    <m/>
    <m/>
    <n v="-159.66890109890119"/>
  </r>
  <r>
    <s v="Primetics GEN NA"/>
    <s v="SEED"/>
    <x v="1"/>
    <s v="RCT000935"/>
    <s v="Annual Progress Maintenance"/>
    <n v="-5486.25"/>
    <d v="2025-09-26T00:00:00"/>
    <d v="2026-09-25T00:00:00"/>
    <n v="364"/>
    <m/>
    <m/>
    <m/>
    <m/>
    <m/>
    <m/>
    <m/>
    <m/>
    <m/>
    <n v="-60.28846153846154"/>
    <n v="-467.23557692307696"/>
    <n v="-452.16346153846155"/>
    <n v="-467.23557692307696"/>
    <n v="-1446.9230769230769"/>
    <n v="-5486.25"/>
    <m/>
    <n v="-4039.3269230769229"/>
  </r>
  <r>
    <s v="Primetics GEN NA"/>
    <s v="SEED"/>
    <x v="2"/>
    <s v="RCT000880"/>
    <s v="Annual Progress Maintenance"/>
    <n v="-2510.1799999999998"/>
    <d v="2024-01-22T00:00:00"/>
    <d v="2025-01-22T00:00:00"/>
    <n v="366"/>
    <n v="-150.88513661202251"/>
    <n v="-150.88999999999999"/>
    <m/>
    <m/>
    <m/>
    <m/>
    <m/>
    <m/>
    <m/>
    <m/>
    <m/>
    <m/>
    <m/>
    <n v="-150.88999999999999"/>
    <m/>
    <m/>
    <n v="4.8633879774797606E-3"/>
  </r>
  <r>
    <s v="Primetics GEN NA"/>
    <s v="SEED"/>
    <x v="2"/>
    <s v="RCT000911"/>
    <s v="Annual Progress Maintenance"/>
    <n v="-2510.1799999999998"/>
    <d v="2025-01-22T00:00:00"/>
    <d v="2026-01-21T00:00:00"/>
    <n v="364"/>
    <m/>
    <n v="-62.064890109890108"/>
    <n v="-199.98686813186811"/>
    <n v="-213.77906593406593"/>
    <n v="-206.88296703296703"/>
    <n v="-213.77906593406593"/>
    <n v="-206.88296703296703"/>
    <n v="-213.77906593406593"/>
    <n v="-213.77906593406593"/>
    <n v="-206.88296703296703"/>
    <n v="-213.77906593406593"/>
    <n v="-206.88296703296703"/>
    <n v="-213.77906593406593"/>
    <n v="-2372.258021978022"/>
    <n v="-2510.1799999999998"/>
    <m/>
    <n v="-137.92197802197779"/>
  </r>
  <r>
    <s v="PRTH"/>
    <s v="KIT"/>
    <x v="3"/>
    <s v="UK00095422"/>
    <s v="Annual Microsoft GP Maintenance"/>
    <n v="-12461.42"/>
    <d v="2025-01-11T00:00:00"/>
    <d v="2026-01-10T00:00:00"/>
    <n v="364"/>
    <n v="-12461.42"/>
    <n v="-684.69340659340662"/>
    <n v="-992.80543956043959"/>
    <n v="-1061.2747802197803"/>
    <n v="-1027.04010989011"/>
    <n v="-1061.2747802197803"/>
    <n v="-1027.04010989011"/>
    <n v="-1061.2747802197803"/>
    <n v="-1061.2747802197803"/>
    <n v="-1027.04010989011"/>
    <n v="-1061.2747802197803"/>
    <n v="-1027.04010989011"/>
    <n v="-1061.2747802197803"/>
    <n v="-12153.307967032968"/>
    <m/>
    <m/>
    <n v="-308.11203296703206"/>
  </r>
  <r>
    <s v="PRTH"/>
    <s v="KIT"/>
    <x v="3"/>
    <s v="UK00081499"/>
    <s v="Annual Microsoft GP Maintenance"/>
    <n v="-9882.68"/>
    <d v="2024-01-11T00:00:00"/>
    <d v="2025-01-10T00:00:00"/>
    <n v="365"/>
    <n v="-270.75835616438235"/>
    <n v="-270.76"/>
    <m/>
    <m/>
    <m/>
    <m/>
    <m/>
    <m/>
    <m/>
    <m/>
    <m/>
    <m/>
    <m/>
    <n v="-270.76"/>
    <m/>
    <m/>
    <n v="1.6438356176422531E-3"/>
  </r>
  <r>
    <s v="PRTH"/>
    <s v="KIT"/>
    <x v="3"/>
    <s v="INV276588"/>
    <s v="Smartlist builder"/>
    <n v="-1276.8"/>
    <d v="2025-10-29T00:00:00"/>
    <d v="2026-10-28T00:00:00"/>
    <n v="364"/>
    <m/>
    <m/>
    <m/>
    <m/>
    <m/>
    <m/>
    <m/>
    <m/>
    <m/>
    <m/>
    <m/>
    <n v="-112.24615384615385"/>
    <n v="-108.73846153846154"/>
    <n v="-220.98461538461538"/>
    <n v="-1276.8"/>
    <m/>
    <n v="-1055.8153846153846"/>
  </r>
  <r>
    <s v="PRTH"/>
    <s v="KIT"/>
    <x v="3"/>
    <s v="INV276589"/>
    <s v="Smartlist builder"/>
    <n v="-500"/>
    <d v="2025-11-19T00:00:00"/>
    <d v="2026-11-18T00:00:00"/>
    <n v="364"/>
    <m/>
    <m/>
    <m/>
    <m/>
    <m/>
    <m/>
    <m/>
    <m/>
    <m/>
    <m/>
    <m/>
    <n v="-15.109890109890109"/>
    <n v="-42.582417582417584"/>
    <n v="-57.692307692307693"/>
    <n v="-500"/>
    <m/>
    <n v="-442.30769230769232"/>
  </r>
  <r>
    <s v="PRTH"/>
    <s v="KIT"/>
    <x v="3"/>
    <s v="UK00112807"/>
    <s v="Annual Microsoft GP Maintenance"/>
    <n v="-13117.28"/>
    <d v="2026-01-11T00:00:00"/>
    <d v="2027-01-10T00:00:00"/>
    <n v="364"/>
    <m/>
    <m/>
    <m/>
    <m/>
    <m/>
    <m/>
    <m/>
    <m/>
    <m/>
    <m/>
    <m/>
    <m/>
    <m/>
    <n v="0"/>
    <n v="-13117.28"/>
    <m/>
    <n v="-13117.28"/>
  </r>
  <r>
    <s v="Primetics GEN NA"/>
    <s v="SEED"/>
    <x v="4"/>
    <s v="RCT000929"/>
    <s v="Annual Progress Maintenance"/>
    <n v="-1188.01"/>
    <d v="2025-07-31T00:00:00"/>
    <d v="2026-07-30T00:00:00"/>
    <n v="364"/>
    <m/>
    <m/>
    <m/>
    <m/>
    <m/>
    <m/>
    <m/>
    <n v="-3.2637637362637362"/>
    <n v="-101.17667582417582"/>
    <n v="104.44"/>
    <m/>
    <m/>
    <m/>
    <n v="-4.3956043955972746E-4"/>
    <n v="-1188.01"/>
    <m/>
    <n v="-1188.0095604395603"/>
  </r>
  <r>
    <s v="PRTH"/>
    <s v="KIT"/>
    <x v="5"/>
    <n v="129170"/>
    <s v="Annual NCC Deposit"/>
    <n v="-1835"/>
    <d v="2024-07-01T00:00:00"/>
    <d v="2025-06-30T00:00:00"/>
    <n v="365"/>
    <n v="-909.95890410958896"/>
    <n v="-155.84931506849315"/>
    <n v="-145.79452054794521"/>
    <n v="-155.84931506849315"/>
    <n v="-150.82191780821918"/>
    <n v="-155.84931506849315"/>
    <n v="-145.79"/>
    <m/>
    <m/>
    <m/>
    <m/>
    <m/>
    <m/>
    <n v="-909.95438356164379"/>
    <m/>
    <m/>
    <n v="-4.5205479451624342E-3"/>
  </r>
  <r>
    <s v="Primetics GEN NA"/>
    <s v="SEED"/>
    <x v="6"/>
    <s v="UK00082155"/>
    <s v="Annual Microsoft GP Maintenance "/>
    <n v="-812.24"/>
    <d v="2024-02-18T00:00:00"/>
    <d v="2025-02-17T00:00:00"/>
    <n v="365"/>
    <n v="-106.8151232876711"/>
    <n v="-68.984767123287682"/>
    <n v="-37.83"/>
    <m/>
    <m/>
    <m/>
    <m/>
    <m/>
    <m/>
    <m/>
    <m/>
    <m/>
    <m/>
    <n v="-106.81476712328768"/>
    <m/>
    <m/>
    <n v="-3.5616438341889989E-4"/>
  </r>
  <r>
    <s v="Primetics GEN NA"/>
    <s v="SEED"/>
    <x v="6"/>
    <s v="RCT000891"/>
    <s v="Annual Progress Maintenance"/>
    <n v="-153"/>
    <d v="2024-05-14T00:00:00"/>
    <d v="2025-05-13T00:00:00"/>
    <n v="364"/>
    <n v="-56.324175824175839"/>
    <n v="-13.030219780219781"/>
    <n v="-12.18956043956044"/>
    <n v="-13.030219780219781"/>
    <n v="-12.609890109890109"/>
    <n v="-5.46"/>
    <m/>
    <m/>
    <m/>
    <m/>
    <m/>
    <m/>
    <m/>
    <n v="-56.31989010989011"/>
    <m/>
    <m/>
    <n v="-4.285714285728659E-3"/>
  </r>
  <r>
    <s v="Primetics GEN NA"/>
    <s v="SEED"/>
    <x v="6"/>
    <s v="RCT000924"/>
    <s v="Annual Progress Maintenance"/>
    <n v="-58.58"/>
    <d v="2025-05-14T00:00:00"/>
    <d v="2026-05-13T00:00:00"/>
    <n v="364"/>
    <m/>
    <m/>
    <m/>
    <m/>
    <m/>
    <n v="-2.7358791208791207"/>
    <n v="-4.8280219780219777"/>
    <n v="-4.9889560439560432"/>
    <n v="-4.9889560439560432"/>
    <n v="-4.8280219780219777"/>
    <n v="-4.9889560439560432"/>
    <n v="-4.8280219780219777"/>
    <n v="-4.9889560439560432"/>
    <n v="-37.175769230769234"/>
    <n v="-58.58"/>
    <m/>
    <n v="-21.404230769230765"/>
  </r>
  <r>
    <s v="Primetics GEN NA"/>
    <s v="SEED"/>
    <x v="6"/>
    <s v="UK00096030"/>
    <s v="Annual Microsoft GP Maintenance "/>
    <n v="-918.55"/>
    <d v="2025-02-18T00:00:00"/>
    <d v="2026-02-17T00:00:00"/>
    <n v="364"/>
    <m/>
    <m/>
    <m/>
    <m/>
    <m/>
    <m/>
    <n v="-335.62403846153842"/>
    <n v="-78.228159340659332"/>
    <n v="-78.228159340659332"/>
    <n v="-75.704670329670321"/>
    <n v="-78.228159340659332"/>
    <n v="-75.704670329670321"/>
    <n v="-78.228159340659332"/>
    <n v="-799.94601648351636"/>
    <n v="-918.55"/>
    <m/>
    <n v="-118.60398351648359"/>
  </r>
  <r>
    <s v="PRTH"/>
    <s v="KIT"/>
    <x v="7"/>
    <s v="UK00095427"/>
    <s v="Annual Microsoft GP Maintenance"/>
    <n v="-7129.73"/>
    <d v="2025-01-11T00:00:00"/>
    <d v="2026-01-10T00:00:00"/>
    <n v="364"/>
    <n v="-7129.74"/>
    <n v="-391.74340659340658"/>
    <n v="-568.02793956043956"/>
    <n v="-607.20228021978016"/>
    <n v="-587.61510989010981"/>
    <n v="-607.20228021978016"/>
    <n v="-587.61510989010981"/>
    <n v="-607.20228021978016"/>
    <n v="-607.20228021978016"/>
    <n v="-587.61510989010981"/>
    <n v="-607.20228021978016"/>
    <n v="-587.61510989010981"/>
    <n v="-607.20228021978016"/>
    <n v="-6953.445467032966"/>
    <m/>
    <m/>
    <n v="-176.29453296703377"/>
  </r>
  <r>
    <s v="PRTH"/>
    <s v="KIT"/>
    <x v="7"/>
    <s v="UK00080835"/>
    <s v="Annual Microsoft GP Maintenance"/>
    <n v="-5986.94"/>
    <d v="2024-01-11T00:00:00"/>
    <d v="2025-01-10T00:00:00"/>
    <n v="365"/>
    <n v="-164.02575342465752"/>
    <n v="-164.03"/>
    <m/>
    <m/>
    <m/>
    <m/>
    <m/>
    <m/>
    <m/>
    <m/>
    <m/>
    <m/>
    <m/>
    <n v="-164.03"/>
    <m/>
    <m/>
    <n v="4.2465753424778541E-3"/>
  </r>
  <r>
    <s v="PRTH"/>
    <s v="KIT"/>
    <x v="7"/>
    <s v="UK00112809"/>
    <s v="Annual Microsoft GP Maintenance"/>
    <n v="-7504.99"/>
    <d v="2026-01-11T00:00:00"/>
    <d v="2027-01-10T00:00:00"/>
    <n v="364"/>
    <m/>
    <m/>
    <m/>
    <m/>
    <m/>
    <m/>
    <m/>
    <m/>
    <m/>
    <m/>
    <m/>
    <m/>
    <m/>
    <n v="0"/>
    <n v="-7504.99"/>
    <m/>
    <n v="-7504.99"/>
  </r>
  <r>
    <s v="PRTH"/>
    <s v="KIT"/>
    <x v="8"/>
    <s v="INV271621"/>
    <s v="Smartlist builder"/>
    <n v="-1388.8"/>
    <d v="2025-10-03T00:00:00"/>
    <d v="2026-09-03T00:00:00"/>
    <n v="335"/>
    <m/>
    <m/>
    <m/>
    <m/>
    <m/>
    <m/>
    <m/>
    <m/>
    <m/>
    <m/>
    <n v="-116.07880597014925"/>
    <n v="-124.37014925373133"/>
    <n v="-128.51582089552238"/>
    <n v="-368.96477611940293"/>
    <n v="-1388.8"/>
    <m/>
    <n v="-1019.835223880597"/>
  </r>
  <r>
    <s v="PRTH"/>
    <s v="KIT"/>
    <x v="9"/>
    <s v="UK00081514"/>
    <s v="Annual Microsoft GP Maintenance"/>
    <n v="-4576.5"/>
    <d v="2024-01-12T00:00:00"/>
    <d v="2025-01-11T00:00:00"/>
    <n v="365"/>
    <n v="-137.9219178082185"/>
    <n v="-137.91999999999999"/>
    <m/>
    <m/>
    <m/>
    <m/>
    <m/>
    <m/>
    <m/>
    <m/>
    <m/>
    <m/>
    <m/>
    <n v="-137.91999999999999"/>
    <m/>
    <m/>
    <n v="-1.9178082185078438E-3"/>
  </r>
  <r>
    <s v="PRTH"/>
    <s v="KIT"/>
    <x v="9"/>
    <s v="UK00095435"/>
    <s v="Annual Microsoft GP Maintenance"/>
    <n v="-5501.25"/>
    <d v="2025-01-12T00:00:00"/>
    <d v="2026-01-11T00:00:00"/>
    <n v="364"/>
    <m/>
    <n v="-287.15315934065933"/>
    <n v="-438.28640109890108"/>
    <n v="-468.51304945054943"/>
    <n v="-453.39972527472526"/>
    <n v="-468.51304945054943"/>
    <n v="-453.39972527472526"/>
    <n v="-468.51304945054943"/>
    <n v="-468.51304945054943"/>
    <n v="-453.39972527472526"/>
    <n v="-468.51304945054943"/>
    <n v="-453.39972527472526"/>
    <n v="-468.51304945054943"/>
    <n v="-5350.1167582417575"/>
    <n v="-5501.25"/>
    <m/>
    <n v="-151.13324175824255"/>
  </r>
  <r>
    <s v="PRTH"/>
    <s v="KIT"/>
    <x v="10"/>
    <s v="UK00095426"/>
    <s v="Annual Microsoft Maintenance"/>
    <n v="-2355.0100000000002"/>
    <d v="2025-01-11T00:00:00"/>
    <d v="2026-01-10T00:00:00"/>
    <n v="364"/>
    <n v="-2355.0100000000002"/>
    <n v="-129.39615384615388"/>
    <n v="-187.62442307692311"/>
    <n v="-200.5640384615385"/>
    <n v="-194.09423076923079"/>
    <n v="-200.5640384615385"/>
    <n v="-194.09423076923079"/>
    <n v="-200.5640384615385"/>
    <n v="-200.5640384615385"/>
    <n v="-194.09423076923079"/>
    <n v="-200.5640384615385"/>
    <n v="-194.09423076923079"/>
    <n v="-200.5640384615385"/>
    <n v="-2296.7817307692312"/>
    <m/>
    <m/>
    <n v="-58.228269230769001"/>
  </r>
  <r>
    <s v="PRTH"/>
    <s v="KIT"/>
    <x v="10"/>
    <s v="UK00081510"/>
    <s v="Annual Microsoft Maintenance"/>
    <n v="-1977.53"/>
    <d v="2024-01-11T00:00:00"/>
    <d v="2025-01-10T00:00:00"/>
    <n v="365"/>
    <n v="-54.178904109589212"/>
    <n v="-54.18"/>
    <m/>
    <m/>
    <m/>
    <m/>
    <m/>
    <m/>
    <m/>
    <m/>
    <m/>
    <m/>
    <m/>
    <n v="-54.18"/>
    <m/>
    <m/>
    <n v="1.0958904107880585E-3"/>
  </r>
  <r>
    <s v="PRTH"/>
    <s v="KIT"/>
    <x v="10"/>
    <n v="607269"/>
    <s v="Advanced Smartlist Maintenance"/>
    <n v="-155.44999999999999"/>
    <d v="2024-08-01T00:00:00"/>
    <d v="2025-07-31T00:00:00"/>
    <n v="364"/>
    <n v="-90.109752747252728"/>
    <n v="-13.238873626373627"/>
    <n v="-12.384752747252747"/>
    <n v="-13.238873626373627"/>
    <n v="-12.811813186813186"/>
    <n v="-13.238873626373627"/>
    <n v="-12.811813186813186"/>
    <n v="-12.38"/>
    <m/>
    <m/>
    <m/>
    <m/>
    <m/>
    <n v="-90.10499999999999"/>
    <m/>
    <m/>
    <n v="-4.7527472527377768E-3"/>
  </r>
  <r>
    <s v="PRTH"/>
    <s v="KIT"/>
    <x v="10"/>
    <n v="608410"/>
    <s v="Advanced Smartlist Maintenance"/>
    <n v="-118.54"/>
    <d v="2025-11-08T00:00:00"/>
    <d v="2026-11-07T00:00:00"/>
    <n v="364"/>
    <m/>
    <m/>
    <m/>
    <m/>
    <m/>
    <m/>
    <m/>
    <m/>
    <m/>
    <m/>
    <m/>
    <n v="-7.1645054945054945"/>
    <n v="-10.09543956043956"/>
    <n v="-17.259945054945057"/>
    <n v="-118.54"/>
    <m/>
    <n v="-101.28005494505496"/>
  </r>
  <r>
    <s v="PRTH"/>
    <s v="KIT"/>
    <x v="10"/>
    <s v="UK00112806"/>
    <s v="Annual Microsoft Maintenance"/>
    <n v="-2478.96"/>
    <d v="2026-01-11T00:00:00"/>
    <d v="2027-01-10T00:00:00"/>
    <n v="364"/>
    <m/>
    <m/>
    <m/>
    <m/>
    <m/>
    <m/>
    <m/>
    <m/>
    <m/>
    <m/>
    <m/>
    <m/>
    <m/>
    <n v="0"/>
    <n v="-2478.96"/>
    <m/>
    <n v="-2478.96"/>
  </r>
  <r>
    <s v="PRTH"/>
    <s v="KIT"/>
    <x v="11"/>
    <s v="UK00095429"/>
    <s v="Annual Microsoft GP Maintenance"/>
    <n v="-6885.45"/>
    <d v="2025-01-11T00:00:00"/>
    <d v="2026-01-10T00:00:00"/>
    <n v="364"/>
    <n v="-6885.46"/>
    <n v="-378.32142857142856"/>
    <n v="-548.56607142857138"/>
    <n v="-586.39821428571429"/>
    <n v="-567.48214285714289"/>
    <n v="-586.39821428571429"/>
    <n v="-567.48214285714289"/>
    <n v="-586.39821428571429"/>
    <n v="-586.39821428571429"/>
    <n v="-567.48214285714289"/>
    <n v="-586.39821428571429"/>
    <n v="-567.48214285714289"/>
    <n v="-586.39821428571429"/>
    <n v="-6715.2053571428569"/>
    <m/>
    <m/>
    <n v="-170.25464285714315"/>
  </r>
  <r>
    <s v="PRTH"/>
    <s v="KIT"/>
    <x v="11"/>
    <s v="UK00081499"/>
    <s v="Annual Microsoft GP Maintenance"/>
    <n v="-6000.7"/>
    <d v="2024-01-11T00:00:00"/>
    <d v="2025-01-10T00:00:00"/>
    <n v="365"/>
    <n v="-164.4027397260279"/>
    <n v="-164.4"/>
    <m/>
    <m/>
    <m/>
    <m/>
    <m/>
    <m/>
    <m/>
    <m/>
    <m/>
    <m/>
    <m/>
    <n v="-164.4"/>
    <m/>
    <m/>
    <n v="-2.7397260278974045E-3"/>
  </r>
  <r>
    <s v="PRTH"/>
    <s v="KIT"/>
    <x v="11"/>
    <s v="INVMHL116414"/>
    <s v="Annual M-Hance Maintenance"/>
    <n v="-376.23"/>
    <d v="2024-08-01T00:00:00"/>
    <d v="2025-07-31T00:00:00"/>
    <n v="364"/>
    <n v="-218.08936813186816"/>
    <n v="-32.041565934065936"/>
    <n v="-29.974368131868133"/>
    <n v="-32.041565934065936"/>
    <n v="-31.007967032967031"/>
    <n v="-32.041565934065936"/>
    <n v="-31.007967032967031"/>
    <n v="-29.97"/>
    <m/>
    <m/>
    <m/>
    <m/>
    <m/>
    <n v="-218.08500000000001"/>
    <m/>
    <m/>
    <n v="-4.3681318681478842E-3"/>
  </r>
  <r>
    <s v="PRTH"/>
    <s v="KIT"/>
    <x v="11"/>
    <s v="EU_IN80594"/>
    <s v="Annual M-Hance Maintenance"/>
    <n v="-362.45"/>
    <d v="2024-12-31T00:00:00"/>
    <d v="2025-12-30T00:00:00"/>
    <n v="364"/>
    <n v="-361.47420329670331"/>
    <n v="-30.867994505494504"/>
    <n v="-28.876510989010988"/>
    <n v="-30.867994505494504"/>
    <n v="-29.872252747252748"/>
    <n v="-30.867994505494504"/>
    <n v="-29.872252747252748"/>
    <n v="-30.867994505494504"/>
    <n v="-30.867994505494504"/>
    <n v="-29.872252747252748"/>
    <n v="-30.867994505494504"/>
    <n v="-29.872252747252748"/>
    <n v="-27.9"/>
    <n v="-361.47348901098894"/>
    <m/>
    <m/>
    <n v="-7.1428571436626953E-4"/>
  </r>
  <r>
    <s v="PRTH"/>
    <s v="KIT"/>
    <x v="11"/>
    <s v="EU_IN80595"/>
    <s v="Annual M-Hance Maintenance"/>
    <n v="-359.97"/>
    <d v="2024-12-31T00:00:00"/>
    <d v="2025-12-30T00:00:00"/>
    <n v="364"/>
    <n v="-358.98107142857145"/>
    <n v="-30.656785714285718"/>
    <n v="-28.678928571428575"/>
    <n v="-30.656785714285718"/>
    <n v="-29.667857142857144"/>
    <n v="-30.656785714285718"/>
    <n v="-29.667857142857144"/>
    <n v="-30.656785714285718"/>
    <n v="-30.656785714285718"/>
    <n v="-29.667857142857144"/>
    <n v="-30.656785714285718"/>
    <n v="-29.667857142857144"/>
    <n v="-27.69"/>
    <n v="-358.98107142857145"/>
    <m/>
    <m/>
    <n v="0"/>
  </r>
  <r>
    <s v="PRTH"/>
    <s v="KIT"/>
    <x v="11"/>
    <n v="601577"/>
    <s v="Advanced Smartlist Maintenance"/>
    <n v="-126.37"/>
    <d v="2024-05-01T00:00:00"/>
    <d v="2025-04-30T00:00:00"/>
    <n v="364"/>
    <n v="-41.313269230769237"/>
    <n v="-10.762280219780219"/>
    <n v="-10.067939560439561"/>
    <n v="-10.762280219780219"/>
    <n v="-9.7200000000000006"/>
    <m/>
    <m/>
    <m/>
    <m/>
    <m/>
    <m/>
    <m/>
    <m/>
    <n v="-41.3125"/>
    <m/>
    <m/>
    <n v="-7.6923076923662848E-4"/>
  </r>
  <r>
    <s v="PRTH"/>
    <s v="KIT"/>
    <x v="11"/>
    <n v="607762"/>
    <s v="Advanced Smartlist Maintenance"/>
    <n v="-126.61"/>
    <d v="2025-04-12T00:00:00"/>
    <d v="2026-04-11T00:00:00"/>
    <n v="364"/>
    <m/>
    <m/>
    <m/>
    <m/>
    <n v="-6.260934065934066"/>
    <n v="-10.782719780219781"/>
    <n v="-10.434890109890111"/>
    <n v="-10.782719780219781"/>
    <n v="-10.782719780219781"/>
    <n v="-10.434890109890111"/>
    <n v="-10.782719780219781"/>
    <n v="-10.434890109890111"/>
    <n v="-10.782719780219781"/>
    <n v="-91.47920329670329"/>
    <n v="-126.61"/>
    <m/>
    <n v="-35.13079670329671"/>
  </r>
  <r>
    <s v="PRTH"/>
    <s v="KIT"/>
    <x v="11"/>
    <s v="INVMHL120169"/>
    <s v="Annual M-Hance Maintenance"/>
    <n v="-395.04"/>
    <d v="2025-10-01T00:00:00"/>
    <d v="2026-09-30T00:00:00"/>
    <n v="364"/>
    <m/>
    <m/>
    <m/>
    <m/>
    <m/>
    <m/>
    <m/>
    <m/>
    <m/>
    <m/>
    <n v="-33.643516483516485"/>
    <n v="-32.558241758241756"/>
    <n v="-33.643516483516485"/>
    <n v="-99.84527472527472"/>
    <n v="-395.04"/>
    <m/>
    <n v="-295.19472527472533"/>
  </r>
  <r>
    <s v="PRTH"/>
    <s v="KIT"/>
    <x v="11"/>
    <s v="UK00112805"/>
    <s v="Annual Microsoft GP Maintenance"/>
    <n v="-7623.63"/>
    <d v="2026-01-11T00:00:00"/>
    <d v="2027-01-10T00:00:00"/>
    <n v="364"/>
    <m/>
    <m/>
    <m/>
    <m/>
    <m/>
    <m/>
    <m/>
    <m/>
    <m/>
    <m/>
    <m/>
    <m/>
    <m/>
    <n v="0"/>
    <n v="-7623.63"/>
    <m/>
    <n v="-7623.63"/>
  </r>
  <r>
    <s v="Primetics GEN NA"/>
    <s v="SEED"/>
    <x v="12"/>
    <s v="RCT000891"/>
    <s v="Annual Progress Maintenance"/>
    <n v="-787.5"/>
    <d v="2024-05-19T00:00:00"/>
    <d v="2025-05-18T00:00:00"/>
    <n v="364"/>
    <n v="-298.55769230769238"/>
    <n v="-67.067307692307693"/>
    <n v="-62.740384615384613"/>
    <n v="-67.067307692307693"/>
    <n v="-64.903846153846146"/>
    <n v="-36.78"/>
    <m/>
    <m/>
    <m/>
    <m/>
    <m/>
    <m/>
    <m/>
    <n v="-298.55884615384616"/>
    <m/>
    <m/>
    <n v="1.1538461537838884E-3"/>
  </r>
  <r>
    <s v="Primetics GEN NA"/>
    <s v="SEED"/>
    <x v="12"/>
    <s v="RCT000924"/>
    <s v="Annual Progress Maintenance"/>
    <n v="-907.5"/>
    <d v="2025-05-19T00:00:00"/>
    <d v="2026-05-18T00:00:00"/>
    <n v="364"/>
    <m/>
    <m/>
    <m/>
    <m/>
    <m/>
    <n v="-29.917582417582416"/>
    <n v="-74.793956043956044"/>
    <n v="-77.287087912087912"/>
    <n v="-77.287087912087912"/>
    <n v="-74.793956043956044"/>
    <n v="-77.287087912087912"/>
    <n v="-74.793956043956044"/>
    <n v="-77.287087912087912"/>
    <n v="-563.44780219780216"/>
    <n v="-907.5"/>
    <m/>
    <n v="-344.05219780219784"/>
  </r>
  <r>
    <s v="Primetics GEN NA"/>
    <s v="SEED"/>
    <x v="13"/>
    <s v="RCT000891"/>
    <s v="Annual Progress Maintenance"/>
    <n v="-8190"/>
    <d v="2024-05-31T00:00:00"/>
    <d v="2025-05-30T00:00:00"/>
    <n v="364"/>
    <n v="-3352.5"/>
    <n v="-697.5"/>
    <n v="-652.5"/>
    <n v="-697.5"/>
    <n v="-675"/>
    <n v="-630"/>
    <m/>
    <m/>
    <m/>
    <m/>
    <m/>
    <m/>
    <m/>
    <n v="-3352.5"/>
    <m/>
    <m/>
    <n v="0"/>
  </r>
  <r>
    <s v="Primetics GEN NA"/>
    <s v="SEED"/>
    <x v="13"/>
    <s v="10010393-1"/>
    <s v="Progress Maintenance "/>
    <n v="-110.38"/>
    <d v="2024-10-11T00:00:00"/>
    <d v="2025-05-30T00:00:00"/>
    <n v="231"/>
    <n v="-71.372294372294363"/>
    <n v="-14.812900432900433"/>
    <n v="-13.857229437229437"/>
    <n v="-14.812900432900433"/>
    <n v="-14.335064935064935"/>
    <n v="-13.55"/>
    <m/>
    <m/>
    <m/>
    <m/>
    <m/>
    <m/>
    <m/>
    <n v="-71.368095238095236"/>
    <m/>
    <m/>
    <n v="-4.1991341991263198E-3"/>
  </r>
  <r>
    <s v="Primetics GEN NA"/>
    <s v="SEED"/>
    <x v="13"/>
    <s v="RCT000924"/>
    <s v="Annual Progress Maintenance"/>
    <n v="-9627.75"/>
    <d v="2025-05-31T00:00:00"/>
    <d v="2026-05-30T00:00:00"/>
    <n v="364"/>
    <m/>
    <m/>
    <m/>
    <m/>
    <m/>
    <n v="-26.449862637362639"/>
    <n v="-793.49587912087918"/>
    <n v="-819.94574175824175"/>
    <n v="-819.94574175824175"/>
    <n v="-793.49587912087918"/>
    <n v="-819.94574175824175"/>
    <n v="-793.49587912087918"/>
    <n v="-819.94574175824175"/>
    <n v="-5686.7204670329666"/>
    <n v="-9627.75"/>
    <m/>
    <n v="-3941.0295329670334"/>
  </r>
  <r>
    <s v="PRTH"/>
    <s v="KIT"/>
    <x v="14"/>
    <s v="UK00084265"/>
    <s v="Annual Microsoft GP Maintenance"/>
    <n v="-48607.43"/>
    <d v="2024-04-23T00:00:00"/>
    <d v="2025-04-22T00:00:00"/>
    <n v="364"/>
    <n v="-14956.132307692307"/>
    <n v="-4139.6437637362633"/>
    <n v="-3872.5699725274721"/>
    <n v="-4139.6437637362633"/>
    <n v="-2804.27"/>
    <m/>
    <m/>
    <m/>
    <m/>
    <m/>
    <m/>
    <m/>
    <m/>
    <n v="-14956.127499999999"/>
    <m/>
    <m/>
    <n v="-4.8076923085318413E-3"/>
  </r>
  <r>
    <s v="Primetics CHO"/>
    <s v="PRIME"/>
    <x v="15"/>
    <m/>
    <s v="Annual Progress Maintenance"/>
    <n v="-1272"/>
    <d v="2024-03-28T00:00:00"/>
    <d v="2025-03-27T00:00:00"/>
    <n v="364"/>
    <n v="-300.52747252747258"/>
    <n v="-108.32967032967034"/>
    <n v="-101.34065934065934"/>
    <n v="-90.86"/>
    <m/>
    <m/>
    <m/>
    <m/>
    <m/>
    <m/>
    <m/>
    <m/>
    <m/>
    <n v="-300.53032967032971"/>
    <m/>
    <m/>
    <n v="2.8571428571240176E-3"/>
  </r>
  <r>
    <s v="Primetics CHO"/>
    <s v="PRIME"/>
    <x v="15"/>
    <s v="INV-190906"/>
    <s v="Annual Open Accounts Maintenance "/>
    <n v="-378.64"/>
    <d v="2024-04-01T00:00:00"/>
    <d v="2025-03-31T00:00:00"/>
    <n v="364"/>
    <n v="-92.579560439560396"/>
    <n v="-32.246813186813185"/>
    <n v="-30.166373626373623"/>
    <n v="-30.17"/>
    <m/>
    <m/>
    <m/>
    <m/>
    <m/>
    <m/>
    <m/>
    <m/>
    <m/>
    <n v="-92.583186813186813"/>
    <m/>
    <m/>
    <n v="3.6263736264174895E-3"/>
  </r>
  <r>
    <s v="Primetics CHO"/>
    <s v="PRIME"/>
    <x v="15"/>
    <s v="INV174350"/>
    <s v="Annual Open Accounts Maintenance "/>
    <n v="-390"/>
    <d v="2025-04-01T00:00:00"/>
    <d v="2026-03-31T00:00:00"/>
    <n v="364"/>
    <m/>
    <m/>
    <m/>
    <m/>
    <n v="-32.142857142857139"/>
    <n v="-33.214285714285715"/>
    <n v="-32.142857142857139"/>
    <n v="-33.214285714285715"/>
    <n v="-33.214285714285715"/>
    <n v="-32.142857142857139"/>
    <n v="-33.214285714285715"/>
    <n v="-32.142857142857139"/>
    <n v="-33.214285714285715"/>
    <n v="-294.64285714285717"/>
    <n v="-390"/>
    <m/>
    <n v="-95.357142857142833"/>
  </r>
  <r>
    <s v="Primetics CHO"/>
    <s v="PRIME"/>
    <x v="15"/>
    <s v="RCT000917"/>
    <s v="Annual Progress Maintenance"/>
    <n v="-1467.68"/>
    <d v="2025-03-28T00:00:00"/>
    <d v="2026-03-27T00:00:00"/>
    <n v="364"/>
    <m/>
    <m/>
    <m/>
    <n v="-12.096263736263737"/>
    <n v="-120.96263736263738"/>
    <n v="-124.99472527472528"/>
    <n v="-120.96263736263738"/>
    <n v="-124.99472527472528"/>
    <n v="-124.99472527472528"/>
    <n v="-120.96263736263738"/>
    <n v="-124.99472527472528"/>
    <n v="-120.96263736263738"/>
    <n v="-124.99472527472528"/>
    <n v="-1120.9204395604397"/>
    <n v="-1467.68"/>
    <m/>
    <n v="-346.75956043956035"/>
  </r>
  <r>
    <s v="Primetics CHO"/>
    <s v="PRIME"/>
    <x v="16"/>
    <s v="PO001149"/>
    <s v="Annual Progress Maintenance"/>
    <n v="-798"/>
    <d v="2024-05-01T00:00:00"/>
    <d v="2025-04-30T00:00:00"/>
    <n v="364"/>
    <n v="-260.88461538461536"/>
    <n v="-67.961538461538467"/>
    <n v="-63.57692307692308"/>
    <n v="-67.961538461538467"/>
    <n v="-61.38"/>
    <m/>
    <m/>
    <m/>
    <m/>
    <m/>
    <m/>
    <m/>
    <m/>
    <n v="-260.88"/>
    <m/>
    <m/>
    <n v="-4.6153846153629274E-3"/>
  </r>
  <r>
    <s v="Primetics CHO"/>
    <s v="PRIME"/>
    <x v="16"/>
    <s v="RCT000919"/>
    <s v="Annual Progress Maintenance"/>
    <n v="-922.35"/>
    <d v="2025-04-23T00:00:00"/>
    <d v="2026-04-22T00:00:00"/>
    <n v="364"/>
    <m/>
    <m/>
    <m/>
    <m/>
    <n v="-17.737500000000001"/>
    <n v="-78.551785714285714"/>
    <n v="-76.017857142857139"/>
    <n v="-78.551785714285714"/>
    <n v="-78.551785714285714"/>
    <n v="-76.017857142857139"/>
    <n v="-78.551785714285714"/>
    <n v="-76.017857142857139"/>
    <n v="-78.551785714285714"/>
    <n v="-638.55000000000007"/>
    <n v="-922.35"/>
    <m/>
    <n v="-283.79999999999995"/>
  </r>
  <r>
    <s v="Primetics CHO"/>
    <s v="PRIME"/>
    <x v="17"/>
    <s v="RCT000880"/>
    <s v="Annual Progress Maintenance"/>
    <n v="-2044.5"/>
    <d v="2024-01-14T00:00:00"/>
    <d v="2025-01-13T00:00:00"/>
    <n v="365"/>
    <n v="-72.817808219178005"/>
    <n v="-72.819999999999993"/>
    <m/>
    <m/>
    <m/>
    <m/>
    <m/>
    <m/>
    <m/>
    <m/>
    <m/>
    <m/>
    <m/>
    <n v="-72.819999999999993"/>
    <m/>
    <m/>
    <n v="2.1917808219882318E-3"/>
  </r>
  <r>
    <s v="Primetics CHO"/>
    <s v="PRIME"/>
    <x v="17"/>
    <s v="INV-209720"/>
    <s v="Annual Open Accounts Maintenance"/>
    <n v="-1211.3"/>
    <d v="2024-08-06T00:00:00"/>
    <d v="2025-08-05T00:00:00"/>
    <n v="364"/>
    <n v="-699.82788461538462"/>
    <n v="-103.16016483516482"/>
    <n v="-96.504670329670319"/>
    <n v="-103.16016483516482"/>
    <n v="-99.832417582417577"/>
    <n v="-103.16016483516482"/>
    <n v="-99.832417582417577"/>
    <n v="-103.16016483516482"/>
    <n v="8.98"/>
    <m/>
    <m/>
    <m/>
    <m/>
    <n v="-699.83016483516474"/>
    <m/>
    <m/>
    <n v="2.2802197801183866E-3"/>
  </r>
  <r>
    <s v="Primetics CHO"/>
    <s v="PRIME"/>
    <x v="17"/>
    <s v="RCT000891"/>
    <s v="Annual Progress Maintenance"/>
    <n v="-609"/>
    <d v="2024-05-22T00:00:00"/>
    <d v="2025-05-21T00:00:00"/>
    <n v="364"/>
    <n v="-235.90384615384613"/>
    <n v="-51.86538461538462"/>
    <n v="-48.519230769230774"/>
    <n v="-51.86538461538462"/>
    <n v="-50.192307692307693"/>
    <n v="-33.46"/>
    <m/>
    <m/>
    <m/>
    <m/>
    <m/>
    <m/>
    <m/>
    <n v="-235.90230769230769"/>
    <m/>
    <m/>
    <n v="-1.5384615384448352E-3"/>
  </r>
  <r>
    <s v="Primetics CHO"/>
    <s v="PRIME"/>
    <x v="17"/>
    <m/>
    <s v="Annual Progress Maintenance"/>
    <n v="-2248.9499999999998"/>
    <d v="2025-01-14T00:00:00"/>
    <d v="2026-01-13T00:00:00"/>
    <n v="364"/>
    <m/>
    <n v="-105.03337912087912"/>
    <n v="-179.1745879120879"/>
    <n v="-191.53145604395604"/>
    <n v="-185.35302197802196"/>
    <n v="-191.53145604395604"/>
    <n v="-185.35302197802196"/>
    <n v="-191.53145604395604"/>
    <n v="-191.53145604395604"/>
    <n v="-185.35302197802196"/>
    <n v="-191.53145604395604"/>
    <n v="-185.35302197802196"/>
    <n v="-191.53145604395604"/>
    <n v="-2174.8087912087908"/>
    <n v="-2248.9499999999998"/>
    <m/>
    <n v="-74.14120879120901"/>
  </r>
  <r>
    <s v="Primetics CHO"/>
    <s v="PRIME"/>
    <x v="17"/>
    <m/>
    <s v="Annual Progress Maintenance"/>
    <n v="-706.2"/>
    <d v="2025-05-22T00:00:00"/>
    <d v="2026-05-21T00:00:00"/>
    <n v="364"/>
    <m/>
    <m/>
    <m/>
    <m/>
    <m/>
    <n v="-17.460989010989014"/>
    <n v="-58.203296703296708"/>
    <n v="-60.143406593406603"/>
    <n v="-60.143406593406603"/>
    <n v="-58.203296703296708"/>
    <n v="-60.143406593406603"/>
    <n v="-58.203296703296708"/>
    <n v="-60.143406593406603"/>
    <n v="-432.64450549450555"/>
    <n v="-706.2"/>
    <m/>
    <n v="-273.55549450549449"/>
  </r>
  <r>
    <s v="Primetics CHO"/>
    <s v="PRIME"/>
    <x v="17"/>
    <s v="INV203896"/>
    <s v="Annual Open Accounts Maintenance"/>
    <n v="-1247.6300000000001"/>
    <d v="2025-08-06T00:00:00"/>
    <d v="2026-08-05T00:00:00"/>
    <n v="364"/>
    <m/>
    <m/>
    <m/>
    <m/>
    <m/>
    <m/>
    <m/>
    <m/>
    <n v="-85.688873626373635"/>
    <n v="-102.82664835164836"/>
    <n v="-106.2542032967033"/>
    <n v="-102.82664835164836"/>
    <n v="-106.2542032967033"/>
    <n v="-503.85057692307691"/>
    <n v="-1247.6300000000001"/>
    <m/>
    <n v="-743.77942307692319"/>
  </r>
  <r>
    <s v="Primetics CHO"/>
    <s v="PRIME"/>
    <x v="18"/>
    <s v="INV-175809"/>
    <s v="Annual Open Accounts Maintenance"/>
    <n v="-502.5"/>
    <m/>
    <m/>
    <n v="0"/>
    <n v="-502.49657534246575"/>
    <m/>
    <n v="-502.5"/>
    <m/>
    <m/>
    <m/>
    <m/>
    <m/>
    <m/>
    <m/>
    <m/>
    <m/>
    <m/>
    <n v="-502.5"/>
    <m/>
    <m/>
    <n v="3.4246575342535834E-3"/>
  </r>
  <r>
    <s v="Primetics CHO"/>
    <s v="PRIME"/>
    <x v="18"/>
    <n v="21681"/>
    <s v="Advanced credit note"/>
    <n v="780.72"/>
    <d v="2024-02-22T00:00:00"/>
    <d v="2025-02-21T00:00:00"/>
    <n v="365"/>
    <n v="111.22586301369859"/>
    <n v="66.307726027397266"/>
    <n v="44.92"/>
    <m/>
    <m/>
    <m/>
    <m/>
    <m/>
    <m/>
    <m/>
    <m/>
    <m/>
    <m/>
    <n v="111.22772602739727"/>
    <m/>
    <m/>
    <n v="-1.8630136986814705E-3"/>
  </r>
  <r>
    <s v="Primetics CHO"/>
    <s v="PRIME"/>
    <x v="19"/>
    <s v="RCT000909"/>
    <s v="Annual Progress Maintenance"/>
    <n v="-1052.7"/>
    <d v="2024-12-17T00:00:00"/>
    <d v="2025-12-16T00:00:00"/>
    <n v="364"/>
    <n v="-1012.2115384615386"/>
    <n v="-89.653021978021982"/>
    <n v="-83.868956043956047"/>
    <n v="-89.653021978021982"/>
    <n v="-86.760989010989007"/>
    <n v="-89.653021978021982"/>
    <n v="-86.760989010989007"/>
    <n v="-89.653021978021982"/>
    <n v="-89.653021978021982"/>
    <n v="-86.760989010989007"/>
    <n v="-89.653021978021982"/>
    <n v="-86.760989010989007"/>
    <n v="-43.38"/>
    <n v="-1012.211043956044"/>
    <m/>
    <m/>
    <n v="-4.9450549454377324E-4"/>
  </r>
  <r>
    <s v="Primetics CHO"/>
    <s v="PRIME"/>
    <x v="19"/>
    <s v="RCT000942"/>
    <s v="Annual Progress Maintenance"/>
    <n v="-1108.8"/>
    <d v="2025-12-17T00:00:00"/>
    <d v="2026-12-16T00:00:00"/>
    <n v="364"/>
    <m/>
    <m/>
    <m/>
    <m/>
    <m/>
    <m/>
    <m/>
    <m/>
    <m/>
    <m/>
    <m/>
    <m/>
    <n v="-42.646153846153844"/>
    <n v="-42.646153846153844"/>
    <n v="-1108.8"/>
    <m/>
    <n v="-1066.1538461538462"/>
  </r>
  <r>
    <s v="Primetics CHO"/>
    <s v="PRIME"/>
    <x v="20"/>
    <s v="RCT000885"/>
    <s v="Annual Progress Maintenance"/>
    <n v="-1032"/>
    <d v="2024-04-14T00:00:00"/>
    <d v="2025-04-13T00:00:00"/>
    <n v="364"/>
    <n v="-292.02197802197804"/>
    <n v="-87.890109890109898"/>
    <n v="-82.219780219780219"/>
    <n v="-87.890109890109898"/>
    <n v="-34.020000000000003"/>
    <m/>
    <m/>
    <m/>
    <m/>
    <m/>
    <m/>
    <m/>
    <m/>
    <n v="-292.02"/>
    <m/>
    <m/>
    <n v="-1.9780219780614061E-3"/>
  </r>
  <r>
    <s v="Primetics CHO"/>
    <s v="PRIME"/>
    <x v="20"/>
    <s v="INV-190905"/>
    <s v="Annual Open Accounts Maintenance"/>
    <n v="-573.03"/>
    <d v="2024-05-01T00:00:00"/>
    <d v="2025-04-30T00:00:00"/>
    <n v="364"/>
    <n v="-187.33673076923083"/>
    <n v="-48.802005494505487"/>
    <n v="-45.653489010989006"/>
    <n v="-48.802005494505487"/>
    <n v="-44.08"/>
    <m/>
    <m/>
    <m/>
    <m/>
    <m/>
    <m/>
    <m/>
    <m/>
    <n v="-187.33749999999998"/>
    <m/>
    <m/>
    <n v="7.6923076915136335E-4"/>
  </r>
  <r>
    <s v="Primetics CHO"/>
    <s v="PRIME"/>
    <x v="20"/>
    <s v="INV181318"/>
    <s v="Annual Open Accounts Maintenance"/>
    <n v="-40.950000000000003"/>
    <d v="2025-04-30T00:00:00"/>
    <d v="2026-04-29T00:00:00"/>
    <n v="364"/>
    <m/>
    <m/>
    <m/>
    <m/>
    <n v="-0.1125"/>
    <n v="-3.4875000000000003"/>
    <n v="-3.375"/>
    <n v="-3.4875000000000003"/>
    <n v="-3.4875000000000003"/>
    <n v="-3.375"/>
    <n v="-3.4875000000000003"/>
    <n v="-3.375"/>
    <n v="-3.4875000000000003"/>
    <n v="-27.675000000000004"/>
    <n v="-40.950000000000003"/>
    <m/>
    <n v="-13.274999999999999"/>
  </r>
  <r>
    <s v="Primetics CHO"/>
    <s v="PRIME"/>
    <x v="20"/>
    <m/>
    <s v="Annual Open Accounts Maintenance"/>
    <n v="-549.24"/>
    <d v="2025-05-01T00:00:00"/>
    <d v="2026-04-30T00:00:00"/>
    <n v="364"/>
    <m/>
    <m/>
    <m/>
    <m/>
    <m/>
    <n v="-46.775934065934067"/>
    <n v="-45.267032967032968"/>
    <n v="-46.775934065934067"/>
    <n v="-46.775934065934067"/>
    <n v="-45.267032967032968"/>
    <n v="-46.775934065934067"/>
    <n v="-45.267032967032968"/>
    <n v="-46.775934065934067"/>
    <n v="-369.68076923076922"/>
    <n v="-549.24"/>
    <m/>
    <n v="-179.55923076923079"/>
  </r>
  <r>
    <s v="Primetics CHO"/>
    <s v="PRIME"/>
    <x v="20"/>
    <s v="RCT000919"/>
    <s v="Annual Progress Maintenance"/>
    <n v="-1188.01"/>
    <d v="2025-04-14T00:00:00"/>
    <d v="2026-04-13T00:00:00"/>
    <n v="364"/>
    <m/>
    <m/>
    <m/>
    <m/>
    <n v="-52.220219780219779"/>
    <n v="-101.17667582417582"/>
    <n v="-97.91291208791209"/>
    <n v="-101.17667582417582"/>
    <n v="-101.17667582417582"/>
    <n v="-97.91291208791209"/>
    <n v="-101.17667582417582"/>
    <n v="-97.91291208791209"/>
    <n v="-101.17667582417582"/>
    <n v="-851.84233516483528"/>
    <n v="-1188.01"/>
    <m/>
    <n v="-336.16766483516471"/>
  </r>
  <r>
    <s v="Primetics CHO"/>
    <s v="KEY"/>
    <x v="21"/>
    <s v="RCT000893"/>
    <s v="Annual Progress Maintenance"/>
    <n v="-7644"/>
    <d v="2024-06-28T00:00:00"/>
    <d v="2025-06-27T00:00:00"/>
    <n v="364"/>
    <n v="-3738"/>
    <n v="-651"/>
    <n v="-609"/>
    <n v="-651"/>
    <n v="-630"/>
    <n v="-651"/>
    <n v="-546"/>
    <m/>
    <m/>
    <m/>
    <m/>
    <m/>
    <m/>
    <n v="-3738"/>
    <m/>
    <m/>
    <n v="0"/>
  </r>
  <r>
    <s v="Primetics CHO"/>
    <s v="KEY"/>
    <x v="21"/>
    <s v="INV-206942"/>
    <s v="Annual Open Accounts Maintenance"/>
    <n v="-2326.84"/>
    <d v="2024-07-01T00:00:00"/>
    <d v="2025-06-30T00:00:00"/>
    <n v="364"/>
    <n v="-1150.6450549450551"/>
    <n v="-198.16494505494506"/>
    <n v="-185.38010989010991"/>
    <n v="-198.16494505494506"/>
    <n v="-191.77252747252749"/>
    <n v="-198.16494505494506"/>
    <n v="-179"/>
    <m/>
    <m/>
    <m/>
    <m/>
    <m/>
    <m/>
    <n v="-1150.6474725274725"/>
    <m/>
    <m/>
    <n v="2.4175824173653382E-3"/>
  </r>
  <r>
    <s v="Primetics CHO"/>
    <s v="KEY"/>
    <x v="21"/>
    <s v="RCT000905"/>
    <s v="Annual Progress Maintenance"/>
    <n v="-831.6"/>
    <d v="2024-11-15T00:00:00"/>
    <d v="2025-11-14T00:00:00"/>
    <n v="364"/>
    <n v="-726.50769230769231"/>
    <n v="-70.823076923076925"/>
    <n v="-66.253846153846155"/>
    <n v="-70.823076923076925"/>
    <n v="-68.538461538461533"/>
    <n v="-70.823076923076925"/>
    <n v="-68.538461538461533"/>
    <n v="-70.823076923076925"/>
    <n v="-70.823076923076925"/>
    <n v="-68.538461538461533"/>
    <n v="-70.823076923076925"/>
    <n v="-29.7"/>
    <m/>
    <n v="-726.50769230769242"/>
    <m/>
    <m/>
    <n v="0"/>
  </r>
  <r>
    <s v="Primetics CHO"/>
    <s v="KEY"/>
    <x v="21"/>
    <s v="INV-206941"/>
    <s v="Annual Open Accounts Maintenance"/>
    <n v="-586.79"/>
    <d v="2024-07-01T00:00:00"/>
    <d v="2025-06-30T00:00:00"/>
    <n v="364"/>
    <n v="-290.17087912087914"/>
    <n v="-49.973873626373624"/>
    <n v="-46.749752747252742"/>
    <n v="-49.973873626373624"/>
    <n v="-48.36181318681318"/>
    <n v="-49.973873626373624"/>
    <n v="-45.14"/>
    <m/>
    <m/>
    <m/>
    <m/>
    <m/>
    <m/>
    <n v="-290.17318681318682"/>
    <m/>
    <m/>
    <n v="2.3076923076814637E-3"/>
  </r>
  <r>
    <s v="Primetics CHO"/>
    <s v="KEY"/>
    <x v="21"/>
    <s v="RCT000904"/>
    <s v="Annual Progress Maintenance"/>
    <n v="-85.81"/>
    <d v="2024-10-24T00:00:00"/>
    <d v="2025-06-27T00:00:00"/>
    <n v="246"/>
    <n v="-62.097398373983737"/>
    <n v="-10.813455284552845"/>
    <n v="-10.115813008130081"/>
    <n v="-10.813455284552845"/>
    <n v="-10.464634146341464"/>
    <n v="-10.813455284552845"/>
    <n v="-9.08"/>
    <m/>
    <m/>
    <m/>
    <m/>
    <m/>
    <m/>
    <n v="-62.100813008130075"/>
    <m/>
    <m/>
    <n v="3.4146341463383578E-3"/>
  </r>
  <r>
    <s v="Primetics CHO"/>
    <s v="KEY"/>
    <x v="21"/>
    <s v="INV198318"/>
    <s v="Annual Open Accounts Maintenance"/>
    <n v="-604.4"/>
    <d v="2025-07-01T00:00:00"/>
    <d v="2026-06-30T00:00:00"/>
    <n v="364"/>
    <m/>
    <m/>
    <m/>
    <m/>
    <m/>
    <m/>
    <m/>
    <n v="-51.473626373626367"/>
    <n v="-51.473626373626367"/>
    <n v="-49.81318681318681"/>
    <n v="-51.473626373626367"/>
    <n v="-49.81318681318681"/>
    <n v="-51.473626373626367"/>
    <n v="-305.5208791208791"/>
    <n v="-604.4"/>
    <m/>
    <n v="-298.87912087912088"/>
  </r>
  <r>
    <s v="Primetics CHO"/>
    <s v="KEY"/>
    <x v="21"/>
    <s v="INV204022"/>
    <s v="Annual Open Accounts Maintenance"/>
    <n v="-2396.6799999999998"/>
    <d v="2025-07-01T00:00:00"/>
    <d v="2026-06-30T00:00:00"/>
    <n v="364"/>
    <m/>
    <m/>
    <m/>
    <m/>
    <m/>
    <m/>
    <m/>
    <n v="-204.11285714285711"/>
    <n v="-204.11285714285711"/>
    <n v="-197.52857142857141"/>
    <n v="-204.11285714285711"/>
    <n v="-197.52857142857141"/>
    <n v="-204.11285714285711"/>
    <n v="-1211.5085714285713"/>
    <n v="-2396.6799999999998"/>
    <m/>
    <n v="-1185.1714285714286"/>
  </r>
  <r>
    <s v="Primetics CHO"/>
    <s v="KEY"/>
    <x v="21"/>
    <s v="RCT000926"/>
    <s v="Annual Progress Maintenance"/>
    <n v="-8934.76"/>
    <d v="2025-06-28T00:00:00"/>
    <d v="2026-06-27T00:00:00"/>
    <n v="364"/>
    <m/>
    <m/>
    <m/>
    <m/>
    <m/>
    <m/>
    <m/>
    <n v="-810.01945054945054"/>
    <n v="-760.92736263736265"/>
    <n v="-736.3813186813187"/>
    <n v="-760.92736263736265"/>
    <n v="-736.3813186813187"/>
    <n v="-760.92736263736265"/>
    <n v="-4565.5641758241754"/>
    <n v="-8934.76"/>
    <m/>
    <n v="-4369.1958241758248"/>
  </r>
  <r>
    <s v="Primetics CHO"/>
    <s v="KEY"/>
    <x v="21"/>
    <s v="RCT000938"/>
    <s v="Annual Progress Maintenance"/>
    <n v="-874.5"/>
    <d v="2025-11-15T00:00:00"/>
    <d v="2026-11-14T00:00:00"/>
    <n v="364"/>
    <m/>
    <m/>
    <m/>
    <m/>
    <m/>
    <m/>
    <m/>
    <m/>
    <m/>
    <m/>
    <m/>
    <n v="-36.037087912087912"/>
    <n v="-74.47664835164835"/>
    <n v="-110.51373626373626"/>
    <n v="-874.5"/>
    <m/>
    <n v="-763.98626373626371"/>
  </r>
  <r>
    <s v="Primetics CHO"/>
    <s v="KEY"/>
    <x v="21"/>
    <s v="RCT000941"/>
    <s v="Annual Progress Maintenance"/>
    <n v="-522.58000000000004"/>
    <d v="2025-11-27T00:00:00"/>
    <d v="2026-11-14T00:00:00"/>
    <n v="352"/>
    <m/>
    <m/>
    <m/>
    <m/>
    <m/>
    <m/>
    <m/>
    <m/>
    <m/>
    <m/>
    <m/>
    <m/>
    <n v="-50.476477272727273"/>
    <n v="-50.476477272727273"/>
    <n v="-522.58000000000004"/>
    <m/>
    <n v="-472.10352272727278"/>
  </r>
  <r>
    <s v="Primetics CHO"/>
    <s v="PRIME"/>
    <x v="22"/>
    <s v="INV-250985"/>
    <s v="Annual Open Accounts Maintenance"/>
    <n v="-5595.01"/>
    <d v="2025-01-01T00:00:00"/>
    <d v="2025-12-31T00:00:00"/>
    <n v="364"/>
    <n v="-5595.01"/>
    <n v="-476.49810439560446"/>
    <n v="-445.75629120879125"/>
    <n v="-476.49810439560446"/>
    <n v="-461.12719780219783"/>
    <n v="-476.49810439560446"/>
    <n v="-461.12719780219783"/>
    <n v="-476.49810439560446"/>
    <n v="-476.49810439560446"/>
    <n v="-461.12719780219783"/>
    <n v="-476.49810439560446"/>
    <n v="-461.12719780219783"/>
    <n v="-445.76"/>
    <n v="-5595.013708791209"/>
    <m/>
    <m/>
    <n v="3.7087912087372388E-3"/>
  </r>
  <r>
    <s v="Primetics CHO"/>
    <s v="PRIME"/>
    <x v="22"/>
    <s v="RCT000901"/>
    <s v="Annual Progress Maintenance"/>
    <n v="-2706"/>
    <d v="2024-09-10T00:00:00"/>
    <d v="2025-09-09T00:00:00"/>
    <n v="364"/>
    <n v="-1873.3846153846152"/>
    <n v="-230.45604395604397"/>
    <n v="-215.58791208791209"/>
    <n v="-230.45604395604397"/>
    <n v="-223.02197802197804"/>
    <n v="-230.45604395604397"/>
    <n v="-223.02197802197804"/>
    <n v="-230.45604395604397"/>
    <n v="-230.45604395604397"/>
    <n v="-59.47"/>
    <m/>
    <m/>
    <m/>
    <n v="-1873.3820879120879"/>
    <m/>
    <m/>
    <n v="-2.5274725273902732E-3"/>
  </r>
  <r>
    <s v="Primetics CHO"/>
    <s v="PRIME"/>
    <x v="22"/>
    <m/>
    <s v="Annual Progress Maintenance"/>
    <n v="-718.83"/>
    <d v="2024-07-17T00:00:00"/>
    <d v="2025-07-16T00:00:00"/>
    <n v="364"/>
    <n v="-389.03711538461539"/>
    <n v="-61.219038461538467"/>
    <n v="-57.269423076923083"/>
    <n v="-61.219038461538467"/>
    <n v="-59.244230769230775"/>
    <n v="-61.219038461538467"/>
    <n v="-59.244230769230775"/>
    <n v="-29.62"/>
    <m/>
    <m/>
    <m/>
    <m/>
    <m/>
    <n v="-389.03500000000003"/>
    <m/>
    <m/>
    <n v="-2.1153846153652012E-3"/>
  </r>
  <r>
    <s v="Primetics CHO"/>
    <s v="PRIME"/>
    <x v="22"/>
    <s v="RCT000927"/>
    <s v="Annual Progress Maintenance"/>
    <n v="-790.71"/>
    <d v="2025-07-30T00:00:00"/>
    <d v="2026-07-29T00:00:00"/>
    <n v="364"/>
    <m/>
    <m/>
    <m/>
    <m/>
    <m/>
    <m/>
    <m/>
    <n v="-2.17228021978022"/>
    <n v="-67.340686813186821"/>
    <n v="-65.168406593406601"/>
    <n v="-67.340686813186821"/>
    <n v="-65.168406593406601"/>
    <n v="-67.340686813186821"/>
    <n v="-334.53115384615387"/>
    <n v="-790.71"/>
    <m/>
    <n v="-456.17884615384617"/>
  </r>
  <r>
    <s v="Primetics CHO"/>
    <s v="PRIME"/>
    <x v="22"/>
    <s v="RCT000935"/>
    <s v="Annual Progress Maintenance"/>
    <n v="-2828.1"/>
    <d v="2025-09-10T00:00:00"/>
    <d v="2026-09-09T00:00:00"/>
    <n v="364"/>
    <m/>
    <m/>
    <m/>
    <m/>
    <m/>
    <m/>
    <m/>
    <m/>
    <m/>
    <n v="-155.39010989010987"/>
    <n v="-240.85467032967031"/>
    <n v="-233.08516483516482"/>
    <n v="-240.85467032967031"/>
    <n v="-870.18461538461531"/>
    <n v="-2828.1"/>
    <m/>
    <n v="-1957.9153846153845"/>
  </r>
  <r>
    <s v="Primetics CHO"/>
    <s v="PRIME"/>
    <x v="22"/>
    <s v="INV241979"/>
    <s v="Annual Open Accounts Maintenance"/>
    <n v="-5762.89"/>
    <d v="2026-01-01T00:00:00"/>
    <d v="2026-12-31T00:00:00"/>
    <n v="364"/>
    <m/>
    <m/>
    <m/>
    <m/>
    <m/>
    <m/>
    <m/>
    <m/>
    <m/>
    <m/>
    <m/>
    <m/>
    <m/>
    <n v="0"/>
    <n v="-5762.89"/>
    <m/>
    <n v="-5762.89"/>
  </r>
  <r>
    <s v="Primetics CHO"/>
    <s v="PRIME"/>
    <x v="23"/>
    <m/>
    <s v="Annual Progress Maintenance"/>
    <n v="-7402.5"/>
    <d v="2024-07-23T00:00:00"/>
    <d v="2025-07-22T00:00:00"/>
    <n v="364"/>
    <n v="-4128.3173076923076"/>
    <n v="-630.43269230769226"/>
    <n v="-589.75961538461536"/>
    <n v="-630.43269230769226"/>
    <n v="-610.09615384615381"/>
    <n v="-630.43269230769226"/>
    <n v="-610.09615384615381"/>
    <n v="-427.07"/>
    <m/>
    <m/>
    <m/>
    <m/>
    <m/>
    <n v="-4128.32"/>
    <m/>
    <m/>
    <n v="2.6923076920866151E-3"/>
  </r>
  <r>
    <s v="Primetics CHO"/>
    <s v="PRIME"/>
    <x v="23"/>
    <s v="RCT000927"/>
    <s v="Annual Progress Maintenance"/>
    <n v="-8530.5"/>
    <d v="2025-07-23T00:00:00"/>
    <d v="2026-07-22T00:00:00"/>
    <n v="364"/>
    <m/>
    <m/>
    <m/>
    <m/>
    <m/>
    <m/>
    <m/>
    <n v="-187.4835164835165"/>
    <n v="-726.49862637362639"/>
    <n v="-703.0631868131868"/>
    <n v="-726.49862637362639"/>
    <n v="-703.0631868131868"/>
    <n v="-726.49862637362639"/>
    <n v="-3773.1057692307695"/>
    <n v="-8530.5"/>
    <m/>
    <n v="-4757.3942307692305"/>
  </r>
  <r>
    <s v="Primetics CHO"/>
    <s v="PRIME"/>
    <x v="24"/>
    <m/>
    <s v="Annual Progress Maintenance"/>
    <n v="-4660.5"/>
    <d v="2024-07-17T00:00:00"/>
    <d v="2025-07-16T00:00:00"/>
    <n v="364"/>
    <n v="-2522.3035714285716"/>
    <n v="-396.91071428571428"/>
    <n v="-371.30357142857144"/>
    <n v="-396.91071428571428"/>
    <n v="-384.10714285714289"/>
    <n v="-396.91071428571428"/>
    <n v="-384.10714285714289"/>
    <n v="-192.05"/>
    <m/>
    <m/>
    <m/>
    <m/>
    <m/>
    <n v="-2522.3000000000002"/>
    <m/>
    <m/>
    <n v="-3.5714285713766003E-3"/>
  </r>
  <r>
    <s v="Primetics CHO"/>
    <s v="PRIME"/>
    <x v="24"/>
    <s v="INV-209719"/>
    <s v="Annual OA Maintenance"/>
    <n v="-3291.34"/>
    <d v="2024-08-01T00:00:00"/>
    <d v="2025-07-31T00:00:00"/>
    <n v="364"/>
    <n v="-1907.892142857143"/>
    <n v="-280.30642857142863"/>
    <n v="-262.2221428571429"/>
    <n v="-280.30642857142863"/>
    <n v="-271.26428571428573"/>
    <n v="-280.30642857142863"/>
    <n v="-271.26428571428573"/>
    <n v="-262.22000000000003"/>
    <m/>
    <m/>
    <m/>
    <m/>
    <m/>
    <n v="-1907.89"/>
    <m/>
    <m/>
    <n v="-2.1428571428714349E-3"/>
  </r>
  <r>
    <s v="Primetics CHO"/>
    <s v="PRIME"/>
    <x v="24"/>
    <s v="RCT000894"/>
    <s v="Annual OA Maintenance"/>
    <n v="-370.88"/>
    <d v="2024-07-17T00:00:00"/>
    <d v="2025-07-16T00:00:00"/>
    <n v="364"/>
    <n v="-200.72351648351648"/>
    <n v="-31.585934065934065"/>
    <n v="-29.548131868131868"/>
    <n v="-31.585934065934065"/>
    <n v="-30.567032967032969"/>
    <n v="-31.585934065934065"/>
    <n v="-30.567032967032969"/>
    <n v="-15.28"/>
    <m/>
    <m/>
    <m/>
    <m/>
    <m/>
    <n v="-200.72"/>
    <m/>
    <m/>
    <n v="-3.5164835164778196E-3"/>
  </r>
  <r>
    <s v="Primetics CHO"/>
    <s v="PRIME"/>
    <x v="24"/>
    <m/>
    <s v="Annual OA Maintenance"/>
    <n v="-382.01"/>
    <d v="2025-07-17T00:00:00"/>
    <d v="2026-07-16T00:00:00"/>
    <n v="364"/>
    <m/>
    <m/>
    <m/>
    <m/>
    <m/>
    <m/>
    <m/>
    <n v="-14.692692307692308"/>
    <n v="-32.533818681318678"/>
    <n v="-31.48434065934066"/>
    <n v="-32.533818681318678"/>
    <n v="-31.48434065934066"/>
    <n v="-32.533818681318678"/>
    <n v="-175.26282967032967"/>
    <n v="-382.01"/>
    <m/>
    <n v="-206.74717032967033"/>
  </r>
  <r>
    <s v="Primetics CHO"/>
    <s v="PRIME"/>
    <x v="24"/>
    <s v="INV203906"/>
    <s v="Annual OA Maintenance"/>
    <n v="-3390.1"/>
    <d v="2025-08-01T00:00:00"/>
    <d v="2026-07-31T00:00:00"/>
    <n v="364"/>
    <m/>
    <m/>
    <m/>
    <m/>
    <m/>
    <m/>
    <m/>
    <m/>
    <n v="-288.71730769230771"/>
    <n v="-279.40384615384619"/>
    <n v="-288.71730769230771"/>
    <n v="-279.40384615384619"/>
    <n v="-288.71730769230771"/>
    <n v="-1424.9596153846155"/>
    <n v="-3390.1"/>
    <m/>
    <n v="-1965.1403846153844"/>
  </r>
  <r>
    <s v="Primetics CHO"/>
    <s v="PRIME"/>
    <x v="24"/>
    <s v="RCT000927"/>
    <s v="Annual Progress Maintenance"/>
    <n v="-5370.75"/>
    <d v="2025-07-17T00:00:00"/>
    <d v="2026-07-16T00:00:00"/>
    <n v="364"/>
    <m/>
    <m/>
    <m/>
    <m/>
    <m/>
    <m/>
    <m/>
    <n v="-206.56730769230768"/>
    <n v="-457.39903846153845"/>
    <n v="-442.64423076923077"/>
    <n v="-457.39903846153845"/>
    <n v="-442.64423076923077"/>
    <n v="-457.39903846153845"/>
    <n v="-2464.0528846153843"/>
    <n v="-5370.75"/>
    <m/>
    <n v="-2906.6971153846157"/>
  </r>
  <r>
    <s v="Primetics CHO"/>
    <s v="PRIME"/>
    <x v="24"/>
    <m/>
    <s v="Annual OA Maintenance"/>
    <n v="-382.01"/>
    <d v="2025-10-03T00:00:00"/>
    <d v="2026-10-02T00:00:00"/>
    <n v="364"/>
    <m/>
    <m/>
    <m/>
    <m/>
    <m/>
    <m/>
    <m/>
    <m/>
    <m/>
    <m/>
    <n v="-29.385384615384616"/>
    <n v="-31.48434065934066"/>
    <n v="-32.533818681318678"/>
    <n v="-93.403543956043961"/>
    <n v="-382.01"/>
    <m/>
    <n v="-288.60645604395603"/>
  </r>
  <r>
    <s v="Primetics CHO"/>
    <s v="PRIME"/>
    <x v="25"/>
    <s v="INV-202743"/>
    <s v="Annual Open Accounts Maintenance"/>
    <n v="-2848.56"/>
    <d v="2024-03-01T00:00:00"/>
    <d v="2025-02-28T00:00:00"/>
    <n v="364"/>
    <n v="-453.89142857142861"/>
    <n v="-242.59714285714284"/>
    <n v="-211.38"/>
    <m/>
    <m/>
    <m/>
    <m/>
    <m/>
    <m/>
    <m/>
    <m/>
    <m/>
    <m/>
    <n v="-453.97714285714284"/>
    <m/>
    <m/>
    <n v="-4.2857142857678776E-3"/>
  </r>
  <r>
    <s v="Primetics CHO"/>
    <s v="PRIME"/>
    <x v="25"/>
    <s v="RCT000882"/>
    <s v="Annual Progress Maintenance"/>
    <n v="-4932"/>
    <d v="2024-03-01T00:00:00"/>
    <d v="2025-02-28T00:00:00"/>
    <n v="364"/>
    <n v="-785.86813186813197"/>
    <n v="-420.03296703296701"/>
    <n v="-365.84"/>
    <m/>
    <m/>
    <m/>
    <m/>
    <m/>
    <m/>
    <m/>
    <m/>
    <m/>
    <m/>
    <n v="-785.87296703296693"/>
    <m/>
    <m/>
    <n v="4.8351648349580501E-3"/>
  </r>
  <r>
    <s v="Primetics CHO"/>
    <s v="PRIME"/>
    <x v="25"/>
    <s v="INV-205210"/>
    <s v="Annual Open Accounts Maintenance"/>
    <n v="-3089.38"/>
    <d v="2024-03-01T00:00:00"/>
    <d v="2025-02-28T00:00:00"/>
    <n v="364"/>
    <n v="-492.26384615384586"/>
    <n v="-263.10653846153849"/>
    <n v="-229.16"/>
    <m/>
    <m/>
    <m/>
    <m/>
    <m/>
    <m/>
    <m/>
    <m/>
    <m/>
    <m/>
    <n v="-492.26653846153852"/>
    <m/>
    <m/>
    <n v="2.6923076926550493E-3"/>
  </r>
  <r>
    <s v="Primetics CHO"/>
    <s v="PRIME"/>
    <x v="25"/>
    <s v="INV-171453"/>
    <s v="Annual Open Accounts Maintenance"/>
    <n v="-802.74000000000024"/>
    <d v="2024-03-01T00:00:00"/>
    <d v="2025-02-28T00:00:00"/>
    <n v="364"/>
    <n v="-127.90912087912068"/>
    <n v="-68.365219780219803"/>
    <n v="-59.54"/>
    <m/>
    <m/>
    <m/>
    <m/>
    <m/>
    <m/>
    <m/>
    <m/>
    <m/>
    <m/>
    <n v="-127.9052197802198"/>
    <m/>
    <m/>
    <n v="-3.9010989008829711E-3"/>
  </r>
  <r>
    <s v="Primetics CHO"/>
    <s v="PRIME"/>
    <x v="25"/>
    <s v="RCT000915"/>
    <s v="Annual Progress Maintenance"/>
    <n v="-181.5"/>
    <d v="2025-02-09T00:00:00"/>
    <d v="2026-02-08T00:00:00"/>
    <n v="364"/>
    <m/>
    <m/>
    <n v="-9.4739010989010985"/>
    <n v="-15.457417582417582"/>
    <n v="-14.958791208791208"/>
    <n v="-15.457417582417582"/>
    <n v="-14.958791208791208"/>
    <n v="-15.457417582417582"/>
    <n v="-15.457417582417582"/>
    <n v="-14.958791208791208"/>
    <n v="-15.457417582417582"/>
    <n v="-14.958791208791208"/>
    <n v="-15.457417582417582"/>
    <n v="-162.05357142857142"/>
    <n v="-181.5"/>
    <m/>
    <n v="-19.446428571428584"/>
  </r>
  <r>
    <s v="Primetics CHO"/>
    <s v="PRIME"/>
    <x v="25"/>
    <s v="RCT000916"/>
    <s v="Annual Progress Maintenance"/>
    <n v="-5511"/>
    <d v="2025-02-09T00:00:00"/>
    <d v="2026-02-08T00:00:00"/>
    <n v="364"/>
    <m/>
    <m/>
    <m/>
    <n v="-772.14560439560444"/>
    <n v="-454.2032967032967"/>
    <n v="-469.3434065934066"/>
    <n v="-454.2032967032967"/>
    <n v="-469.3434065934066"/>
    <n v="-469.3434065934066"/>
    <n v="-454.2032967032967"/>
    <n v="-469.3434065934066"/>
    <n v="-454.2032967032967"/>
    <n v="-469.3434065934066"/>
    <n v="-4935.6758241758234"/>
    <n v="-5511"/>
    <m/>
    <n v="-575.32417582417656"/>
  </r>
  <r>
    <s v="Primetics CHO"/>
    <s v="PRIME"/>
    <x v="26"/>
    <s v="RCT000891"/>
    <s v="Annual Progress Maintenance"/>
    <n v="-70.5"/>
    <d v="2024-05-27T00:00:00"/>
    <d v="2025-05-26T00:00:00"/>
    <n v="364"/>
    <n v="-28.277472527472526"/>
    <n v="-6.0041208791208796"/>
    <n v="-5.6167582417582418"/>
    <n v="-6.0041208791208796"/>
    <n v="-5.8104395604395602"/>
    <n v="-4.84"/>
    <m/>
    <m/>
    <m/>
    <m/>
    <m/>
    <m/>
    <m/>
    <n v="-28.275439560439562"/>
    <m/>
    <m/>
    <n v="-2.0329670329637395E-3"/>
  </r>
  <r>
    <s v="Primetics CHO"/>
    <s v="PRIME"/>
    <x v="27"/>
    <s v="RCT000898"/>
    <s v="Annual Progress Maintenance"/>
    <n v="-2922.15"/>
    <d v="2024-10-23T00:00:00"/>
    <d v="2025-10-22T00:00:00"/>
    <n v="364"/>
    <n v="-2368.2259615384614"/>
    <n v="-248.86442307692312"/>
    <n v="-232.80865384615387"/>
    <n v="-248.86442307692312"/>
    <n v="-240.83653846153848"/>
    <n v="-248.86442307692312"/>
    <n v="-240.83653846153848"/>
    <n v="-248.86442307692312"/>
    <n v="-248.86442307692312"/>
    <n v="-240.83653846153848"/>
    <n v="-168.59"/>
    <m/>
    <m/>
    <n v="-2368.2303846153854"/>
    <m/>
    <m/>
    <n v="4.423076924013003E-3"/>
  </r>
  <r>
    <s v="Primetics CHO"/>
    <s v="PRIME"/>
    <x v="27"/>
    <s v="INV-216810"/>
    <s v="Annual Progress Maintenance"/>
    <n v="-1234.1500000000001"/>
    <d v="2024-09-17T00:00:00"/>
    <d v="2025-09-16T00:00:00"/>
    <n v="364"/>
    <n v="-878.15230769230777"/>
    <n v="-105.10618131868132"/>
    <n v="-98.325137362637363"/>
    <n v="-105.10618131868132"/>
    <n v="-101.71565934065934"/>
    <n v="-105.10618131868132"/>
    <n v="-101.71565934065934"/>
    <n v="-105.10618131868132"/>
    <n v="-105.10618131868132"/>
    <n v="-50.86"/>
    <m/>
    <m/>
    <m/>
    <n v="-878.14736263736279"/>
    <m/>
    <m/>
    <n v="-4.945054944982985E-3"/>
  </r>
  <r>
    <s v="Primetics CHO"/>
    <s v="PRIME"/>
    <x v="27"/>
    <s v="INV42489"/>
    <s v="Annual Synergex Maintenance"/>
    <n v="-471.89"/>
    <d v="2024-01-12T00:00:00"/>
    <d v="2025-01-11T00:00:00"/>
    <n v="365"/>
    <n v="-14.22134246575331"/>
    <n v="-14.22"/>
    <m/>
    <m/>
    <m/>
    <m/>
    <m/>
    <m/>
    <m/>
    <m/>
    <m/>
    <m/>
    <m/>
    <n v="-14.22"/>
    <m/>
    <m/>
    <n v="-1.3424657533089857E-3"/>
  </r>
  <r>
    <s v="Primetics CHO"/>
    <s v="PRIME"/>
    <x v="27"/>
    <s v="RCT000912"/>
    <s v="Annual Synergex Maintenance"/>
    <n v="-453.23"/>
    <d v="2024-12-01T00:00:00"/>
    <d v="2025-11-30T00:00:00"/>
    <n v="364"/>
    <m/>
    <n v="-77.198516483516485"/>
    <n v="-36.108983516483519"/>
    <n v="-38.599258241758243"/>
    <n v="-37.354120879120885"/>
    <n v="-38.599258241758243"/>
    <n v="-37.354120879120885"/>
    <n v="-38.599258241758243"/>
    <n v="-38.599258241758243"/>
    <n v="-37.354120879120885"/>
    <n v="-38.599258241758243"/>
    <n v="-34.86"/>
    <m/>
    <n v="-453.22615384615392"/>
    <n v="-453.23"/>
    <m/>
    <n v="-3.8461538460978772E-3"/>
  </r>
  <r>
    <s v="Primetics CHO"/>
    <s v="PRIME"/>
    <x v="27"/>
    <s v="INV212023"/>
    <s v="Annual Open Accounts Maintenance"/>
    <n v="-1271.2"/>
    <d v="2025-09-17T00:00:00"/>
    <d v="2026-09-16T00:00:00"/>
    <n v="364"/>
    <m/>
    <m/>
    <m/>
    <m/>
    <m/>
    <m/>
    <m/>
    <m/>
    <m/>
    <n v="-45.4"/>
    <n v="-108.26153846153846"/>
    <n v="-104.76923076923077"/>
    <n v="-108.26153846153846"/>
    <n v="-366.69230769230768"/>
    <n v="-1271.2"/>
    <m/>
    <n v="-904.50769230769242"/>
  </r>
  <r>
    <s v="Primetics CHO"/>
    <s v="PRIME"/>
    <x v="27"/>
    <s v="RCT000936"/>
    <s v="Annual Progress Maintenance"/>
    <n v="-3067.35"/>
    <d v="2025-10-23T00:00:00"/>
    <d v="2026-10-22T00:00:00"/>
    <n v="364"/>
    <m/>
    <m/>
    <m/>
    <m/>
    <m/>
    <m/>
    <m/>
    <m/>
    <m/>
    <m/>
    <n v="-67.414285714285711"/>
    <n v="-252.80357142857142"/>
    <n v="-261.23035714285714"/>
    <n v="-581.44821428571436"/>
    <n v="-3067.35"/>
    <m/>
    <n v="-2485.9017857142853"/>
  </r>
  <r>
    <s v="Primetics CHO"/>
    <s v="PRIME"/>
    <x v="28"/>
    <s v="INV-185269"/>
    <s v="Annual Open Accounts Maintenance"/>
    <n v="-1582.09"/>
    <d v="2024-04-29T00:00:00"/>
    <d v="2025-04-28T00:00:00"/>
    <n v="364"/>
    <n v="-508.52892857142865"/>
    <n v="-134.73843406593406"/>
    <n v="-126.04563186813188"/>
    <n v="-134.73843406593406"/>
    <n v="-113.01"/>
    <m/>
    <m/>
    <m/>
    <m/>
    <m/>
    <m/>
    <m/>
    <m/>
    <n v="-508.53250000000003"/>
    <m/>
    <m/>
    <n v="3.5714285713766003E-3"/>
  </r>
  <r>
    <s v="Primetics CHO"/>
    <s v="PRIME"/>
    <x v="28"/>
    <s v="RCT000885"/>
    <s v="Annual Progress Maintenance"/>
    <n v="-675"/>
    <d v="2024-04-08T00:00:00"/>
    <d v="2025-04-07T00:00:00"/>
    <n v="364"/>
    <n v="-179.87637362637361"/>
    <n v="-57.486263736263737"/>
    <n v="-53.777472527472533"/>
    <n v="-57.486263736263737"/>
    <n v="-11.13"/>
    <m/>
    <m/>
    <m/>
    <m/>
    <m/>
    <m/>
    <m/>
    <m/>
    <n v="-179.88"/>
    <m/>
    <m/>
    <n v="3.6263736263890678E-3"/>
  </r>
  <r>
    <s v="Primetics CHO"/>
    <s v="PRIME"/>
    <x v="28"/>
    <m/>
    <s v="Annual Open Accounts Maintenance"/>
    <n v="-1629.57"/>
    <d v="2025-04-29T00:00:00"/>
    <d v="2026-04-28T00:00:00"/>
    <n v="364"/>
    <m/>
    <m/>
    <m/>
    <m/>
    <n v="-4.4768406593406596"/>
    <n v="-138.78206043956044"/>
    <n v="-134.30521978021977"/>
    <n v="-138.78206043956044"/>
    <n v="-138.78206043956044"/>
    <n v="-134.30521978021977"/>
    <n v="-138.78206043956044"/>
    <n v="-134.30521978021977"/>
    <n v="-138.78206043956044"/>
    <n v="-1101.3028021978023"/>
    <n v="-1629.57"/>
    <m/>
    <n v="-528.26719780219764"/>
  </r>
  <r>
    <s v="Primetics CHO"/>
    <s v="PRIME"/>
    <x v="28"/>
    <s v="RCT000919"/>
    <s v="Annual Progress Maintenance"/>
    <n v="-777.98"/>
    <d v="2025-04-08T00:00:00"/>
    <d v="2026-04-07T00:00:00"/>
    <n v="364"/>
    <m/>
    <m/>
    <m/>
    <m/>
    <n v="-47.020769230769233"/>
    <n v="-66.256538461538469"/>
    <n v="-64.119230769230768"/>
    <n v="-66.256538461538469"/>
    <n v="-66.256538461538469"/>
    <n v="-64.119230769230768"/>
    <n v="-66.256538461538469"/>
    <n v="-64.119230769230768"/>
    <n v="-66.256538461538469"/>
    <n v="-570.66115384615387"/>
    <n v="-777.98"/>
    <m/>
    <n v="-207.31884615384615"/>
  </r>
  <r>
    <s v="Primetics CHO"/>
    <s v="KEY"/>
    <x v="29"/>
    <s v="RCT000901"/>
    <s v="Annual Progress Maintenance"/>
    <n v="-35916.379999999997"/>
    <d v="2024-09-07T00:00:00"/>
    <d v="2025-09-06T00:00:00"/>
    <n v="364"/>
    <n v="-24569.172032967032"/>
    <n v="-3058.8125824175822"/>
    <n v="-2861.4698351648349"/>
    <n v="-3058.8125824175822"/>
    <n v="-2960.1412087912086"/>
    <n v="-3058.8125824175822"/>
    <n v="-2960.1412087912086"/>
    <n v="-3058.8125824175822"/>
    <n v="-3058.8125824175822"/>
    <n v="-493.36"/>
    <m/>
    <m/>
    <m/>
    <n v="-24569.175164835164"/>
    <m/>
    <m/>
    <n v="3.1318681321863551E-3"/>
  </r>
  <r>
    <s v="Primetics CHO"/>
    <s v="KEY"/>
    <x v="29"/>
    <s v="INV-225638"/>
    <s v="Annual Open Accounts Maintenance"/>
    <n v="-8231.68"/>
    <d v="2024-10-01T00:00:00"/>
    <d v="2025-09-30T00:00:00"/>
    <n v="364"/>
    <n v="-6151.1454945054948"/>
    <n v="-701.04967032967033"/>
    <n v="-655.82065934065929"/>
    <n v="-701.04967032967033"/>
    <n v="-678.43516483516487"/>
    <n v="-701.04967032967033"/>
    <n v="-678.43516483516487"/>
    <n v="-701.04967032967033"/>
    <n v="-701.04967032967033"/>
    <n v="-633.21"/>
    <m/>
    <m/>
    <m/>
    <n v="-6151.1493406593409"/>
    <m/>
    <m/>
    <n v="3.8461538460978772E-3"/>
  </r>
  <r>
    <s v="Primetics CHO"/>
    <s v="KEY"/>
    <x v="29"/>
    <s v="RCT000905"/>
    <s v="Annual Progress Maintenance"/>
    <n v="-7882.98"/>
    <d v="2024-12-01T00:00:00"/>
    <d v="2025-11-30T00:00:00"/>
    <n v="364"/>
    <n v="-7211.6273076923071"/>
    <n v="-671.35269230769222"/>
    <n v="-628.03961538461533"/>
    <n v="-671.35269230769222"/>
    <n v="-649.69615384615383"/>
    <n v="-671.35269230769222"/>
    <n v="-649.69615384615383"/>
    <n v="-671.35269230769222"/>
    <n v="-671.35269230769222"/>
    <n v="-649.69615384615383"/>
    <n v="-671.35269230769222"/>
    <n v="-606.38"/>
    <m/>
    <n v="-7211.624230769231"/>
    <m/>
    <m/>
    <n v="-3.076923076150706E-3"/>
  </r>
  <r>
    <s v="Primetics CHO"/>
    <s v="KEY"/>
    <x v="29"/>
    <s v="JP2023114115"/>
    <s v="Atalasoft DotImage Barcoding"/>
    <n v="-639.91999999999996"/>
    <d v="2024-11-01T00:00:00"/>
    <d v="2025-10-31T00:00:00"/>
    <n v="364"/>
    <n v="-532.6806593406593"/>
    <n v="-54.498681318681314"/>
    <n v="-50.982637362637362"/>
    <n v="-54.498681318681314"/>
    <n v="-52.740659340659334"/>
    <n v="-54.498681318681314"/>
    <n v="-52.740659340659334"/>
    <n v="-54.498681318681314"/>
    <n v="-54.498681318681314"/>
    <n v="-52.740659340659334"/>
    <n v="-50.98"/>
    <m/>
    <m/>
    <n v="-532.67802197802189"/>
    <m/>
    <m/>
    <n v="-2.6373626374152082E-3"/>
  </r>
  <r>
    <s v="Primetics CHO"/>
    <s v="KEY"/>
    <x v="29"/>
    <s v="RCT000885"/>
    <s v="Annual Progress Maintenance"/>
    <n v="-178.13"/>
    <d v="2024-04-23T00:00:00"/>
    <d v="2025-04-23T00:00:00"/>
    <n v="365"/>
    <n v="-55.147095890410952"/>
    <n v="-15.128849315068493"/>
    <n v="-14.152794520547944"/>
    <n v="-15.128849315068493"/>
    <n v="-10.74"/>
    <m/>
    <m/>
    <m/>
    <m/>
    <m/>
    <m/>
    <m/>
    <m/>
    <n v="-55.15049315068493"/>
    <m/>
    <m/>
    <n v="3.39726027397802E-3"/>
  </r>
  <r>
    <s v="Primetics CHO"/>
    <s v="KEY"/>
    <x v="29"/>
    <s v="INV182549"/>
    <s v="Annual Open Accounts Maintenance"/>
    <n v="-6390.69"/>
    <d v="2025-05-27T00:00:00"/>
    <d v="2026-05-26T00:00:00"/>
    <n v="364"/>
    <m/>
    <m/>
    <m/>
    <m/>
    <m/>
    <n v="-70.227362637362631"/>
    <n v="-526.70521978021975"/>
    <n v="-544.2620604395604"/>
    <n v="-544.2620604395604"/>
    <n v="-526.70521978021975"/>
    <n v="-544.2620604395604"/>
    <n v="-526.70521978021975"/>
    <n v="-544.2620604395604"/>
    <n v="-3827.3912637362637"/>
    <n v="-6390.69"/>
    <m/>
    <n v="-2563.2987362637359"/>
  </r>
  <r>
    <s v="Primetics CHO"/>
    <s v="KEY"/>
    <x v="29"/>
    <s v="RCT000919"/>
    <s v="Annual Progress Maintenance"/>
    <n v="-222.75"/>
    <d v="2025-04-23T00:00:00"/>
    <d v="2026-04-22T00:00:00"/>
    <n v="364"/>
    <m/>
    <m/>
    <m/>
    <m/>
    <n v="-4.2836538461538467"/>
    <n v="-18.970467032967033"/>
    <n v="-18.358516483516485"/>
    <n v="-18.970467032967033"/>
    <n v="-18.970467032967033"/>
    <n v="-18.358516483516485"/>
    <n v="-18.970467032967033"/>
    <n v="-18.358516483516485"/>
    <n v="-18.970467032967033"/>
    <n v="-154.21153846153848"/>
    <n v="-222.75"/>
    <m/>
    <n v="-68.538461538461519"/>
  </r>
  <r>
    <s v="Primetics CHO"/>
    <s v="KEY"/>
    <x v="29"/>
    <s v="RCT000935"/>
    <s v="Annual Progress Maintenance"/>
    <n v="-37632.379999999997"/>
    <d v="2025-09-07T00:00:00"/>
    <d v="2026-09-06T00:00:00"/>
    <n v="364"/>
    <m/>
    <m/>
    <m/>
    <m/>
    <m/>
    <m/>
    <m/>
    <m/>
    <m/>
    <n v="-2377.8701648351648"/>
    <n v="-3204.9554395604391"/>
    <n v="-3101.5697802197801"/>
    <n v="-3204.9554395604391"/>
    <n v="-11889.350824175825"/>
    <n v="-37632.379999999997"/>
    <m/>
    <n v="-25743.029175824173"/>
  </r>
  <r>
    <s v="Primetics CHO"/>
    <s v="KEY"/>
    <x v="29"/>
    <s v="INV235918"/>
    <s v="Annual Open Accounts Maintenance"/>
    <n v="-8478.67"/>
    <d v="2025-10-01T00:00:00"/>
    <d v="2026-09-30T00:00:00"/>
    <n v="364"/>
    <m/>
    <m/>
    <m/>
    <m/>
    <m/>
    <m/>
    <m/>
    <m/>
    <m/>
    <m/>
    <n v="-722.08453296703294"/>
    <n v="-698.79148351648348"/>
    <n v="-722.08453296703294"/>
    <n v="-2142.9605494505495"/>
    <n v="-8478.67"/>
    <m/>
    <n v="-6335.7094505494506"/>
  </r>
  <r>
    <s v="Primetics CHO"/>
    <s v="KEY"/>
    <x v="29"/>
    <s v="RCT000938"/>
    <s v="Annual Progress Maintenance"/>
    <n v="-7882.98"/>
    <d v="2025-12-01T00:00:00"/>
    <d v="2026-11-30T00:00:00"/>
    <n v="364"/>
    <m/>
    <m/>
    <m/>
    <m/>
    <m/>
    <m/>
    <m/>
    <m/>
    <m/>
    <m/>
    <m/>
    <m/>
    <n v="-671.35269230769222"/>
    <n v="-671.35269230769222"/>
    <n v="-7882.98"/>
    <m/>
    <n v="-7211.6273076923071"/>
  </r>
  <r>
    <s v="Primetics CHO"/>
    <s v="PRIME"/>
    <x v="30"/>
    <s v="RCT000905"/>
    <s v="Annual Progress Maintenance"/>
    <n v="-1415.7"/>
    <d v="2024-11-07T00:00:00"/>
    <d v="2025-11-06T00:00:00"/>
    <n v="364"/>
    <n v="-1205.6785714285716"/>
    <n v="-120.56785714285714"/>
    <n v="-112.78928571428571"/>
    <n v="-120.56785714285714"/>
    <n v="-116.67857142857143"/>
    <n v="-120.56785714285714"/>
    <n v="-116.67857142857143"/>
    <n v="-120.56785714285714"/>
    <n v="-120.56785714285714"/>
    <n v="-116.67857142857143"/>
    <n v="-120.56785714285714"/>
    <n v="-19.45"/>
    <m/>
    <n v="-1205.6821428571429"/>
    <m/>
    <m/>
    <n v="3.5714285713766003E-3"/>
  </r>
  <r>
    <s v="Primetics CHO"/>
    <s v="PRIME"/>
    <x v="30"/>
    <s v="RCT000898"/>
    <s v="Annual Progress Maintenance"/>
    <n v="-432.3"/>
    <d v="2024-10-19T00:00:00"/>
    <d v="2025-10-18T00:00:00"/>
    <n v="364"/>
    <n v="-345.60247252747251"/>
    <n v="-36.816758241758244"/>
    <n v="-34.441483516483515"/>
    <n v="-36.816758241758244"/>
    <n v="-35.629120879120876"/>
    <n v="-36.816758241758244"/>
    <n v="-35.629120879120876"/>
    <n v="-36.816758241758244"/>
    <n v="-36.816758241758244"/>
    <n v="-35.629120879120876"/>
    <n v="-20.190000000000001"/>
    <m/>
    <m/>
    <n v="-345.60263736263732"/>
    <m/>
    <m/>
    <n v="1.648351648100288E-4"/>
  </r>
  <r>
    <s v="Primetics CHO"/>
    <s v="PRIME"/>
    <x v="30"/>
    <s v="INV-236398"/>
    <s v="Annual Open Accounts Maintenance"/>
    <n v="-217.11"/>
    <d v="2024-12-01T00:00:00"/>
    <d v="2025-11-30T00:00:00"/>
    <n v="364"/>
    <n v="-198.62901098901099"/>
    <n v="-18.490137362637363"/>
    <n v="-17.297225274725278"/>
    <n v="-18.490137362637363"/>
    <n v="-17.89368131868132"/>
    <n v="-18.490137362637363"/>
    <n v="-17.89368131868132"/>
    <n v="-18.490137362637363"/>
    <n v="-18.490137362637363"/>
    <n v="-17.89368131868132"/>
    <n v="-18.490137362637363"/>
    <n v="-16.71"/>
    <m/>
    <n v="-198.62909340659343"/>
    <m/>
    <m/>
    <n v="8.241758243343611E-5"/>
  </r>
  <r>
    <s v="Primetics CHO"/>
    <s v="PRIME"/>
    <x v="30"/>
    <s v="RCT000936"/>
    <s v="Annual Progress Maintenance"/>
    <n v="-455.4"/>
    <d v="2025-10-19T00:00:00"/>
    <d v="2026-10-18T00:00:00"/>
    <n v="364"/>
    <m/>
    <m/>
    <m/>
    <m/>
    <m/>
    <m/>
    <m/>
    <m/>
    <m/>
    <m/>
    <n v="-15.013186813186813"/>
    <n v="-37.532967032967036"/>
    <n v="-38.784065934065936"/>
    <n v="-91.330219780219778"/>
    <n v="-455.4"/>
    <m/>
    <n v="-364.06978021978023"/>
  </r>
  <r>
    <s v="Primetics CHO"/>
    <s v="PRIME"/>
    <x v="30"/>
    <s v="INV233369"/>
    <s v="Annual Open Accounts Maintenance"/>
    <n v="-223.68"/>
    <d v="2025-12-01T00:00:00"/>
    <d v="2026-11-30T00:00:00"/>
    <n v="364"/>
    <m/>
    <m/>
    <m/>
    <m/>
    <m/>
    <m/>
    <m/>
    <m/>
    <m/>
    <m/>
    <m/>
    <m/>
    <n v="-19.049670329670331"/>
    <n v="-19.049670329670331"/>
    <n v="-223.68"/>
    <m/>
    <n v="-204.63032967032967"/>
  </r>
  <r>
    <s v="Primetics CHO"/>
    <s v="PRIME"/>
    <x v="30"/>
    <s v="RCT000938"/>
    <s v="Annual Progress Maintenance"/>
    <n v="-1480.88"/>
    <d v="2025-11-07T00:00:00"/>
    <d v="2026-11-06T00:00:00"/>
    <n v="364"/>
    <m/>
    <m/>
    <m/>
    <m/>
    <m/>
    <m/>
    <m/>
    <m/>
    <m/>
    <m/>
    <m/>
    <n v="-93.572087912087923"/>
    <n v="-126.11890109890111"/>
    <n v="-219.69098901098903"/>
    <n v="-1480.88"/>
    <m/>
    <n v="-1261.189010989011"/>
  </r>
  <r>
    <s v="Primetics CHO"/>
    <s v="PRIME"/>
    <x v="31"/>
    <m/>
    <s v="Annual Progress Maintenance"/>
    <n v="-8583.75"/>
    <d v="2024-03-20T00:00:00"/>
    <d v="2025-03-20T00:00:00"/>
    <n v="365"/>
    <n v="-1857.8527397260277"/>
    <n v="-729.03082191780823"/>
    <n v="-681.99657534246569"/>
    <n v="-446.83"/>
    <m/>
    <m/>
    <m/>
    <m/>
    <m/>
    <m/>
    <m/>
    <m/>
    <m/>
    <n v="-1857.857397260274"/>
    <m/>
    <m/>
    <n v="4.657534246234718E-3"/>
  </r>
  <r>
    <s v="Primetics CHO"/>
    <s v="PRIME"/>
    <x v="31"/>
    <s v="INV-184645"/>
    <s v="Annual Open Accounts Maintenance"/>
    <n v="-3487.23"/>
    <d v="2024-04-01T00:00:00"/>
    <d v="2025-03-31T00:00:00"/>
    <n v="364"/>
    <n v="-852.64689560439592"/>
    <n v="-296.9893681318681"/>
    <n v="-277.83"/>
    <n v="-277.83"/>
    <m/>
    <m/>
    <m/>
    <m/>
    <m/>
    <m/>
    <m/>
    <m/>
    <m/>
    <n v="-852.64813186813171"/>
    <m/>
    <m/>
    <n v="1.2362637357909989E-3"/>
  </r>
  <r>
    <s v="Primetics CHO"/>
    <s v="PRIME"/>
    <x v="31"/>
    <s v="RCT000917"/>
    <s v="Annual Progress Maintenance"/>
    <n v="-10749.77"/>
    <d v="2025-03-20T00:00:00"/>
    <d v="2026-03-19T00:00:00"/>
    <n v="364"/>
    <m/>
    <m/>
    <m/>
    <n v="-324.85568681318682"/>
    <n v="-885.97005494505504"/>
    <n v="-915.50239010989014"/>
    <n v="-885.97005494505504"/>
    <n v="-915.50239010989014"/>
    <n v="-915.50239010989014"/>
    <n v="-885.97005494505504"/>
    <n v="-915.50239010989014"/>
    <n v="-885.97005494505504"/>
    <n v="-915.50239010989014"/>
    <n v="-8446.2478571428583"/>
    <n v="-10749.77"/>
    <m/>
    <n v="-2303.5221428571422"/>
  </r>
  <r>
    <s v="Primetics CHO"/>
    <s v="PRIME"/>
    <x v="31"/>
    <s v="INV180690"/>
    <s v="Annual Open Accounts Maintenance"/>
    <n v="-3591.83"/>
    <d v="2025-04-01T00:00:00"/>
    <d v="2026-03-31T00:00:00"/>
    <n v="364"/>
    <m/>
    <m/>
    <m/>
    <m/>
    <n v="-296.02994505494502"/>
    <n v="-305.89760989010989"/>
    <n v="-296.02994505494502"/>
    <n v="-305.89760989010989"/>
    <n v="-305.89760989010989"/>
    <n v="-296.02994505494502"/>
    <n v="-305.89760989010989"/>
    <n v="-296.02994505494502"/>
    <n v="-305.89760989010989"/>
    <n v="-2713.6078296703295"/>
    <n v="-3591.83"/>
    <m/>
    <n v="-878.22217032967046"/>
  </r>
  <r>
    <s v="Primetics CHO"/>
    <s v="PRIME"/>
    <x v="32"/>
    <s v="INV-177636"/>
    <s v="Annual Open Accounts Maintenance"/>
    <n v="-1100.48"/>
    <d v="2024-03-01T00:00:00"/>
    <d v="2025-02-28T00:00:00"/>
    <n v="364"/>
    <n v="-175.35120879120882"/>
    <n v="-93.722197802197798"/>
    <n v="-81.63"/>
    <m/>
    <m/>
    <m/>
    <m/>
    <m/>
    <m/>
    <m/>
    <m/>
    <m/>
    <m/>
    <n v="-175.35219780219779"/>
    <m/>
    <m/>
    <n v="9.8901098897385964E-4"/>
  </r>
  <r>
    <s v="Primetics CHO"/>
    <s v="PRIME"/>
    <x v="32"/>
    <s v="RCT000880"/>
    <s v="Annual Progress Maintenance"/>
    <n v="-765"/>
    <d v="2024-01-23T00:00:00"/>
    <d v="2025-01-22T00:00:00"/>
    <n v="365"/>
    <n v="-46.109589041096115"/>
    <n v="-46.11"/>
    <m/>
    <m/>
    <m/>
    <m/>
    <m/>
    <m/>
    <m/>
    <m/>
    <m/>
    <m/>
    <m/>
    <n v="-46.11"/>
    <m/>
    <m/>
    <n v="4.1095890388476164E-4"/>
  </r>
  <r>
    <s v="Primetics CHO"/>
    <s v="PRIME"/>
    <x v="32"/>
    <s v="RCT000911"/>
    <s v="Annual Progress Maintenance"/>
    <n v="-841.5"/>
    <d v="2025-01-23T00:00:00"/>
    <d v="2026-01-22T00:00:00"/>
    <n v="364"/>
    <m/>
    <n v="-18.494505494505493"/>
    <n v="-67.042582417582409"/>
    <n v="-71.666208791208788"/>
    <n v="-69.354395604395592"/>
    <n v="-71.666208791208788"/>
    <n v="-69.354395604395592"/>
    <n v="-71.666208791208788"/>
    <n v="-71.666208791208788"/>
    <n v="-69.354395604395592"/>
    <n v="-71.666208791208788"/>
    <n v="-69.354395604395592"/>
    <n v="-71.666208791208788"/>
    <n v="-792.95192307692287"/>
    <n v="-841.5"/>
    <m/>
    <n v="-48.548076923077133"/>
  </r>
  <r>
    <s v="Primetics CHO"/>
    <s v="PRIME"/>
    <x v="32"/>
    <s v="INV174359"/>
    <s v="Annual Open Accounts Maintenance"/>
    <n v="-1133.52"/>
    <d v="2025-03-01T00:00:00"/>
    <d v="2026-02-28T00:00:00"/>
    <n v="364"/>
    <m/>
    <m/>
    <m/>
    <n v="-96.536043956043954"/>
    <n v="-93.42197802197802"/>
    <n v="-96.536043956043954"/>
    <n v="-93.42197802197802"/>
    <n v="-96.536043956043954"/>
    <n v="-96.536043956043954"/>
    <n v="-93.42197802197802"/>
    <n v="-96.536043956043954"/>
    <n v="-93.42197802197802"/>
    <n v="-96.536043956043954"/>
    <n v="-952.90417582417581"/>
    <n v="-1133.52"/>
    <m/>
    <n v="-180.61582417582417"/>
  </r>
  <r>
    <s v="Primetics CHO"/>
    <s v="KEY"/>
    <x v="33"/>
    <m/>
    <s v="Annual Progress Maintenance"/>
    <n v="-32968.1"/>
    <d v="2024-03-14T00:00:00"/>
    <d v="2025-03-13T00:00:00"/>
    <n v="364"/>
    <n v="-6521.162637362635"/>
    <n v="-2807.7228021978021"/>
    <n v="-2626.5793956043954"/>
    <n v="-1086.8599999999999"/>
    <m/>
    <m/>
    <m/>
    <m/>
    <m/>
    <m/>
    <m/>
    <m/>
    <m/>
    <n v="-6521.1621978021967"/>
    <m/>
    <m/>
    <n v="-4.3956043828075053E-4"/>
  </r>
  <r>
    <s v="Primetics CHO"/>
    <s v="KEY"/>
    <x v="33"/>
    <s v="INV-184494"/>
    <s v="Annual Open Accounts Maintenance"/>
    <n v="-12745.19"/>
    <d v="2024-04-01T00:00:00"/>
    <d v="2025-03-31T00:00:00"/>
    <n v="364"/>
    <n v="-3116.2689835164838"/>
    <n v="-1085.4420054945056"/>
    <n v="-1015.413489010989"/>
    <n v="-1015.41"/>
    <m/>
    <m/>
    <m/>
    <m/>
    <m/>
    <m/>
    <m/>
    <m/>
    <m/>
    <n v="-3116.2654945054946"/>
    <m/>
    <m/>
    <n v="-3.4890109891421162E-3"/>
  </r>
  <r>
    <s v="Primetics CHO"/>
    <s v="KEY"/>
    <x v="33"/>
    <s v="RCT000917"/>
    <s v="Annual Progress Maintenance"/>
    <n v="-40345.81"/>
    <d v="2025-03-14T00:00:00"/>
    <d v="2026-03-13T00:00:00"/>
    <n v="364"/>
    <m/>
    <m/>
    <m/>
    <n v="-1884.2823351648349"/>
    <n v="-3325.2041208791206"/>
    <n v="-3436.0442582417577"/>
    <n v="-3325.2041208791206"/>
    <n v="-3436.0442582417577"/>
    <n v="-3436.0442582417577"/>
    <n v="-3325.2041208791206"/>
    <n v="-3436.0442582417577"/>
    <n v="-3325.2041208791206"/>
    <n v="-3436.0442582417577"/>
    <n v="-32365.320109890101"/>
    <n v="-40345.81"/>
    <m/>
    <n v="-7980.4898901098968"/>
  </r>
  <r>
    <s v="Primetics CHO"/>
    <s v="KEY"/>
    <x v="33"/>
    <s v="INV179954"/>
    <s v="Annual Open Accounts Maintenance"/>
    <n v="-13127.59"/>
    <d v="2025-04-01T00:00:00"/>
    <d v="2026-03-31T00:00:00"/>
    <n v="364"/>
    <m/>
    <m/>
    <m/>
    <m/>
    <n v="-1081.9442307692309"/>
    <n v="-1118.0090384615385"/>
    <n v="-1081.9442307692309"/>
    <n v="-1118.0090384615385"/>
    <n v="-1118.0090384615385"/>
    <n v="-1081.9442307692309"/>
    <n v="-1118.0090384615385"/>
    <n v="-1081.9442307692309"/>
    <n v="-1118.0090384615385"/>
    <n v="-9917.8221153846152"/>
    <n v="-13127.59"/>
    <m/>
    <n v="-3209.7678846153849"/>
  </r>
  <r>
    <s v="Primetics CHO"/>
    <s v="PRIME"/>
    <x v="34"/>
    <s v="RCT000880"/>
    <s v="Annual Progress Maintenance "/>
    <n v="-2892.79"/>
    <d v="2024-01-18T00:00:00"/>
    <d v="2025-01-17T00:00:00"/>
    <n v="365"/>
    <n v="-134.73268493150681"/>
    <n v="-134.72999999999999"/>
    <m/>
    <m/>
    <m/>
    <m/>
    <m/>
    <m/>
    <m/>
    <m/>
    <m/>
    <m/>
    <m/>
    <n v="-134.72999999999999"/>
    <m/>
    <m/>
    <n v="-2.684931506820476E-3"/>
  </r>
  <r>
    <s v="Primetics CHO"/>
    <s v="PRIME"/>
    <x v="34"/>
    <s v="RCT000899"/>
    <s v="Annual Progress Maintenance "/>
    <n v="-831.6"/>
    <d v="2024-08-28T00:00:00"/>
    <d v="2025-08-27T00:00:00"/>
    <n v="364"/>
    <n v="-548.30769230769238"/>
    <n v="-70.823076923076925"/>
    <n v="-66.253846153846155"/>
    <n v="-70.823076923076925"/>
    <n v="-68.538461538461533"/>
    <n v="-70.823076923076925"/>
    <n v="-68.538461538461533"/>
    <n v="-70.823076923076925"/>
    <n v="-61.68"/>
    <m/>
    <m/>
    <m/>
    <m/>
    <n v="-548.30307692307701"/>
    <m/>
    <m/>
    <n v="-4.6153846153629274E-3"/>
  </r>
  <r>
    <s v="Primetics CHO"/>
    <s v="PRIME"/>
    <x v="34"/>
    <s v="RCT000911"/>
    <s v="Annual Progress Maintenance "/>
    <n v="-2980.99"/>
    <d v="2025-01-18T00:00:00"/>
    <d v="2026-01-17T00:00:00"/>
    <n v="364"/>
    <m/>
    <n v="-106.46392857142857"/>
    <n v="-237.49645604395604"/>
    <n v="-253.87552197802199"/>
    <n v="-245.68598901098903"/>
    <n v="-253.87552197802199"/>
    <n v="-245.68598901098903"/>
    <n v="-253.87552197802199"/>
    <n v="-253.87552197802199"/>
    <n v="-245.68598901098903"/>
    <n v="-253.87552197802199"/>
    <n v="-245.68598901098903"/>
    <n v="-253.87552197802199"/>
    <n v="-2849.9574725274724"/>
    <n v="-2980.99"/>
    <m/>
    <n v="-131.03252747252736"/>
  </r>
  <r>
    <s v="Primetics CHO"/>
    <s v="PRIME"/>
    <x v="34"/>
    <s v="RCT000932"/>
    <s v="Annual Progress Maintenance "/>
    <n v="-874.5"/>
    <d v="2025-08-28T00:00:00"/>
    <d v="2026-08-27T00:00:00"/>
    <n v="364"/>
    <m/>
    <m/>
    <m/>
    <m/>
    <m/>
    <m/>
    <m/>
    <m/>
    <m/>
    <n v="-79.281593406593402"/>
    <n v="-74.47664835164835"/>
    <n v="-72.074175824175825"/>
    <n v="-74.47664835164835"/>
    <n v="-300.30906593406593"/>
    <n v="-874.5"/>
    <m/>
    <n v="-574.19093406593402"/>
  </r>
  <r>
    <s v="Primetics CHO"/>
    <s v="KEY"/>
    <x v="14"/>
    <s v="RCT000888"/>
    <s v="Postcode Assist "/>
    <n v="-3060"/>
    <d v="2024-05-15T00:00:00"/>
    <d v="2025-05-14T00:00:00"/>
    <n v="364"/>
    <n v="-1126.483516483516"/>
    <n v="-260.60439560439562"/>
    <n v="-243.79120879120879"/>
    <n v="-260.60439560439562"/>
    <n v="-252.19780219780222"/>
    <n v="-109.29"/>
    <m/>
    <m/>
    <m/>
    <m/>
    <m/>
    <m/>
    <m/>
    <n v="-1126.4878021978022"/>
    <m/>
    <m/>
    <n v="4.2857142861976172E-3"/>
  </r>
  <r>
    <s v="Primetics CHO"/>
    <s v="KEY"/>
    <x v="14"/>
    <m/>
    <s v="Annual Synergex Maintenance "/>
    <n v="-1236.33"/>
    <d v="2024-11-01T00:00:00"/>
    <d v="2025-10-31T00:00:00"/>
    <n v="364"/>
    <n v="-1029.1428296703295"/>
    <n v="-105.29184065934065"/>
    <n v="-98.498818681318681"/>
    <n v="-105.29184065934065"/>
    <n v="-720.06"/>
    <m/>
    <m/>
    <m/>
    <m/>
    <m/>
    <m/>
    <m/>
    <m/>
    <n v="-1029.1424999999999"/>
    <m/>
    <m/>
    <n v="-3.296703296200576E-4"/>
  </r>
  <r>
    <s v="Primetics CHO"/>
    <s v="KEY"/>
    <x v="14"/>
    <m/>
    <s v="Annual Synergex Maintenance "/>
    <n v="1236.32"/>
    <d v="2024-11-01T00:00:00"/>
    <d v="2025-10-31T00:00:00"/>
    <n v="364"/>
    <m/>
    <m/>
    <m/>
    <n v="516.26549450549453"/>
    <n v="720.05"/>
    <m/>
    <m/>
    <m/>
    <m/>
    <m/>
    <m/>
    <m/>
    <m/>
    <n v="1236.3154945054944"/>
    <n v="1236.32"/>
    <m/>
    <n v="4.5054945055653661E-3"/>
  </r>
  <r>
    <s v="Primetics CHO"/>
    <s v="KEY"/>
    <x v="14"/>
    <s v="RCT000885"/>
    <s v="Annual Progress Maintenance"/>
    <n v="-634.5"/>
    <d v="2024-04-03T00:00:00"/>
    <d v="2025-04-03T00:00:00"/>
    <n v="365"/>
    <n v="-161.66712328767113"/>
    <n v="-53.889041095890413"/>
    <n v="-50.412328767123292"/>
    <n v="-53.889041095890413"/>
    <n v="-3.48"/>
    <m/>
    <m/>
    <m/>
    <m/>
    <m/>
    <m/>
    <m/>
    <m/>
    <n v="-161.67041095890411"/>
    <m/>
    <m/>
    <n v="3.2876712329823476E-3"/>
  </r>
  <r>
    <s v="Primetics CHO"/>
    <s v="KEY"/>
    <x v="14"/>
    <s v="RCT000882"/>
    <s v="Annual Progress Maintenance"/>
    <n v="-561"/>
    <d v="2024-04-03T00:00:00"/>
    <d v="2025-04-03T00:00:00"/>
    <n v="365"/>
    <n v="-142.93972602739723"/>
    <n v="-47.646575342465752"/>
    <n v="-44.57260273972603"/>
    <n v="-47.646575342465752"/>
    <n v="-3.07"/>
    <m/>
    <m/>
    <m/>
    <m/>
    <m/>
    <m/>
    <m/>
    <m/>
    <n v="-142.93575342465752"/>
    <m/>
    <m/>
    <n v="-3.9726027397080088E-3"/>
  </r>
  <r>
    <s v="Primetics CHO"/>
    <s v="KEY"/>
    <x v="14"/>
    <s v="CNR-36356-Z7G027"/>
    <s v="Collections Management "/>
    <n v="-250.2"/>
    <d v="2024-04-23T00:00:00"/>
    <d v="2025-04-23T00:00:00"/>
    <n v="365"/>
    <n v="-77.459178082191784"/>
    <n v="-21.249863013698629"/>
    <n v="-19.878904109589037"/>
    <n v="-21.249863013698629"/>
    <n v="-15.08"/>
    <m/>
    <m/>
    <m/>
    <m/>
    <m/>
    <m/>
    <m/>
    <m/>
    <n v="-77.458630136986301"/>
    <m/>
    <m/>
    <n v="-5.4794520548284709E-4"/>
  </r>
  <r>
    <s v="Primetics CHO"/>
    <s v="KEY"/>
    <x v="14"/>
    <s v="RCT000915"/>
    <s v="Annual Progress Maintenance"/>
    <n v="-644.33000000000004"/>
    <d v="2025-02-23T00:00:00"/>
    <d v="2026-02-22T00:00:00"/>
    <n v="364"/>
    <m/>
    <m/>
    <n v="-8.8506868131868135"/>
    <n v="-54.874258241758241"/>
    <n v="-53.104120879120877"/>
    <n v="-54.874258241758241"/>
    <n v="-53.104120879120877"/>
    <n v="-54.874258241758241"/>
    <n v="-54.874258241758241"/>
    <n v="-53.104120879120877"/>
    <n v="-54.874258241758241"/>
    <n v="-53.104120879120877"/>
    <n v="-54.874258241758241"/>
    <n v="-550.51271978021987"/>
    <n v="-644.33000000000004"/>
    <m/>
    <n v="-93.817280219780173"/>
  </r>
  <r>
    <s v="Primetics CHO"/>
    <s v="KEY"/>
    <x v="14"/>
    <s v="RCT000914"/>
    <s v="Postcode Assist "/>
    <n v="-3060"/>
    <d v="2025-04-24T00:00:00"/>
    <d v="2026-04-23T00:00:00"/>
    <n v="364"/>
    <m/>
    <m/>
    <m/>
    <m/>
    <n v="-50.439560439560438"/>
    <n v="-260.60439560439562"/>
    <n v="-252.19780219780222"/>
    <n v="-260.60439560439562"/>
    <n v="-260.60439560439562"/>
    <n v="-252.19780219780222"/>
    <n v="-260.60439560439562"/>
    <n v="-252.19780219780222"/>
    <n v="-260.60439560439562"/>
    <n v="-2110.0549450549456"/>
    <n v="-3060"/>
    <m/>
    <n v="-949.94505494505438"/>
  </r>
  <r>
    <s v="Primetics CHO"/>
    <s v="KEY"/>
    <x v="14"/>
    <s v="CNR-36356-Z7G0Z8"/>
    <s v="Collections Management "/>
    <n v="-301.25"/>
    <d v="2025-04-23T00:00:00"/>
    <d v="2026-04-22T00:00:00"/>
    <n v="364"/>
    <m/>
    <m/>
    <m/>
    <m/>
    <n v="-5.7932692307692299"/>
    <n v="-25.655906593406591"/>
    <n v="-24.828296703296701"/>
    <n v="-25.655906593406591"/>
    <n v="-25.655906593406591"/>
    <n v="-24.828296703296701"/>
    <n v="-25.655906593406591"/>
    <n v="-24.828296703296701"/>
    <n v="-25.655906593406591"/>
    <m/>
    <m/>
    <m/>
    <m/>
  </r>
  <r>
    <s v="Primetics CHO"/>
    <s v="KEY"/>
    <x v="14"/>
    <s v="RCT000919"/>
    <s v="Annual Progress Maintenance"/>
    <n v="-735.08"/>
    <d v="2025-04-03T00:00:00"/>
    <d v="2026-04-02T00:00:00"/>
    <n v="364"/>
    <m/>
    <m/>
    <m/>
    <m/>
    <n v="-54.525164835164837"/>
    <n v="-62.602967032967037"/>
    <n v="-60.583516483516483"/>
    <n v="-62.602967032967037"/>
    <n v="-62.602967032967037"/>
    <n v="-60.583516483516483"/>
    <n v="-62.602967032967037"/>
    <n v="-60.583516483516483"/>
    <n v="-62.602967032967037"/>
    <n v="-549.29054945054941"/>
    <n v="-735.08"/>
    <m/>
    <n v="-185.78945054945063"/>
  </r>
  <r>
    <s v="Primetics CHO"/>
    <s v="KEY"/>
    <x v="14"/>
    <s v="UK00098476"/>
    <s v="Annual GP Maintenance"/>
    <n v="-57885.77"/>
    <d v="2025-04-23T00:00:00"/>
    <d v="2026-04-22T00:00:00"/>
    <n v="364"/>
    <m/>
    <m/>
    <m/>
    <m/>
    <m/>
    <n v="-6043.0199450549444"/>
    <n v="-4770.8052197802199"/>
    <n v="-4929.8320604395603"/>
    <n v="-4929.8320604395603"/>
    <n v="-4770.8052197802199"/>
    <n v="-4929.8320604395603"/>
    <n v="-4770.8052197802199"/>
    <n v="-4929.8320604395603"/>
    <n v="-40074.763846153844"/>
    <n v="-57885.77"/>
    <m/>
    <n v="-17811.006153846152"/>
  </r>
  <r>
    <s v="Solentra"/>
    <m/>
    <x v="35"/>
    <m/>
    <s v="Annual Progress Maintenance"/>
    <n v="-110917.74"/>
    <d v="2024-04-01T00:00:00"/>
    <d v="2025-03-31T00:00:00"/>
    <n v="364"/>
    <n v="-27119.996868131871"/>
    <n v="-9446.2910439560437"/>
    <n v="-8836.852912087912"/>
    <n v="-8836.85"/>
    <m/>
    <m/>
    <m/>
    <m/>
    <m/>
    <m/>
    <m/>
    <m/>
    <m/>
    <n v="-27119.993956043952"/>
    <m/>
    <m/>
    <n v="-2.9120879189576954E-3"/>
  </r>
  <r>
    <s v="Solentra"/>
    <m/>
    <x v="35"/>
    <s v="RCT000910"/>
    <s v="Annual Corvu Maintenance"/>
    <n v="-7032.2"/>
    <d v="2025-01-06T00:00:00"/>
    <d v="2026-01-05T00:00:00"/>
    <n v="364"/>
    <n v="-7032.2"/>
    <n v="-482.98076923076917"/>
    <n v="-560.2576923076922"/>
    <n v="-598.89615384615377"/>
    <n v="-579.57692307692298"/>
    <n v="-598.89615384615377"/>
    <n v="-579.57692307692298"/>
    <n v="-598.89615384615377"/>
    <n v="-598.89615384615377"/>
    <n v="-579.57692307692298"/>
    <n v="-598.89615384615377"/>
    <n v="-579.57692307692298"/>
    <n v="-598.89615384615377"/>
    <n v="-6954.9230769230744"/>
    <m/>
    <m/>
    <n v="-77.276923076925414"/>
  </r>
  <r>
    <s v="Solentra"/>
    <m/>
    <x v="35"/>
    <s v="RCT000877"/>
    <s v="Annual Corvu Maintenance"/>
    <n v="-6511.29"/>
    <d v="2024-01-06T00:00:00"/>
    <d v="2025-01-05T00:00:00"/>
    <n v="365"/>
    <n v="-89.195753424656687"/>
    <n v="-89.2"/>
    <m/>
    <m/>
    <m/>
    <m/>
    <m/>
    <m/>
    <m/>
    <m/>
    <m/>
    <m/>
    <m/>
    <n v="-89.2"/>
    <m/>
    <m/>
    <n v="4.2465753433162945E-3"/>
  </r>
  <r>
    <s v="Solentra"/>
    <m/>
    <x v="35"/>
    <s v="RCT000917"/>
    <s v="Annual Progress Maintenance"/>
    <n v="-129359.57"/>
    <d v="2025-04-01T00:00:00"/>
    <d v="2026-03-31T00:00:00"/>
    <n v="365"/>
    <m/>
    <m/>
    <m/>
    <m/>
    <n v="-10632.293424657535"/>
    <n v="-10986.703205479453"/>
    <n v="-10632.293424657535"/>
    <n v="-10986.703205479453"/>
    <n v="-10986.703205479453"/>
    <n v="-10632.293424657535"/>
    <n v="-10986.703205479453"/>
    <n v="-10632.293424657535"/>
    <n v="-10986.703205479453"/>
    <n v="-97462.689726027398"/>
    <n v="-129359.57"/>
    <m/>
    <n v="-31896.880273972609"/>
  </r>
  <r>
    <m/>
    <m/>
    <x v="18"/>
    <m/>
    <s v="E B Bradshaw (paid in error as no longer a customer, I have emailed Advanced to request a refund 2/10/24)"/>
    <n v="-278.22000000000003"/>
    <m/>
    <m/>
    <n v="365"/>
    <m/>
    <m/>
    <n v="-278.22000000000003"/>
    <m/>
    <m/>
    <m/>
    <m/>
    <m/>
    <m/>
    <m/>
    <m/>
    <m/>
    <m/>
    <m/>
    <m/>
    <n v="-278.2200000000000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9A5114-A4A4-4060-A483-BC6505A7B27E}" name="PivotTable2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N15" firstHeaderRow="0" firstDataRow="1" firstDataCol="1"/>
  <pivotFields count="24">
    <pivotField showAll="0"/>
    <pivotField axis="axisRow" showAll="0" sortType="ascending">
      <items count="14">
        <item n="North Herts Farmers" x="10"/>
        <item n="Barenbrug" x="1"/>
        <item x="2"/>
        <item n="Dugdale Nutrition" x="3"/>
        <item n="G Williams Seeds" x="5"/>
        <item x="6"/>
        <item x="4"/>
        <item x="7"/>
        <item n="Openfield" x="11"/>
        <item n="Robin Appel" x="12"/>
        <item n="Saxon Agriculture" x="9"/>
        <item n="Scott &amp; Newman" x="8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Sum of Jan-25" fld="10" baseField="0" baseItem="0"/>
    <dataField name="Sum of Feb-25" fld="11" baseField="0" baseItem="0"/>
    <dataField name="Sum of Mar-25" fld="12" baseField="0" baseItem="0"/>
    <dataField name="Sum of Apr-25" fld="13" baseField="0" baseItem="0"/>
    <dataField name="Sum of May-25" fld="14" baseField="0" baseItem="0"/>
    <dataField name="Sum of Jun-25" fld="15" baseField="0" baseItem="0"/>
    <dataField name="Sum of Jul-25" fld="16" baseField="0" baseItem="0"/>
    <dataField name="Sum of Aug-25" fld="17" baseField="0" baseItem="0"/>
    <dataField name="Sum of Sep-25" fld="18" baseField="0" baseItem="0"/>
    <dataField name="Sum of Oct-25" fld="19" baseField="0" baseItem="0"/>
    <dataField name="Sum of Nov-25" fld="20" baseField="0" baseItem="0"/>
    <dataField name="Sum of Dec-25" fld="21" baseField="0" baseItem="0"/>
    <dataField name="Sum of Total Income 2025" fld="22" baseField="0" baseItem="0"/>
  </dataFields>
  <formats count="1">
    <format dxfId="58">
      <pivotArea collapsedLevelsAreSubtotals="1" fieldPosition="0">
        <references count="2">
          <reference field="4294967294" count="1" selected="0">
            <x v="12"/>
          </reference>
          <reference field="1" count="2"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36A052-51EC-474C-97A1-85C118ACC816}" name="PivotTable4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9:N195" firstHeaderRow="0" firstDataRow="1" firstDataCol="1"/>
  <pivotFields count="26">
    <pivotField showAll="0"/>
    <pivotField showAll="0"/>
    <pivotField axis="axisRow" showAll="0" sortType="ascending">
      <items count="38">
        <item x="15"/>
        <item x="16"/>
        <item x="1"/>
        <item x="2"/>
        <item x="3"/>
        <item x="4"/>
        <item x="5"/>
        <item x="6"/>
        <item x="17"/>
        <item m="1" x="36"/>
        <item x="18"/>
        <item x="7"/>
        <item x="19"/>
        <item x="35"/>
        <item x="20"/>
        <item x="21"/>
        <item x="8"/>
        <item x="22"/>
        <item x="23"/>
        <item x="24"/>
        <item x="25"/>
        <item x="9"/>
        <item x="26"/>
        <item x="27"/>
        <item x="10"/>
        <item x="28"/>
        <item x="29"/>
        <item x="11"/>
        <item x="12"/>
        <item x="30"/>
        <item x="31"/>
        <item x="32"/>
        <item x="33"/>
        <item x="34"/>
        <item x="13"/>
        <item x="14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</pivotFields>
  <rowFields count="1">
    <field x="2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Sum of Jan-25" fld="10" baseField="0" baseItem="0"/>
    <dataField name="Sum of Feb-25" fld="11" baseField="0" baseItem="0"/>
    <dataField name="Sum of Mar-25" fld="12" baseField="0" baseItem="0"/>
    <dataField name="Sum of Apr-25" fld="13" baseField="0" baseItem="0"/>
    <dataField name="Sum of May-25" fld="14" baseField="0" baseItem="0"/>
    <dataField name="Sum of Jun-25" fld="15" baseField="0" baseItem="0"/>
    <dataField name="Sum of Jul-25" fld="16" baseField="0" baseItem="0"/>
    <dataField name="Sum of Aug-25" fld="17" baseField="0" baseItem="0"/>
    <dataField name="Sum of Sep-25" fld="18" baseField="0" baseItem="0"/>
    <dataField name="Sum of Oct-25" fld="19" baseField="0" baseItem="0"/>
    <dataField name="Sum of Nov-25" fld="20" baseField="0" baseItem="0"/>
    <dataField name="Sum of Dec-25" fld="21" baseField="0" baseItem="0"/>
    <dataField name="Sum of Total Income 2025" fld="22" baseField="0" baseItem="0"/>
  </dataFields>
  <formats count="6">
    <format dxfId="52">
      <pivotArea collapsedLevelsAreSubtotals="1" fieldPosition="0">
        <references count="1">
          <reference field="2" count="0"/>
        </references>
      </pivotArea>
    </format>
    <format dxfId="53">
      <pivotArea grandRow="1" outline="0" collapsedLevelsAreSubtotals="1" fieldPosition="0"/>
    </format>
    <format dxfId="54">
      <pivotArea collapsedLevelsAreSubtotals="1" fieldPosition="0">
        <references count="1">
          <reference field="2" count="1">
            <x v="13"/>
          </reference>
        </references>
      </pivotArea>
    </format>
    <format dxfId="55">
      <pivotArea dataOnly="0" labelOnly="1" fieldPosition="0">
        <references count="1">
          <reference field="2" count="1">
            <x v="13"/>
          </reference>
        </references>
      </pivotArea>
    </format>
    <format dxfId="56">
      <pivotArea collapsedLevelsAreSubtotals="1" fieldPosition="0">
        <references count="1">
          <reference field="2" count="1">
            <x v="10"/>
          </reference>
        </references>
      </pivotArea>
    </format>
    <format dxfId="57">
      <pivotArea dataOnly="0" labelOnly="1" fieldPosition="0">
        <references count="1">
          <reference field="2" count="1"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FAF121-A098-4B36-AE45-35DA29427A86}" name="PivotTable6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10:AH27" firstHeaderRow="1" firstDataRow="2" firstDataCol="1"/>
  <pivotFields count="15">
    <pivotField showAll="0"/>
    <pivotField showAll="0"/>
    <pivotField axis="axisRow" showAll="0" sortType="ascending">
      <items count="16">
        <item x="11"/>
        <item x="0"/>
        <item x="8"/>
        <item x="14"/>
        <item x="10"/>
        <item x="1"/>
        <item x="13"/>
        <item x="5"/>
        <item x="12"/>
        <item x="2"/>
        <item x="7"/>
        <item x="3"/>
        <item x="6"/>
        <item x="4"/>
        <item x="9"/>
        <item t="default"/>
      </items>
    </pivotField>
    <pivotField showAll="0"/>
    <pivotField showAll="0"/>
    <pivotField numFmtId="43" showAll="0"/>
    <pivotField numFmtId="14" showAll="0"/>
    <pivotField numFmtId="14" showAll="0"/>
    <pivotField axis="axisCol" showAll="0">
      <items count="14">
        <item x="0"/>
        <item x="1"/>
        <item x="2"/>
        <item x="9"/>
        <item x="3"/>
        <item x="4"/>
        <item x="10"/>
        <item x="5"/>
        <item x="11"/>
        <item x="6"/>
        <item x="8"/>
        <item x="7"/>
        <item m="1" x="12"/>
        <item t="default"/>
      </items>
    </pivotField>
    <pivotField showAll="0"/>
    <pivotField showAll="0"/>
    <pivotField showAll="0"/>
    <pivotField showAll="0"/>
    <pivotField numFmtId="43" showAll="0"/>
    <pivotField dataField="1" numFmtId="43" showAll="0"/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2025" fld="14" baseField="0" baseItem="0" numFmtId="43"/>
  </dataFields>
  <formats count="1">
    <format dxfId="5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6701F3-EDE0-4C54-B79D-AC4241BB3251}" name="PivotTable4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O28" firstHeaderRow="1" firstDataRow="2" firstDataCol="1"/>
  <pivotFields count="25">
    <pivotField showAll="0"/>
    <pivotField showAll="0"/>
    <pivotField numFmtId="14" showAll="0"/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3">
        <item x="14"/>
        <item x="17"/>
        <item x="7"/>
        <item x="4"/>
        <item x="18"/>
        <item x="21"/>
        <item x="19"/>
        <item x="0"/>
        <item x="12"/>
        <item x="20"/>
        <item x="13"/>
        <item x="1"/>
        <item x="9"/>
        <item x="10"/>
        <item x="8"/>
        <item x="16"/>
        <item x="5"/>
        <item x="15"/>
        <item x="6"/>
        <item x="2"/>
        <item x="11"/>
        <item x="3"/>
        <item t="default"/>
      </items>
    </pivotField>
  </pivotFields>
  <rowFields count="1">
    <field x="24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3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Balance " fld="11" baseField="24" baseItem="0"/>
  </dataFields>
  <formats count="14">
    <format dxfId="37">
      <pivotArea field="24" grandCol="1" collapsedLevelsAreSubtotals="1" axis="axisRow" fieldPosition="0">
        <references count="1">
          <reference field="24" count="0"/>
        </references>
      </pivotArea>
    </format>
    <format dxfId="38">
      <pivotArea collapsedLevelsAreSubtotals="1" fieldPosition="0">
        <references count="2">
          <reference field="3" count="1" selected="0">
            <x v="11"/>
          </reference>
          <reference field="24" count="3">
            <x v="11"/>
            <x v="12"/>
            <x v="13"/>
          </reference>
        </references>
      </pivotArea>
    </format>
    <format dxfId="39">
      <pivotArea collapsedLevelsAreSubtotals="1" fieldPosition="0">
        <references count="2">
          <reference field="3" count="1" selected="0">
            <x v="10"/>
          </reference>
          <reference field="24" count="3">
            <x v="11"/>
            <x v="12"/>
            <x v="13"/>
          </reference>
        </references>
      </pivotArea>
    </format>
    <format dxfId="40">
      <pivotArea collapsedLevelsAreSubtotals="1" fieldPosition="0">
        <references count="2">
          <reference field="3" count="1" selected="0">
            <x v="10"/>
          </reference>
          <reference field="24" count="3">
            <x v="4"/>
            <x v="5"/>
            <x v="6"/>
          </reference>
        </references>
      </pivotArea>
    </format>
    <format dxfId="41">
      <pivotArea collapsedLevelsAreSubtotals="1" fieldPosition="0">
        <references count="2">
          <reference field="3" count="3" selected="0">
            <x v="6"/>
            <x v="7"/>
            <x v="8"/>
          </reference>
          <reference field="24" count="1">
            <x v="11"/>
          </reference>
        </references>
      </pivotArea>
    </format>
    <format dxfId="42">
      <pivotArea collapsedLevelsAreSubtotals="1" fieldPosition="0">
        <references count="2">
          <reference field="3" count="2" selected="0">
            <x v="6"/>
            <x v="7"/>
          </reference>
          <reference field="24" count="6">
            <x v="16"/>
            <x v="17"/>
            <x v="18"/>
            <x v="19"/>
            <x v="20"/>
            <x v="21"/>
          </reference>
        </references>
      </pivotArea>
    </format>
    <format dxfId="43">
      <pivotArea field="3" grandRow="1" outline="0" collapsedLevelsAreSubtotals="1" axis="axisCol" fieldPosition="0">
        <references count="1">
          <reference field="3" count="3" selected="0">
            <x v="6"/>
            <x v="7"/>
            <x v="8"/>
          </reference>
        </references>
      </pivotArea>
    </format>
    <format dxfId="44">
      <pivotArea collapsedLevelsAreSubtotals="1" fieldPosition="0">
        <references count="2">
          <reference field="3" count="1" selected="0">
            <x v="3"/>
          </reference>
          <reference field="24" count="1">
            <x v="12"/>
          </reference>
        </references>
      </pivotArea>
    </format>
    <format dxfId="45">
      <pivotArea collapsedLevelsAreSubtotals="1" fieldPosition="0">
        <references count="2">
          <reference field="3" count="1" selected="0">
            <x v="2"/>
          </reference>
          <reference field="24" count="1">
            <x v="12"/>
          </reference>
        </references>
      </pivotArea>
    </format>
    <format dxfId="46">
      <pivotArea collapsedLevelsAreSubtotals="1" fieldPosition="0">
        <references count="2">
          <reference field="3" count="3" selected="0">
            <x v="7"/>
            <x v="8"/>
            <x v="9"/>
          </reference>
          <reference field="24" count="1">
            <x v="4"/>
          </reference>
        </references>
      </pivotArea>
    </format>
    <format dxfId="47">
      <pivotArea collapsedLevelsAreSubtotals="1" fieldPosition="0">
        <references count="2">
          <reference field="3" count="1" selected="0">
            <x v="7"/>
          </reference>
          <reference field="24" count="1">
            <x v="6"/>
          </reference>
        </references>
      </pivotArea>
    </format>
    <format dxfId="48">
      <pivotArea collapsedLevelsAreSubtotals="1" fieldPosition="0">
        <references count="2">
          <reference field="3" count="1" selected="0">
            <x v="11"/>
          </reference>
          <reference field="24" count="1">
            <x v="18"/>
          </reference>
        </references>
      </pivotArea>
    </format>
    <format dxfId="49">
      <pivotArea collapsedLevelsAreSubtotals="1" fieldPosition="0">
        <references count="2">
          <reference field="3" count="1" selected="0">
            <x v="8"/>
          </reference>
          <reference field="24" count="1">
            <x v="2"/>
          </reference>
        </references>
      </pivotArea>
    </format>
    <format dxfId="50">
      <pivotArea collapsedLevelsAreSubtotals="1" fieldPosition="0">
        <references count="2">
          <reference field="3" count="2" selected="0">
            <x v="2"/>
            <x v="3"/>
          </reference>
          <reference field="24" count="1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A877C-3561-4A36-B56C-425167B4257A}" name="PivotTable2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3" firstHeaderRow="0" firstDataRow="1" firstDataCol="1"/>
  <pivotFields count="28">
    <pivotField showAll="0"/>
    <pivotField showAll="0"/>
    <pivotField showAll="0"/>
    <pivotField axis="axisRow" showAll="0">
      <items count="23">
        <item n="Adams &amp; Howling" h="1" x="1"/>
        <item x="2"/>
        <item x="3"/>
        <item n="COFCO International" x="5"/>
        <item x="4"/>
        <item x="7"/>
        <item x="6"/>
        <item x="8"/>
        <item n="Fram Farmers" x="10"/>
        <item h="1" x="9"/>
        <item x="11"/>
        <item x="13"/>
        <item x="12"/>
        <item x="16"/>
        <item x="17"/>
        <item x="20"/>
        <item n="Openfield" x="14"/>
        <item n="Robin Appel" x="15"/>
        <item x="18"/>
        <item x="19"/>
        <item x="2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</pivotFields>
  <rowFields count="1">
    <field x="3"/>
  </rowFields>
  <rowItems count="2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Sum of Jan-25" fld="13" baseField="3" baseItem="12"/>
    <dataField name="Sum of Feb-25" fld="14" baseField="0" baseItem="0"/>
    <dataField name="Sum of Mar-25" fld="15" baseField="0" baseItem="0"/>
    <dataField name="Sum of Apr-25" fld="16" baseField="0" baseItem="0"/>
    <dataField name="Sum of May-25" fld="17" baseField="0" baseItem="0"/>
    <dataField name="Sum of Jun-25" fld="18" baseField="0" baseItem="0"/>
    <dataField name="Sum of Jul-25" fld="19" baseField="0" baseItem="0"/>
    <dataField name="Sum of Aug-25" fld="20" baseField="0" baseItem="0"/>
    <dataField name="Sum of Sep-25" fld="21" baseField="0" baseItem="0"/>
    <dataField name="Sum of Oct-25" fld="22" baseField="0" baseItem="0"/>
    <dataField name="Sum of Nov-25" fld="23" baseField="0" baseItem="0"/>
    <dataField name="Sum of Dec-25" fld="24" baseField="0" baseItem="0"/>
    <dataField name="Sum of Total Income 2025" fld="25" baseField="0" baseItem="0"/>
  </dataFields>
  <formats count="1">
    <format dxfId="36">
      <pivotArea field="3" grandRow="1" outline="0" collapsedLevelsAreSubtotals="1" axis="axisRow" fieldPosition="0">
        <references count="1">
          <reference field="429496729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6C5733-F438-484F-8C2B-B6227FBC7D56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N35" firstHeaderRow="0" firstDataRow="1" firstDataCol="1"/>
  <pivotFields count="25">
    <pivotField showAll="0"/>
    <pivotField showAll="0"/>
    <pivotField showAll="0"/>
    <pivotField axis="axisRow" showAll="0" sortType="ascending">
      <items count="36">
        <item x="1"/>
        <item x="2"/>
        <item x="3"/>
        <item m="1" x="34"/>
        <item x="5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</pivotFields>
  <rowFields count="1">
    <field x="3"/>
  </rowFields>
  <rowItems count="34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Sum of Jan-25" fld="10" baseField="0" baseItem="0"/>
    <dataField name="Sum of Feb-25" fld="11" baseField="0" baseItem="0"/>
    <dataField name="Sum of Mar-25" fld="12" baseField="0" baseItem="0"/>
    <dataField name="Sum of Apr-25" fld="13" baseField="0" baseItem="0"/>
    <dataField name="Sum of May-25" fld="14" baseField="0" baseItem="0"/>
    <dataField name="Sum of Jun-25" fld="15" baseField="0" baseItem="0"/>
    <dataField name="Sum of Jul-25" fld="16" baseField="0" baseItem="0"/>
    <dataField name="Sum of Aug-25" fld="17" baseField="0" baseItem="0"/>
    <dataField name="Sum of Sep-25" fld="18" baseField="0" baseItem="0"/>
    <dataField name="Sum of Oct-25" fld="19" baseField="0" baseItem="0"/>
    <dataField name="Sum of Nov-25" fld="20" baseField="0" baseItem="0"/>
    <dataField name="Sum of Dec-25" fld="21" baseField="0" baseItem="0"/>
    <dataField name="Sum of Total Income 2025" fld="22" baseField="0" baseItem="0"/>
  </dataFields>
  <formats count="33">
    <format dxfId="3">
      <pivotArea collapsedLevelsAreSubtotals="1" fieldPosition="0">
        <references count="1">
          <reference field="3" count="0"/>
        </references>
      </pivotArea>
    </format>
    <format dxfId="4">
      <pivotArea grandRow="1" outline="0" collapsedLevelsAreSubtotals="1" fieldPosition="0"/>
    </format>
    <format dxfId="5">
      <pivotArea collapsedLevelsAreSubtotals="1" fieldPosition="0">
        <references count="2">
          <reference field="4294967294" count="1" selected="0">
            <x v="2"/>
          </reference>
          <reference field="3" count="1">
            <x v="33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2"/>
          </reference>
          <reference field="3" count="1">
            <x v="32"/>
          </reference>
        </references>
      </pivotArea>
    </format>
    <format dxfId="7">
      <pivotArea collapsedLevelsAreSubtotals="1" fieldPosition="0">
        <references count="2">
          <reference field="4294967294" count="1" selected="0">
            <x v="2"/>
          </reference>
          <reference field="3" count="1">
            <x v="31"/>
          </reference>
        </references>
      </pivotArea>
    </format>
    <format dxfId="8">
      <pivotArea collapsedLevelsAreSubtotals="1" fieldPosition="0">
        <references count="2">
          <reference field="4294967294" count="1" selected="0">
            <x v="2"/>
          </reference>
          <reference field="3" count="1">
            <x v="30"/>
          </reference>
        </references>
      </pivotArea>
    </format>
    <format dxfId="9">
      <pivotArea collapsedLevelsAreSubtotals="1" fieldPosition="0">
        <references count="2">
          <reference field="4294967294" count="1" selected="0">
            <x v="2"/>
          </reference>
          <reference field="3" count="1">
            <x v="29"/>
          </reference>
        </references>
      </pivotArea>
    </format>
    <format dxfId="10">
      <pivotArea collapsedLevelsAreSubtotals="1" fieldPosition="0">
        <references count="2">
          <reference field="4294967294" count="1" selected="0">
            <x v="2"/>
          </reference>
          <reference field="3" count="1">
            <x v="28"/>
          </reference>
        </references>
      </pivotArea>
    </format>
    <format dxfId="11">
      <pivotArea collapsedLevelsAreSubtotals="1" fieldPosition="0">
        <references count="2">
          <reference field="4294967294" count="1" selected="0">
            <x v="2"/>
          </reference>
          <reference field="3" count="1">
            <x v="27"/>
          </reference>
        </references>
      </pivotArea>
    </format>
    <format dxfId="12">
      <pivotArea collapsedLevelsAreSubtotals="1" fieldPosition="0">
        <references count="2">
          <reference field="4294967294" count="1" selected="0">
            <x v="2"/>
          </reference>
          <reference field="3" count="1">
            <x v="26"/>
          </reference>
        </references>
      </pivotArea>
    </format>
    <format dxfId="13">
      <pivotArea collapsedLevelsAreSubtotals="1" fieldPosition="0">
        <references count="2">
          <reference field="4294967294" count="1" selected="0">
            <x v="2"/>
          </reference>
          <reference field="3" count="1">
            <x v="25"/>
          </reference>
        </references>
      </pivotArea>
    </format>
    <format dxfId="14">
      <pivotArea collapsedLevelsAreSubtotals="1" fieldPosition="0">
        <references count="2">
          <reference field="4294967294" count="1" selected="0">
            <x v="2"/>
          </reference>
          <reference field="3" count="1">
            <x v="24"/>
          </reference>
        </references>
      </pivotArea>
    </format>
    <format dxfId="15">
      <pivotArea collapsedLevelsAreSubtotals="1" fieldPosition="0">
        <references count="2">
          <reference field="4294967294" count="1" selected="0">
            <x v="2"/>
          </reference>
          <reference field="3" count="1">
            <x v="23"/>
          </reference>
        </references>
      </pivotArea>
    </format>
    <format dxfId="16">
      <pivotArea collapsedLevelsAreSubtotals="1" fieldPosition="0">
        <references count="2">
          <reference field="4294967294" count="1" selected="0">
            <x v="2"/>
          </reference>
          <reference field="3" count="1">
            <x v="22"/>
          </reference>
        </references>
      </pivotArea>
    </format>
    <format dxfId="17">
      <pivotArea collapsedLevelsAreSubtotals="1" fieldPosition="0">
        <references count="2">
          <reference field="4294967294" count="1" selected="0">
            <x v="2"/>
          </reference>
          <reference field="3" count="1">
            <x v="21"/>
          </reference>
        </references>
      </pivotArea>
    </format>
    <format dxfId="18">
      <pivotArea collapsedLevelsAreSubtotals="1" fieldPosition="0">
        <references count="2">
          <reference field="4294967294" count="1" selected="0">
            <x v="2"/>
          </reference>
          <reference field="3" count="1">
            <x v="19"/>
          </reference>
        </references>
      </pivotArea>
    </format>
    <format dxfId="19">
      <pivotArea collapsedLevelsAreSubtotals="1" fieldPosition="0">
        <references count="2">
          <reference field="4294967294" count="1" selected="0">
            <x v="2"/>
          </reference>
          <reference field="3" count="1">
            <x v="18"/>
          </reference>
        </references>
      </pivotArea>
    </format>
    <format dxfId="20">
      <pivotArea collapsedLevelsAreSubtotals="1" fieldPosition="0">
        <references count="2">
          <reference field="4294967294" count="1" selected="0">
            <x v="2"/>
          </reference>
          <reference field="3" count="1">
            <x v="17"/>
          </reference>
        </references>
      </pivotArea>
    </format>
    <format dxfId="21">
      <pivotArea collapsedLevelsAreSubtotals="1" fieldPosition="0">
        <references count="2">
          <reference field="4294967294" count="1" selected="0">
            <x v="2"/>
          </reference>
          <reference field="3" count="1">
            <x v="16"/>
          </reference>
        </references>
      </pivotArea>
    </format>
    <format dxfId="22">
      <pivotArea collapsedLevelsAreSubtotals="1" fieldPosition="0">
        <references count="2">
          <reference field="4294967294" count="1" selected="0">
            <x v="2"/>
          </reference>
          <reference field="3" count="1">
            <x v="15"/>
          </reference>
        </references>
      </pivotArea>
    </format>
    <format dxfId="23">
      <pivotArea collapsedLevelsAreSubtotals="1" fieldPosition="0">
        <references count="2">
          <reference field="4294967294" count="1" selected="0">
            <x v="2"/>
          </reference>
          <reference field="3" count="1">
            <x v="14"/>
          </reference>
        </references>
      </pivotArea>
    </format>
    <format dxfId="24">
      <pivotArea collapsedLevelsAreSubtotals="1" fieldPosition="0">
        <references count="2">
          <reference field="4294967294" count="1" selected="0">
            <x v="2"/>
          </reference>
          <reference field="3" count="1">
            <x v="13"/>
          </reference>
        </references>
      </pivotArea>
    </format>
    <format dxfId="25">
      <pivotArea collapsedLevelsAreSubtotals="1" fieldPosition="0">
        <references count="2">
          <reference field="4294967294" count="1" selected="0">
            <x v="2"/>
          </reference>
          <reference field="3" count="1">
            <x v="12"/>
          </reference>
        </references>
      </pivotArea>
    </format>
    <format dxfId="26">
      <pivotArea collapsedLevelsAreSubtotals="1" fieldPosition="0">
        <references count="2">
          <reference field="4294967294" count="1" selected="0">
            <x v="2"/>
          </reference>
          <reference field="3" count="1">
            <x v="11"/>
          </reference>
        </references>
      </pivotArea>
    </format>
    <format dxfId="27">
      <pivotArea collapsedLevelsAreSubtotals="1" fieldPosition="0">
        <references count="2">
          <reference field="4294967294" count="1" selected="0">
            <x v="2"/>
          </reference>
          <reference field="3" count="1">
            <x v="10"/>
          </reference>
        </references>
      </pivotArea>
    </format>
    <format dxfId="28">
      <pivotArea collapsedLevelsAreSubtotals="1" fieldPosition="0">
        <references count="2">
          <reference field="4294967294" count="1" selected="0">
            <x v="2"/>
          </reference>
          <reference field="3" count="1">
            <x v="9"/>
          </reference>
        </references>
      </pivotArea>
    </format>
    <format dxfId="29">
      <pivotArea collapsedLevelsAreSubtotals="1" fieldPosition="0">
        <references count="2">
          <reference field="4294967294" count="1" selected="0">
            <x v="2"/>
          </reference>
          <reference field="3" count="1">
            <x v="8"/>
          </reference>
        </references>
      </pivotArea>
    </format>
    <format dxfId="30">
      <pivotArea collapsedLevelsAreSubtotals="1" fieldPosition="0">
        <references count="2">
          <reference field="4294967294" count="1" selected="0">
            <x v="2"/>
          </reference>
          <reference field="3" count="1">
            <x v="7"/>
          </reference>
        </references>
      </pivotArea>
    </format>
    <format dxfId="31">
      <pivotArea collapsedLevelsAreSubtotals="1" fieldPosition="0">
        <references count="2">
          <reference field="4294967294" count="1" selected="0">
            <x v="2"/>
          </reference>
          <reference field="3" count="1">
            <x v="6"/>
          </reference>
        </references>
      </pivotArea>
    </format>
    <format dxfId="32">
      <pivotArea collapsedLevelsAreSubtotals="1" fieldPosition="0">
        <references count="2">
          <reference field="4294967294" count="1" selected="0">
            <x v="2"/>
          </reference>
          <reference field="3" count="1">
            <x v="5"/>
          </reference>
        </references>
      </pivotArea>
    </format>
    <format dxfId="33">
      <pivotArea collapsedLevelsAreSubtotals="1" fieldPosition="0">
        <references count="2">
          <reference field="4294967294" count="1" selected="0">
            <x v="2"/>
          </reference>
          <reference field="3" count="1">
            <x v="2"/>
          </reference>
        </references>
      </pivotArea>
    </format>
    <format dxfId="34">
      <pivotArea collapsedLevelsAreSubtotals="1" fieldPosition="0">
        <references count="2">
          <reference field="4294967294" count="1" selected="0">
            <x v="2"/>
          </reference>
          <reference field="3" count="1">
            <x v="1"/>
          </reference>
        </references>
      </pivotArea>
    </format>
    <format dxfId="35">
      <pivotArea collapsedLevelsAreSubtotals="1" fieldPosition="0">
        <references count="2">
          <reference field="4294967294" count="1" selected="0">
            <x v="2"/>
          </reference>
          <reference field="3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060423-04AF-49A3-A556-9F12AB9E8B7C}" name="PivotTable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N36" firstHeaderRow="0" firstDataRow="1" firstDataCol="1"/>
  <pivotFields count="27">
    <pivotField showAll="0"/>
    <pivotField showAll="0"/>
    <pivotField showAll="0"/>
    <pivotField showAll="0"/>
    <pivotField axis="axisRow" showAll="0">
      <items count="36">
        <item x="15"/>
        <item x="16"/>
        <item x="1"/>
        <item x="2"/>
        <item x="3"/>
        <item x="4"/>
        <item x="5"/>
        <item x="6"/>
        <item x="17"/>
        <item x="7"/>
        <item x="18"/>
        <item x="34"/>
        <item x="19"/>
        <item x="20"/>
        <item x="8"/>
        <item x="21"/>
        <item x="22"/>
        <item x="23"/>
        <item x="24"/>
        <item x="9"/>
        <item x="25"/>
        <item x="26"/>
        <item x="10"/>
        <item x="27"/>
        <item x="28"/>
        <item x="11"/>
        <item x="12"/>
        <item x="29"/>
        <item x="30"/>
        <item x="31"/>
        <item x="32"/>
        <item x="33"/>
        <item x="13"/>
        <item x="14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</pivotFields>
  <rowFields count="1">
    <field x="4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Sum of Jan-25" fld="12" baseField="0" baseItem="0"/>
    <dataField name="Sum of Feb-25" fld="13" baseField="0" baseItem="0"/>
    <dataField name="Sum of Mar-25" fld="14" baseField="0" baseItem="0"/>
    <dataField name="Sum of Apr-25" fld="15" baseField="0" baseItem="0"/>
    <dataField name="Sum of May-25" fld="16" baseField="0" baseItem="0"/>
    <dataField name="Sum of Jun-25" fld="17" baseField="0" baseItem="0"/>
    <dataField name="Sum of Jul-25" fld="18" baseField="0" baseItem="0"/>
    <dataField name="Sum of Aug-25" fld="19" baseField="0" baseItem="0"/>
    <dataField name="Sum of Sep-25" fld="20" baseField="0" baseItem="0"/>
    <dataField name="Sum of Oct-25" fld="21" baseField="0" baseItem="0"/>
    <dataField name="Sum of Nov-25" fld="22" baseField="0" baseItem="0"/>
    <dataField name="Sum of Dec-25" fld="23" baseField="0" baseItem="0"/>
    <dataField name="Sum of Total Income 2025" fld="24" baseField="0" baseItem="0"/>
  </dataFields>
  <formats count="1">
    <format dxfId="2">
      <pivotArea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569E8-9A68-4FE0-8140-340835BADD4A}">
  <dimension ref="A1:T50"/>
  <sheetViews>
    <sheetView workbookViewId="0">
      <selection activeCell="B11" sqref="B11"/>
    </sheetView>
  </sheetViews>
  <sheetFormatPr defaultRowHeight="14.45"/>
  <cols>
    <col min="1" max="1" width="31.7109375" bestFit="1" customWidth="1"/>
    <col min="2" max="2" width="13.140625" bestFit="1" customWidth="1"/>
    <col min="3" max="3" width="11.42578125" bestFit="1" customWidth="1"/>
    <col min="4" max="4" width="12.28515625" bestFit="1" customWidth="1"/>
    <col min="5" max="5" width="17.85546875" bestFit="1" customWidth="1"/>
    <col min="6" max="6" width="0" hidden="1" customWidth="1"/>
    <col min="7" max="7" width="21" bestFit="1" customWidth="1"/>
    <col min="8" max="8" width="21" customWidth="1"/>
    <col min="10" max="10" width="25.7109375" bestFit="1" customWidth="1"/>
    <col min="11" max="11" width="19.42578125" bestFit="1" customWidth="1"/>
    <col min="12" max="12" width="13.140625" bestFit="1" customWidth="1"/>
    <col min="13" max="13" width="17.85546875" bestFit="1" customWidth="1"/>
    <col min="14" max="14" width="15.140625" bestFit="1" customWidth="1"/>
    <col min="15" max="15" width="21" bestFit="1" customWidth="1"/>
    <col min="18" max="18" width="11.42578125" bestFit="1" customWidth="1"/>
    <col min="20" max="20" width="13.140625" bestFit="1" customWidth="1"/>
  </cols>
  <sheetData>
    <row r="1" spans="1:20">
      <c r="A1" t="s">
        <v>0</v>
      </c>
      <c r="J1" t="s">
        <v>1</v>
      </c>
    </row>
    <row r="2" spans="1:20">
      <c r="J2" s="6"/>
      <c r="K2" s="6"/>
      <c r="N2" s="6"/>
    </row>
    <row r="3" spans="1:20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G3" s="6" t="s">
        <v>7</v>
      </c>
      <c r="H3" s="6"/>
      <c r="J3" s="6" t="s">
        <v>3</v>
      </c>
      <c r="K3" s="6" t="s">
        <v>4</v>
      </c>
      <c r="L3" s="6" t="s">
        <v>5</v>
      </c>
      <c r="M3" s="6" t="s">
        <v>6</v>
      </c>
      <c r="O3" s="6" t="s">
        <v>8</v>
      </c>
      <c r="R3" t="s">
        <v>9</v>
      </c>
      <c r="T3" t="s">
        <v>10</v>
      </c>
    </row>
    <row r="4" spans="1:20">
      <c r="A4" s="1" t="s">
        <v>11</v>
      </c>
      <c r="B4" s="3">
        <f>IFERROR(VLOOKUP(A4,'Annual Maintenance'!$A$1:$G$41,7,FALSE),0)+(21531*12)</f>
        <v>1916081.5278846156</v>
      </c>
      <c r="C4" s="3">
        <f>IFERROR(VLOOKUP(A4,#REF!,14,FALSE),0)</f>
        <v>0</v>
      </c>
      <c r="D4" s="3">
        <f>IFERROR(VLOOKUP(A4,#REF!,14,FALSE),0)</f>
        <v>0</v>
      </c>
      <c r="E4" s="3">
        <f>IFERROR(VLOOKUP(A4,'IFRS15 Licenses'!$U$12:$AH$28,14,FALSE),0)</f>
        <v>0</v>
      </c>
      <c r="G4" s="2">
        <f t="shared" ref="G4:G44" si="0">SUM(B4:F4)</f>
        <v>1916081.5278846156</v>
      </c>
      <c r="H4" s="41">
        <f t="shared" ref="H4:H44" si="1">G4/$G$46</f>
        <v>0.36294089965070209</v>
      </c>
      <c r="J4" s="3">
        <f>IFERROR(VLOOKUP(A4,'Annual Maintenance'!$A$1:$N$41,14,FALSE),0)</f>
        <v>2189263.4019520199</v>
      </c>
      <c r="K4" s="3">
        <f>IFERROR(VLOOKUP(A4,#REF!,14,FALSE),0)</f>
        <v>0</v>
      </c>
      <c r="L4" s="3">
        <f>IFERROR(VLOOKUP(A4,#REF!,14,FALSE),0)</f>
        <v>0</v>
      </c>
      <c r="M4" s="3">
        <f>IFERROR(VLOOKUP(A4,'IFRS15 Licenses'!#REF!,14,FALSE),0)</f>
        <v>0</v>
      </c>
      <c r="N4" s="3"/>
      <c r="O4" s="3">
        <f t="shared" ref="O4:O44" si="2">SUM(J4:N4)</f>
        <v>2189263.4019520199</v>
      </c>
      <c r="R4" s="3">
        <f>IFERROR(VLOOKUP(A4,#REF!,14,FALSE),0)</f>
        <v>0</v>
      </c>
      <c r="T4" s="2">
        <f t="shared" ref="T4:T43" si="3">O4+R4</f>
        <v>2189263.4019520199</v>
      </c>
    </row>
    <row r="5" spans="1:20">
      <c r="A5" s="1" t="s">
        <v>12</v>
      </c>
      <c r="B5" s="3">
        <f>IFERROR(VLOOKUP(A5,'Annual Maintenance'!$A$1:$G$41,7,FALSE),0)</f>
        <v>829534.83402557287</v>
      </c>
      <c r="C5" s="3">
        <f>IFERROR(VLOOKUP(A5,#REF!,14,FALSE),0)</f>
        <v>0</v>
      </c>
      <c r="D5" s="3">
        <f>IFERROR(VLOOKUP(A5,#REF!,14,FALSE),0)</f>
        <v>0</v>
      </c>
      <c r="E5" s="3">
        <f>IFERROR(VLOOKUP(A5,'IFRS15 Licenses'!$U$12:$AH$28,14,FALSE),0)</f>
        <v>0</v>
      </c>
      <c r="G5" s="2">
        <f t="shared" si="0"/>
        <v>829534.83402557287</v>
      </c>
      <c r="H5" s="41">
        <f t="shared" si="1"/>
        <v>0.15712907544452226</v>
      </c>
      <c r="J5" s="3">
        <f>IFERROR(VLOOKUP(A5,'Annual Maintenance'!$A$1:$N$41,14,FALSE),0)</f>
        <v>1095797.5214858234</v>
      </c>
      <c r="K5" s="3">
        <f>IFERROR(VLOOKUP(A5,#REF!,14,FALSE),0)</f>
        <v>0</v>
      </c>
      <c r="L5" s="3">
        <f>IFERROR(VLOOKUP(A5,#REF!,14,FALSE),0)</f>
        <v>0</v>
      </c>
      <c r="M5" s="3">
        <f>IFERROR(VLOOKUP(A5,'IFRS15 Licenses'!#REF!,14,FALSE),0)</f>
        <v>0</v>
      </c>
      <c r="N5" s="3"/>
      <c r="O5" s="3">
        <f t="shared" si="2"/>
        <v>1095797.5214858234</v>
      </c>
      <c r="R5" s="3">
        <f>IFERROR(VLOOKUP(A5,#REF!,14,FALSE),0)</f>
        <v>0</v>
      </c>
      <c r="T5" s="2">
        <f t="shared" si="3"/>
        <v>1095797.5214858234</v>
      </c>
    </row>
    <row r="6" spans="1:20">
      <c r="A6" s="1" t="s">
        <v>13</v>
      </c>
      <c r="B6" s="3">
        <f>IFERROR(VLOOKUP(A6,'Annual Maintenance'!$A$1:$G$41,7,FALSE),0)</f>
        <v>469478.42491497338</v>
      </c>
      <c r="C6" s="3">
        <f>IFERROR(VLOOKUP(A6,#REF!,14,FALSE),0)</f>
        <v>0</v>
      </c>
      <c r="D6" s="3">
        <f>IFERROR(VLOOKUP(A6,#REF!,14,FALSE),0)</f>
        <v>0</v>
      </c>
      <c r="E6" s="3">
        <f>IFERROR(VLOOKUP(A6,'IFRS15 Licenses'!$U$12:$AH$28,14,FALSE),0)</f>
        <v>8232.630000000001</v>
      </c>
      <c r="G6" s="2">
        <f t="shared" si="0"/>
        <v>477711.05491497339</v>
      </c>
      <c r="H6" s="41">
        <f t="shared" si="1"/>
        <v>9.0487214411665268E-2</v>
      </c>
      <c r="J6" s="3">
        <f>IFERROR(VLOOKUP(A6,'Annual Maintenance'!$A$1:$N$41,14,FALSE),0)</f>
        <v>619973.7795720963</v>
      </c>
      <c r="K6" s="3">
        <f>IFERROR(VLOOKUP(A6,#REF!,14,FALSE),0)</f>
        <v>0</v>
      </c>
      <c r="L6" s="3">
        <f>IFERROR(VLOOKUP(A6,#REF!,14,FALSE),0)</f>
        <v>0</v>
      </c>
      <c r="M6" s="3">
        <f>IFERROR(VLOOKUP(A6,'IFRS15 Licenses'!#REF!,14,FALSE),0)</f>
        <v>0</v>
      </c>
      <c r="N6" s="3"/>
      <c r="O6" s="3">
        <f t="shared" si="2"/>
        <v>619973.7795720963</v>
      </c>
      <c r="R6" s="3">
        <f>IFERROR(VLOOKUP(A6,#REF!,14,FALSE),0)</f>
        <v>0</v>
      </c>
      <c r="T6" s="2">
        <f t="shared" si="3"/>
        <v>619973.7795720963</v>
      </c>
    </row>
    <row r="7" spans="1:20">
      <c r="A7" s="1" t="s">
        <v>14</v>
      </c>
      <c r="B7" s="3">
        <f>IFERROR(VLOOKUP(A7,'Annual Maintenance'!$A$1:$G$41,7,FALSE),0)</f>
        <v>319982.67766925524</v>
      </c>
      <c r="C7" s="3">
        <f>IFERROR(VLOOKUP(A7,#REF!,14,FALSE),0)</f>
        <v>0</v>
      </c>
      <c r="D7" s="3">
        <f>IFERROR(VLOOKUP(A7,#REF!,14,FALSE),0)</f>
        <v>0</v>
      </c>
      <c r="E7" s="3">
        <f>IFERROR(VLOOKUP(A7,'IFRS15 Licenses'!$U$12:$AH$28,14,FALSE),0)</f>
        <v>22700.004000000001</v>
      </c>
      <c r="G7" s="2">
        <f t="shared" si="0"/>
        <v>342682.68166925525</v>
      </c>
      <c r="H7" s="41">
        <f t="shared" si="1"/>
        <v>6.4910369924115419E-2</v>
      </c>
      <c r="J7" s="3">
        <f>IFERROR(VLOOKUP(A7,'Annual Maintenance'!$A$1:$N$41,14,FALSE),0)</f>
        <v>422658.15722514834</v>
      </c>
      <c r="K7" s="3">
        <f>IFERROR(VLOOKUP(A7,#REF!,14,FALSE),0)</f>
        <v>0</v>
      </c>
      <c r="L7" s="3">
        <f>IFERROR(VLOOKUP(A7,#REF!,14,FALSE),0)</f>
        <v>0</v>
      </c>
      <c r="M7" s="3">
        <f>IFERROR(VLOOKUP(A7,'IFRS15 Licenses'!#REF!,14,FALSE),0)</f>
        <v>0</v>
      </c>
      <c r="N7" s="3"/>
      <c r="O7" s="3">
        <f t="shared" si="2"/>
        <v>422658.15722514834</v>
      </c>
      <c r="R7" s="3">
        <f>IFERROR(VLOOKUP(A7,#REF!,14,FALSE),0)</f>
        <v>0</v>
      </c>
      <c r="T7" s="2">
        <f t="shared" si="3"/>
        <v>422658.15722514834</v>
      </c>
    </row>
    <row r="8" spans="1:20">
      <c r="A8" s="1" t="s">
        <v>15</v>
      </c>
      <c r="B8" s="3">
        <f>IFERROR(VLOOKUP(A8,'Annual Maintenance'!$A$1:$G$41,7,FALSE),0)</f>
        <v>168704.17124222236</v>
      </c>
      <c r="C8" s="3">
        <f>IFERROR(VLOOKUP(A8,#REF!,14,FALSE),0)</f>
        <v>0</v>
      </c>
      <c r="D8" s="3">
        <f>IFERROR(VLOOKUP(A8,#REF!,14,FALSE),0)</f>
        <v>0</v>
      </c>
      <c r="E8" s="3">
        <f>IFERROR(VLOOKUP(A8,'IFRS15 Licenses'!$U$12:$AH$28,14,FALSE),0)</f>
        <v>307.3</v>
      </c>
      <c r="G8" s="2">
        <f t="shared" si="0"/>
        <v>169011.47124222235</v>
      </c>
      <c r="H8" s="41">
        <f t="shared" si="1"/>
        <v>3.2013865031965828E-2</v>
      </c>
      <c r="J8" s="3">
        <f>IFERROR(VLOOKUP(A8,'Annual Maintenance'!$A$1:$N$41,14,FALSE),0)</f>
        <v>222784.74836754083</v>
      </c>
      <c r="K8" s="3">
        <f>IFERROR(VLOOKUP(A8,#REF!,14,FALSE),0)</f>
        <v>0</v>
      </c>
      <c r="L8" s="3">
        <f>IFERROR(VLOOKUP(A8,#REF!,14,FALSE),0)</f>
        <v>0</v>
      </c>
      <c r="M8" s="3">
        <f>IFERROR(VLOOKUP(A8,'IFRS15 Licenses'!#REF!,14,FALSE),0)</f>
        <v>0</v>
      </c>
      <c r="N8" s="3"/>
      <c r="O8" s="3">
        <f t="shared" si="2"/>
        <v>222784.74836754083</v>
      </c>
      <c r="R8" s="3">
        <f>IFERROR(VLOOKUP(A8,#REF!,14,FALSE),0)</f>
        <v>0</v>
      </c>
      <c r="T8" s="2">
        <f t="shared" si="3"/>
        <v>222784.74836754083</v>
      </c>
    </row>
    <row r="9" spans="1:20">
      <c r="A9" s="1" t="s">
        <v>16</v>
      </c>
      <c r="B9" s="3">
        <f>IFERROR(VLOOKUP(A9,'Annual Maintenance'!$A$1:$G$41,7,FALSE),0)</f>
        <v>191809.89802197804</v>
      </c>
      <c r="C9" s="3">
        <f>IFERROR(VLOOKUP(A9,#REF!,14,FALSE),0)</f>
        <v>0</v>
      </c>
      <c r="D9" s="3">
        <f>IFERROR(VLOOKUP(A9,#REF!,14,FALSE),0)</f>
        <v>0</v>
      </c>
      <c r="E9" s="3">
        <f>IFERROR(VLOOKUP(A9,'IFRS15 Licenses'!$U$12:$AH$28,14,FALSE),0)</f>
        <v>0</v>
      </c>
      <c r="G9" s="2">
        <f t="shared" si="0"/>
        <v>191809.89802197804</v>
      </c>
      <c r="H9" s="41">
        <f t="shared" si="1"/>
        <v>3.6332304203601881E-2</v>
      </c>
      <c r="J9" s="3">
        <f>IFERROR(VLOOKUP(A9,'Annual Maintenance'!$A$1:$N$41,14,FALSE),0)</f>
        <v>253302.61651236453</v>
      </c>
      <c r="K9" s="3">
        <f>IFERROR(VLOOKUP(A9,#REF!,14,FALSE),0)</f>
        <v>0</v>
      </c>
      <c r="L9" s="3">
        <f>IFERROR(VLOOKUP(A9,#REF!,14,FALSE),0)</f>
        <v>0</v>
      </c>
      <c r="M9" s="3">
        <f>IFERROR(VLOOKUP(A9,'IFRS15 Licenses'!#REF!,14,FALSE),0)</f>
        <v>0</v>
      </c>
      <c r="N9" s="3"/>
      <c r="O9" s="3">
        <f t="shared" si="2"/>
        <v>253302.61651236453</v>
      </c>
      <c r="R9" s="3">
        <f>IFERROR(VLOOKUP(A9,#REF!,14,FALSE),0)</f>
        <v>0</v>
      </c>
      <c r="T9" s="2">
        <f t="shared" si="3"/>
        <v>253302.61651236453</v>
      </c>
    </row>
    <row r="10" spans="1:20">
      <c r="A10" s="1" t="s">
        <v>17</v>
      </c>
      <c r="B10" s="3">
        <f>IFERROR(VLOOKUP(A10,'Annual Maintenance'!$A$1:$G$41,7,FALSE),0)</f>
        <v>133642.20794824327</v>
      </c>
      <c r="C10" s="3">
        <f>IFERROR(VLOOKUP(A10,#REF!,14,FALSE),0)</f>
        <v>0</v>
      </c>
      <c r="D10" s="3">
        <f>IFERROR(VLOOKUP(A10,#REF!,14,FALSE),0)</f>
        <v>0</v>
      </c>
      <c r="E10" s="3">
        <f>IFERROR(VLOOKUP(A10,'IFRS15 Licenses'!$U$12:$AH$28,14,FALSE),0)</f>
        <v>11917</v>
      </c>
      <c r="G10" s="2">
        <f t="shared" si="0"/>
        <v>145559.20794824327</v>
      </c>
      <c r="H10" s="41">
        <f t="shared" si="1"/>
        <v>2.757157726138278E-2</v>
      </c>
      <c r="J10" s="3">
        <f>IFERROR(VLOOKUP(A10,'Annual Maintenance'!$A$1:$N$41,14,FALSE),0)</f>
        <v>176676.86849899407</v>
      </c>
      <c r="K10" s="3">
        <f>IFERROR(VLOOKUP(A10,#REF!,14,FALSE),0)</f>
        <v>0</v>
      </c>
      <c r="L10" s="3">
        <f>IFERROR(VLOOKUP(A10,#REF!,14,FALSE),0)</f>
        <v>0</v>
      </c>
      <c r="M10" s="3">
        <f>IFERROR(VLOOKUP(A10,'IFRS15 Licenses'!#REF!,14,FALSE),0)</f>
        <v>0</v>
      </c>
      <c r="N10" s="3"/>
      <c r="O10" s="3">
        <f t="shared" si="2"/>
        <v>176676.86849899407</v>
      </c>
      <c r="R10" s="3">
        <f>IFERROR(VLOOKUP(A10,#REF!,14,FALSE),0)</f>
        <v>0</v>
      </c>
      <c r="T10" s="2">
        <f t="shared" si="3"/>
        <v>176676.86849899407</v>
      </c>
    </row>
    <row r="11" spans="1:20">
      <c r="A11" s="1" t="s">
        <v>18</v>
      </c>
      <c r="B11" s="3">
        <f>IFERROR(VLOOKUP(A11,'Annual Maintenance'!$A$1:$G$41,7,FALSE),0)</f>
        <v>55553.323026135287</v>
      </c>
      <c r="C11" s="3">
        <f>IFERROR(VLOOKUP(A11,#REF!,14,FALSE),0)</f>
        <v>0</v>
      </c>
      <c r="D11" s="3">
        <f>IFERROR(VLOOKUP(A11,#REF!,14,FALSE),0)</f>
        <v>0</v>
      </c>
      <c r="E11" s="3">
        <f>IFERROR(VLOOKUP(A11,'IFRS15 Licenses'!$U$12:$AH$28,14,FALSE),0)</f>
        <v>0</v>
      </c>
      <c r="G11" s="2">
        <f t="shared" si="0"/>
        <v>55553.323026135287</v>
      </c>
      <c r="H11" s="41">
        <f t="shared" si="1"/>
        <v>1.0522815832346866E-2</v>
      </c>
      <c r="J11" s="3">
        <f>IFERROR(VLOOKUP(A11,'Annual Maintenance'!$A$1:$N$41,14,FALSE),0)</f>
        <v>73384.077411200269</v>
      </c>
      <c r="K11" s="3">
        <f>IFERROR(VLOOKUP(A11,#REF!,14,FALSE),0)</f>
        <v>0</v>
      </c>
      <c r="L11" s="3">
        <f>IFERROR(VLOOKUP(A11,#REF!,14,FALSE),0)</f>
        <v>0</v>
      </c>
      <c r="M11" s="3">
        <f>IFERROR(VLOOKUP(A11,'IFRS15 Licenses'!#REF!,14,FALSE),0)</f>
        <v>0</v>
      </c>
      <c r="N11" s="3"/>
      <c r="O11" s="3">
        <f t="shared" si="2"/>
        <v>73384.077411200269</v>
      </c>
      <c r="R11" s="3">
        <f>IFERROR(VLOOKUP(A11,#REF!,14,FALSE),0)</f>
        <v>0</v>
      </c>
      <c r="T11" s="2">
        <f t="shared" si="3"/>
        <v>73384.077411200269</v>
      </c>
    </row>
    <row r="12" spans="1:20">
      <c r="A12" s="1" t="s">
        <v>19</v>
      </c>
      <c r="B12" s="3">
        <f>IFERROR(VLOOKUP(A12,'Annual Maintenance'!$A$1:$G$41,7,FALSE),0)</f>
        <v>94530.098266178291</v>
      </c>
      <c r="C12" s="3">
        <f>IFERROR(VLOOKUP(A12,#REF!,14,FALSE),0)</f>
        <v>0</v>
      </c>
      <c r="D12" s="3">
        <f>IFERROR(VLOOKUP(A12,#REF!,14,FALSE),0)</f>
        <v>0</v>
      </c>
      <c r="E12" s="3">
        <f>IFERROR(VLOOKUP(A12,'IFRS15 Licenses'!$U$12:$AH$28,14,FALSE),0)</f>
        <v>0</v>
      </c>
      <c r="G12" s="2">
        <f t="shared" si="0"/>
        <v>94530.098266178291</v>
      </c>
      <c r="H12" s="41">
        <f t="shared" si="1"/>
        <v>1.7905730215286575E-2</v>
      </c>
      <c r="J12" s="3">
        <f>IFERROR(VLOOKUP(A12,'Annual Maintenance'!$A$1:$N$41,14,FALSE),0)</f>
        <v>124842.01595427151</v>
      </c>
      <c r="K12" s="3">
        <f>IFERROR(VLOOKUP(A12,#REF!,14,FALSE),0)</f>
        <v>0</v>
      </c>
      <c r="L12" s="3">
        <f>IFERROR(VLOOKUP(A12,#REF!,14,FALSE),0)</f>
        <v>0</v>
      </c>
      <c r="M12" s="3">
        <f>IFERROR(VLOOKUP(A12,'IFRS15 Licenses'!#REF!,14,FALSE),0)</f>
        <v>0</v>
      </c>
      <c r="N12" s="3"/>
      <c r="O12" s="3">
        <f t="shared" si="2"/>
        <v>124842.01595427151</v>
      </c>
      <c r="R12" s="3">
        <f>IFERROR(VLOOKUP(A12,#REF!,14,FALSE),0)</f>
        <v>0</v>
      </c>
      <c r="T12" s="2">
        <f t="shared" si="3"/>
        <v>124842.01595427151</v>
      </c>
    </row>
    <row r="13" spans="1:20">
      <c r="A13" s="1" t="s">
        <v>20</v>
      </c>
      <c r="B13" s="3">
        <f>IFERROR(VLOOKUP(A13,'Annual Maintenance'!$A$1:$G$41,7,FALSE),0)</f>
        <v>86882.936743940998</v>
      </c>
      <c r="C13" s="3">
        <f>IFERROR(VLOOKUP(A13,#REF!,14,FALSE),0)</f>
        <v>0</v>
      </c>
      <c r="D13" s="3">
        <f>IFERROR(VLOOKUP(A13,#REF!,14,FALSE),0)</f>
        <v>0</v>
      </c>
      <c r="E13" s="3">
        <f>IFERROR(VLOOKUP(A13,'IFRS15 Licenses'!$U$12:$AH$28,14,FALSE),0)</f>
        <v>0</v>
      </c>
      <c r="F13" s="3">
        <f>IFERROR(VLOOKUP(#REF!,'IFRS15 Licenses'!$U$12:$AH$25,14,FALSE),0)</f>
        <v>0</v>
      </c>
      <c r="G13" s="2">
        <f t="shared" si="0"/>
        <v>86882.936743940998</v>
      </c>
      <c r="H13" s="41">
        <f t="shared" si="1"/>
        <v>1.6457217903955438E-2</v>
      </c>
      <c r="J13" s="3">
        <f>IFERROR(VLOOKUP(A13,'Annual Maintenance'!$A$1:$N$41,14,FALSE),0)</f>
        <v>114783.73083625709</v>
      </c>
      <c r="K13" s="3">
        <f>IFERROR(VLOOKUP(A13,#REF!,14,FALSE),0)</f>
        <v>0</v>
      </c>
      <c r="L13" s="3">
        <f>IFERROR(VLOOKUP(A13,#REF!,14,FALSE),0)</f>
        <v>0</v>
      </c>
      <c r="M13" s="3">
        <f>IFERROR(VLOOKUP(A13,'IFRS15 Licenses'!#REF!,14,FALSE),0)</f>
        <v>0</v>
      </c>
      <c r="N13" s="3"/>
      <c r="O13" s="3">
        <f t="shared" si="2"/>
        <v>114783.73083625709</v>
      </c>
      <c r="R13" s="3">
        <f>IFERROR(VLOOKUP(A13,#REF!,14,FALSE),0)</f>
        <v>0</v>
      </c>
      <c r="T13" s="2">
        <f t="shared" si="3"/>
        <v>114783.73083625709</v>
      </c>
    </row>
    <row r="14" spans="1:20">
      <c r="A14" s="1" t="s">
        <v>21</v>
      </c>
      <c r="B14" s="3">
        <f>IFERROR(VLOOKUP(A14,'Annual Maintenance'!$A$1:$G$41,7,FALSE),0)</f>
        <v>98202.426773698433</v>
      </c>
      <c r="C14" s="3">
        <f>IFERROR(VLOOKUP(A14,#REF!,14,FALSE),0)</f>
        <v>0</v>
      </c>
      <c r="D14" s="3">
        <f>IFERROR(VLOOKUP(A14,#REF!,14,FALSE),0)</f>
        <v>0</v>
      </c>
      <c r="E14" s="3">
        <f>IFERROR(VLOOKUP(A14,'IFRS15 Licenses'!$U$12:$AH$28,14,FALSE),0)</f>
        <v>350</v>
      </c>
      <c r="G14" s="2">
        <f t="shared" si="0"/>
        <v>98552.426773698433</v>
      </c>
      <c r="H14" s="41">
        <f t="shared" si="1"/>
        <v>1.866763283057964E-2</v>
      </c>
      <c r="J14" s="3">
        <f>IFERROR(VLOOKUP(A14,'Annual Maintenance'!$A$1:$N$41,14,FALSE),0)</f>
        <v>129721.69099754715</v>
      </c>
      <c r="K14" s="3">
        <f>IFERROR(VLOOKUP(A14,#REF!,14,FALSE),0)</f>
        <v>0</v>
      </c>
      <c r="L14" s="3">
        <f>IFERROR(VLOOKUP(A14,#REF!,14,FALSE),0)</f>
        <v>0</v>
      </c>
      <c r="M14" s="3">
        <f>IFERROR(VLOOKUP(A14,'IFRS15 Licenses'!#REF!,14,FALSE),0)</f>
        <v>0</v>
      </c>
      <c r="N14" s="3"/>
      <c r="O14" s="3">
        <f t="shared" si="2"/>
        <v>129721.69099754715</v>
      </c>
      <c r="R14" s="3">
        <f>IFERROR(VLOOKUP(A14,#REF!,14,FALSE),0)</f>
        <v>0</v>
      </c>
      <c r="T14" s="2">
        <f t="shared" si="3"/>
        <v>129721.69099754715</v>
      </c>
    </row>
    <row r="15" spans="1:20">
      <c r="A15" s="1" t="s">
        <v>22</v>
      </c>
      <c r="B15" s="3">
        <f>IFERROR(VLOOKUP(A15,'Annual Maintenance'!$A$1:$G$41,7,FALSE),0)</f>
        <v>62095.212320863924</v>
      </c>
      <c r="C15" s="3">
        <f>IFERROR(VLOOKUP(A15,#REF!,14,FALSE),0)</f>
        <v>0</v>
      </c>
      <c r="D15" s="3">
        <f>IFERROR(VLOOKUP(A15,#REF!,14,FALSE),0)</f>
        <v>0</v>
      </c>
      <c r="E15" s="3">
        <f>IFERROR(VLOOKUP(A15,'IFRS15 Licenses'!$U$12:$AH$28,14,FALSE),0)</f>
        <v>5751.1660000000002</v>
      </c>
      <c r="G15" s="2">
        <f t="shared" si="0"/>
        <v>67846.378320863922</v>
      </c>
      <c r="H15" s="41">
        <f t="shared" si="1"/>
        <v>1.2851345429440979E-2</v>
      </c>
      <c r="J15" s="3">
        <f>IFERROR(VLOOKUP(A15,'Annual Maintenance'!$A$1:$N$41,14,FALSE),0)</f>
        <v>82024.537568399974</v>
      </c>
      <c r="K15" s="3">
        <f>IFERROR(VLOOKUP(A15,#REF!,14,FALSE),0)</f>
        <v>0</v>
      </c>
      <c r="L15" s="3">
        <f>IFERROR(VLOOKUP(A15,#REF!,14,FALSE),0)</f>
        <v>0</v>
      </c>
      <c r="M15" s="3">
        <f>IFERROR(VLOOKUP(A15,'IFRS15 Licenses'!#REF!,14,FALSE),0)</f>
        <v>0</v>
      </c>
      <c r="N15" s="3"/>
      <c r="O15" s="3">
        <f t="shared" si="2"/>
        <v>82024.537568399974</v>
      </c>
      <c r="R15" s="3">
        <f>IFERROR(VLOOKUP(A15,#REF!,14,FALSE),0)</f>
        <v>0</v>
      </c>
      <c r="T15" s="2">
        <f t="shared" si="3"/>
        <v>82024.537568399974</v>
      </c>
    </row>
    <row r="16" spans="1:20">
      <c r="A16" s="1" t="s">
        <v>23</v>
      </c>
      <c r="B16" s="3">
        <f>IFERROR(VLOOKUP(A16,'Annual Maintenance'!$A$1:$G$41,7,FALSE),0)</f>
        <v>92092.844492699078</v>
      </c>
      <c r="C16" s="3">
        <f>IFERROR(VLOOKUP(A16,#REF!,14,FALSE),0)</f>
        <v>0</v>
      </c>
      <c r="D16" s="3">
        <f>IFERROR(VLOOKUP(A16,#REF!,14,FALSE),0)</f>
        <v>0</v>
      </c>
      <c r="E16" s="3">
        <f>IFERROR(VLOOKUP(A16,'IFRS15 Licenses'!$U$12:$AH$28,14,FALSE),0)</f>
        <v>522.20000000000005</v>
      </c>
      <c r="G16" s="2">
        <f t="shared" si="0"/>
        <v>92615.044492699075</v>
      </c>
      <c r="H16" s="41">
        <f t="shared" si="1"/>
        <v>1.754298399112493E-2</v>
      </c>
      <c r="J16" s="3">
        <f>IFERROR(VLOOKUP(A16,'Annual Maintenance'!$A$1:$N$41,14,FALSE),0)</f>
        <v>121654.51907411928</v>
      </c>
      <c r="K16" s="3">
        <f>IFERROR(VLOOKUP(A16,#REF!,14,FALSE),0)</f>
        <v>0</v>
      </c>
      <c r="L16" s="3">
        <f>IFERROR(VLOOKUP(A16,#REF!,14,FALSE),0)</f>
        <v>0</v>
      </c>
      <c r="M16" s="3">
        <f>IFERROR(VLOOKUP(A16,'IFRS15 Licenses'!#REF!,14,FALSE),0)</f>
        <v>0</v>
      </c>
      <c r="N16" s="3"/>
      <c r="O16" s="3">
        <f t="shared" si="2"/>
        <v>121654.51907411928</v>
      </c>
      <c r="R16" s="3">
        <f>IFERROR(VLOOKUP(A16,#REF!,14,FALSE),0)</f>
        <v>0</v>
      </c>
      <c r="T16" s="2">
        <f t="shared" si="3"/>
        <v>121654.51907411928</v>
      </c>
    </row>
    <row r="17" spans="1:20">
      <c r="A17" s="1" t="s">
        <v>24</v>
      </c>
      <c r="B17" s="3">
        <f>IFERROR(VLOOKUP(A17,'Annual Maintenance'!$A$1:$G$41,7,FALSE),0)</f>
        <v>82017.101433768927</v>
      </c>
      <c r="C17" s="3">
        <f>IFERROR(VLOOKUP(A17,#REF!,14,FALSE),0)</f>
        <v>0</v>
      </c>
      <c r="D17" s="3">
        <f>IFERROR(VLOOKUP(A17,#REF!,14,FALSE),0)</f>
        <v>0</v>
      </c>
      <c r="E17" s="3">
        <f>IFERROR(VLOOKUP(A17,'IFRS15 Licenses'!$U$12:$AH$28,14,FALSE),0)</f>
        <v>1000</v>
      </c>
      <c r="G17" s="2">
        <f t="shared" si="0"/>
        <v>83017.101433768927</v>
      </c>
      <c r="H17" s="41">
        <f t="shared" si="1"/>
        <v>1.5724957963573719E-2</v>
      </c>
      <c r="J17" s="3">
        <f>IFERROR(VLOOKUP(A17,'Annual Maintenance'!$A$1:$N$41,14,FALSE),0)</f>
        <v>108214.25648456317</v>
      </c>
      <c r="K17" s="3">
        <f>IFERROR(VLOOKUP(A17,#REF!,14,FALSE),0)</f>
        <v>0</v>
      </c>
      <c r="L17" s="3">
        <f>IFERROR(VLOOKUP(A17,#REF!,14,FALSE),0)</f>
        <v>0</v>
      </c>
      <c r="M17" s="3">
        <f>IFERROR(VLOOKUP(A17,'IFRS15 Licenses'!#REF!,14,FALSE),0)</f>
        <v>0</v>
      </c>
      <c r="N17" s="3"/>
      <c r="O17" s="3">
        <f t="shared" si="2"/>
        <v>108214.25648456317</v>
      </c>
      <c r="R17" s="3">
        <f>IFERROR(VLOOKUP(A17,#REF!,14,FALSE),0)</f>
        <v>0</v>
      </c>
      <c r="T17" s="2">
        <f t="shared" si="3"/>
        <v>108214.25648456317</v>
      </c>
    </row>
    <row r="18" spans="1:20">
      <c r="A18" s="1" t="s">
        <v>25</v>
      </c>
      <c r="B18" s="3">
        <f>IFERROR(VLOOKUP(A18,'Annual Maintenance'!$A$1:$G$41,7,FALSE),0)</f>
        <v>73052.512582417607</v>
      </c>
      <c r="C18" s="3">
        <f>IFERROR(VLOOKUP(A18,#REF!,14,FALSE),0)</f>
        <v>0</v>
      </c>
      <c r="D18" s="3">
        <f>IFERROR(VLOOKUP(A18,#REF!,14,FALSE),0)</f>
        <v>0</v>
      </c>
      <c r="E18" s="3">
        <f>IFERROR(VLOOKUP(A18,'IFRS15 Licenses'!$U$12:$AH$28,14,FALSE),0)</f>
        <v>0</v>
      </c>
      <c r="G18" s="2">
        <f t="shared" si="0"/>
        <v>73052.512582417607</v>
      </c>
      <c r="H18" s="41">
        <f t="shared" si="1"/>
        <v>1.3837482514472376E-2</v>
      </c>
      <c r="J18" s="3">
        <f>IFERROR(VLOOKUP(A18,'Annual Maintenance'!$A$1:$N$41,14,FALSE),0)</f>
        <v>96486.21162787269</v>
      </c>
      <c r="K18" s="3">
        <f>IFERROR(VLOOKUP(A18,#REF!,14,FALSE),0)</f>
        <v>0</v>
      </c>
      <c r="L18" s="3">
        <f>IFERROR(VLOOKUP(A18,#REF!,14,FALSE),0)</f>
        <v>0</v>
      </c>
      <c r="M18" s="3">
        <f>IFERROR(VLOOKUP(A18,'IFRS15 Licenses'!#REF!,14,FALSE),0)</f>
        <v>0</v>
      </c>
      <c r="N18" s="3"/>
      <c r="O18" s="3">
        <f t="shared" si="2"/>
        <v>96486.21162787269</v>
      </c>
      <c r="R18" s="3">
        <f>IFERROR(VLOOKUP(A18,#REF!,14,FALSE),0)</f>
        <v>0</v>
      </c>
      <c r="T18" s="2">
        <f t="shared" si="3"/>
        <v>96486.21162787269</v>
      </c>
    </row>
    <row r="19" spans="1:20">
      <c r="A19" s="1" t="s">
        <v>26</v>
      </c>
      <c r="B19" s="3">
        <f>IFERROR(VLOOKUP(A19,'Annual Maintenance'!$A$1:$G$41,7,FALSE),0)</f>
        <v>29460.291373626373</v>
      </c>
      <c r="C19" s="3">
        <f>IFERROR(VLOOKUP(A19,#REF!,14,FALSE),0)</f>
        <v>0</v>
      </c>
      <c r="D19" s="3">
        <f>IFERROR(VLOOKUP(A19,#REF!,14,FALSE),0)</f>
        <v>0</v>
      </c>
      <c r="E19" s="3">
        <f>IFERROR(VLOOKUP(A19,'IFRS15 Licenses'!$U$12:$AH$28,14,FALSE),0)</f>
        <v>8139</v>
      </c>
      <c r="G19" s="2">
        <f t="shared" si="0"/>
        <v>37599.291373626373</v>
      </c>
      <c r="H19" s="41">
        <f t="shared" si="1"/>
        <v>7.1219937350153325E-3</v>
      </c>
      <c r="J19" s="3">
        <f>IFERROR(VLOOKUP(A19,'Annual Maintenance'!$A$1:$N$41,14,FALSE),0)</f>
        <v>38924.123608239854</v>
      </c>
      <c r="K19" s="3">
        <f>IFERROR(VLOOKUP(A19,#REF!,14,FALSE),0)</f>
        <v>0</v>
      </c>
      <c r="L19" s="3">
        <f>IFERROR(VLOOKUP(A19,#REF!,14,FALSE),0)</f>
        <v>0</v>
      </c>
      <c r="M19" s="3">
        <f>IFERROR(VLOOKUP(A19,'IFRS15 Licenses'!#REF!,14,FALSE),0)</f>
        <v>0</v>
      </c>
      <c r="N19" s="3"/>
      <c r="O19" s="3">
        <f t="shared" si="2"/>
        <v>38924.123608239854</v>
      </c>
      <c r="R19" s="3">
        <f>IFERROR(VLOOKUP(A19,#REF!,14,FALSE),0)</f>
        <v>0</v>
      </c>
      <c r="T19" s="2">
        <f t="shared" si="3"/>
        <v>38924.123608239854</v>
      </c>
    </row>
    <row r="20" spans="1:20">
      <c r="A20" s="1" t="s">
        <v>27</v>
      </c>
      <c r="B20" s="3">
        <f>IFERROR(VLOOKUP(A20,'Annual Maintenance'!$A$1:$G$41,7,FALSE),0)</f>
        <v>59091.869999999988</v>
      </c>
      <c r="C20" s="3">
        <f>IFERROR(VLOOKUP(A20,#REF!,14,FALSE),0)</f>
        <v>0</v>
      </c>
      <c r="D20" s="3">
        <f>IFERROR(VLOOKUP(A20,#REF!,14,FALSE),0)</f>
        <v>0</v>
      </c>
      <c r="E20" s="3">
        <f>IFERROR(VLOOKUP(A20,'IFRS15 Licenses'!$U$12:$AH$28,14,FALSE),0)</f>
        <v>3153.2</v>
      </c>
      <c r="G20" s="2">
        <f t="shared" si="0"/>
        <v>62245.069999999985</v>
      </c>
      <c r="H20" s="41">
        <f t="shared" si="1"/>
        <v>1.1790355147133042E-2</v>
      </c>
      <c r="J20" s="3">
        <f>IFERROR(VLOOKUP(A20,'Annual Maintenance'!$A$1:$N$41,14,FALSE),0)</f>
        <v>78042.148611864919</v>
      </c>
      <c r="K20" s="3">
        <f>IFERROR(VLOOKUP(A20,#REF!,14,FALSE),0)</f>
        <v>0</v>
      </c>
      <c r="L20" s="3">
        <f>IFERROR(VLOOKUP(A20,#REF!,14,FALSE),0)</f>
        <v>0</v>
      </c>
      <c r="M20" s="3">
        <f>IFERROR(VLOOKUP(A20,'IFRS15 Licenses'!#REF!,14,FALSE),0)</f>
        <v>0</v>
      </c>
      <c r="N20" s="3"/>
      <c r="O20" s="3">
        <f t="shared" si="2"/>
        <v>78042.148611864919</v>
      </c>
      <c r="R20" s="3">
        <f>IFERROR(VLOOKUP(A20,#REF!,14,FALSE),0)</f>
        <v>0</v>
      </c>
      <c r="T20" s="2">
        <f t="shared" si="3"/>
        <v>78042.148611864919</v>
      </c>
    </row>
    <row r="21" spans="1:20">
      <c r="A21" s="1" t="s">
        <v>28</v>
      </c>
      <c r="B21" s="3">
        <f>IFERROR(VLOOKUP(A21,'Annual Maintenance'!$A$1:$G$41,7,FALSE),0)</f>
        <v>64354.470417083285</v>
      </c>
      <c r="C21" s="3">
        <f>IFERROR(VLOOKUP(A21,#REF!,14,FALSE),0)</f>
        <v>0</v>
      </c>
      <c r="D21" s="3">
        <f>IFERROR(VLOOKUP(A21,#REF!,14,FALSE),0)</f>
        <v>0</v>
      </c>
      <c r="E21" s="3">
        <f>IFERROR(VLOOKUP(A21,'IFRS15 Licenses'!$U$12:$AH$28,14,FALSE),0)</f>
        <v>450</v>
      </c>
      <c r="G21" s="2">
        <f t="shared" si="0"/>
        <v>64804.470417083285</v>
      </c>
      <c r="H21" s="41">
        <f t="shared" si="1"/>
        <v>1.2275152415111576E-2</v>
      </c>
      <c r="J21" s="3">
        <f>IFERROR(VLOOKUP(A21,'Annual Maintenance'!$A$1:$N$41,14,FALSE),0)</f>
        <v>85005.465831635607</v>
      </c>
      <c r="K21" s="3">
        <f>IFERROR(VLOOKUP(A21,#REF!,14,FALSE),0)</f>
        <v>0</v>
      </c>
      <c r="L21" s="3">
        <f>IFERROR(VLOOKUP(A21,#REF!,14,FALSE),0)</f>
        <v>0</v>
      </c>
      <c r="M21" s="3">
        <f>IFERROR(VLOOKUP(A21,'IFRS15 Licenses'!#REF!,14,FALSE),0)</f>
        <v>0</v>
      </c>
      <c r="N21" s="3"/>
      <c r="O21" s="3">
        <f t="shared" si="2"/>
        <v>85005.465831635607</v>
      </c>
      <c r="R21" s="3">
        <f>IFERROR(VLOOKUP(A21,#REF!,14,FALSE),0)</f>
        <v>0</v>
      </c>
      <c r="T21" s="2">
        <f t="shared" si="3"/>
        <v>85005.465831635607</v>
      </c>
    </row>
    <row r="22" spans="1:20">
      <c r="A22" s="1" t="s">
        <v>29</v>
      </c>
      <c r="B22" s="3">
        <f>IFERROR(VLOOKUP(A22,'Annual Maintenance'!$A$1:$G$41,7,FALSE),0)</f>
        <v>62529.61587912088</v>
      </c>
      <c r="C22" s="3">
        <f>IFERROR(VLOOKUP(A22,#REF!,14,FALSE),0)</f>
        <v>0</v>
      </c>
      <c r="D22" s="3">
        <f>IFERROR(VLOOKUP(A22,#REF!,14,FALSE),0)</f>
        <v>0</v>
      </c>
      <c r="E22" s="3">
        <f>IFERROR(VLOOKUP(A22,'IFRS15 Licenses'!$U$12:$AH$28,14,FALSE),0)</f>
        <v>0</v>
      </c>
      <c r="G22" s="2">
        <f t="shared" si="0"/>
        <v>62529.61587912088</v>
      </c>
      <c r="H22" s="41">
        <f t="shared" si="1"/>
        <v>1.1844253342933748E-2</v>
      </c>
      <c r="J22" s="3">
        <f>IFERROR(VLOOKUP(A22,'Annual Maintenance'!$A$1:$N$41,14,FALSE),0)</f>
        <v>82579.986478165942</v>
      </c>
      <c r="K22" s="3">
        <f>IFERROR(VLOOKUP(A22,#REF!,14,FALSE),0)</f>
        <v>0</v>
      </c>
      <c r="L22" s="3">
        <f>IFERROR(VLOOKUP(A22,#REF!,14,FALSE),0)</f>
        <v>0</v>
      </c>
      <c r="M22" s="3">
        <f>IFERROR(VLOOKUP(A22,'IFRS15 Licenses'!#REF!,14,FALSE),0)</f>
        <v>0</v>
      </c>
      <c r="N22" s="3"/>
      <c r="O22" s="3">
        <f t="shared" si="2"/>
        <v>82579.986478165942</v>
      </c>
      <c r="R22" s="3">
        <f>IFERROR(VLOOKUP(A22,#REF!,14,FALSE),0)</f>
        <v>0</v>
      </c>
      <c r="T22" s="2">
        <f t="shared" si="3"/>
        <v>82579.986478165942</v>
      </c>
    </row>
    <row r="23" spans="1:20">
      <c r="A23" s="1" t="s">
        <v>30</v>
      </c>
      <c r="B23" s="3">
        <f>IFERROR(VLOOKUP(A23,'Annual Maintenance'!$A$1:$G$41,7,FALSE),0)</f>
        <v>49718.130097210473</v>
      </c>
      <c r="C23" s="3">
        <f>IFERROR(VLOOKUP(A23,#REF!,14,FALSE),0)</f>
        <v>0</v>
      </c>
      <c r="D23" s="3">
        <f>IFERROR(VLOOKUP(A23,#REF!,14,FALSE),0)</f>
        <v>0</v>
      </c>
      <c r="E23" s="3">
        <f>IFERROR(VLOOKUP(A23,'IFRS15 Licenses'!$U$12:$AH$28,14,FALSE),0)</f>
        <v>0</v>
      </c>
      <c r="G23" s="2">
        <f t="shared" si="0"/>
        <v>49718.130097210473</v>
      </c>
      <c r="H23" s="41">
        <f t="shared" si="1"/>
        <v>9.4175235259190155E-3</v>
      </c>
      <c r="J23" s="3">
        <f>IFERROR(VLOOKUP(A23,'Annual Maintenance'!$A$1:$N$41,14,FALSE),0)</f>
        <v>65674.384039030105</v>
      </c>
      <c r="K23" s="3">
        <f>IFERROR(VLOOKUP(A23,#REF!,14,FALSE),0)</f>
        <v>0</v>
      </c>
      <c r="L23" s="3">
        <f>IFERROR(VLOOKUP(A23,#REF!,14,FALSE),0)</f>
        <v>0</v>
      </c>
      <c r="M23" s="3">
        <f>IFERROR(VLOOKUP(A23,'IFRS15 Licenses'!#REF!,14,FALSE),0)</f>
        <v>0</v>
      </c>
      <c r="N23" s="3"/>
      <c r="O23" s="3">
        <f t="shared" si="2"/>
        <v>65674.384039030105</v>
      </c>
      <c r="R23" s="3">
        <f>IFERROR(VLOOKUP(A23,#REF!,14,FALSE),0)</f>
        <v>0</v>
      </c>
      <c r="T23" s="2">
        <f t="shared" si="3"/>
        <v>65674.384039030105</v>
      </c>
    </row>
    <row r="24" spans="1:20">
      <c r="A24" s="1" t="s">
        <v>31</v>
      </c>
      <c r="B24" s="3">
        <f>IFERROR(VLOOKUP(A24,'Annual Maintenance'!$A$1:$G$41,7,FALSE),0)</f>
        <v>24683.532527472526</v>
      </c>
      <c r="C24" s="3">
        <f>IFERROR(VLOOKUP(A24,#REF!,14,FALSE),0)</f>
        <v>0</v>
      </c>
      <c r="D24" s="3">
        <f>IFERROR(VLOOKUP(A24,#REF!,14,FALSE),0)</f>
        <v>0</v>
      </c>
      <c r="E24" s="3">
        <f>IFERROR(VLOOKUP(A24,'IFRS15 Licenses'!$U$12:$AH$28,14,FALSE),0)</f>
        <v>0</v>
      </c>
      <c r="G24" s="2">
        <f t="shared" si="0"/>
        <v>24683.532527472526</v>
      </c>
      <c r="H24" s="41">
        <f t="shared" si="1"/>
        <v>4.6755126917635672E-3</v>
      </c>
      <c r="J24" s="3">
        <f>IFERROR(VLOOKUP(A24,'Annual Maintenance'!$A$1:$N$41,14,FALSE),0)</f>
        <v>32178.467644449069</v>
      </c>
      <c r="K24" s="3">
        <f>IFERROR(VLOOKUP(A24,#REF!,14,FALSE),0)</f>
        <v>0</v>
      </c>
      <c r="L24" s="3">
        <f>IFERROR(VLOOKUP(A24,#REF!,14,FALSE),0)</f>
        <v>0</v>
      </c>
      <c r="M24" s="3">
        <f>IFERROR(VLOOKUP(A24,'IFRS15 Licenses'!#REF!,14,FALSE),0)</f>
        <v>0</v>
      </c>
      <c r="N24" s="3"/>
      <c r="O24" s="3">
        <f t="shared" si="2"/>
        <v>32178.467644449069</v>
      </c>
      <c r="R24" s="3">
        <f>IFERROR(VLOOKUP(A24,#REF!,14,FALSE),0)</f>
        <v>0</v>
      </c>
      <c r="T24" s="2">
        <f t="shared" si="3"/>
        <v>32178.467644449069</v>
      </c>
    </row>
    <row r="25" spans="1:20">
      <c r="A25" s="1" t="s">
        <v>32</v>
      </c>
      <c r="B25" s="3">
        <f>IFERROR(VLOOKUP(A25,'Annual Maintenance'!$A$1:$G$41,7,FALSE),0)</f>
        <v>13137.103201064065</v>
      </c>
      <c r="C25" s="3">
        <f>IFERROR(VLOOKUP(A25,#REF!,14,FALSE),0)</f>
        <v>0</v>
      </c>
      <c r="D25" s="3">
        <f>IFERROR(VLOOKUP(A25,#REF!,14,FALSE),0)</f>
        <v>0</v>
      </c>
      <c r="E25" s="3">
        <f>IFERROR(VLOOKUP(A25,'IFRS15 Licenses'!$U$12:$AH$28,14,FALSE),0)</f>
        <v>6510</v>
      </c>
      <c r="G25" s="2">
        <f t="shared" si="0"/>
        <v>19647.103201064063</v>
      </c>
      <c r="H25" s="41">
        <f t="shared" si="1"/>
        <v>3.721520826515575E-3</v>
      </c>
      <c r="I25" s="1"/>
      <c r="J25" s="3">
        <f>IFERROR(VLOOKUP(A25,'Annual Maintenance'!$A$1:$N$41,14,FALSE),0)</f>
        <v>17352.919560827748</v>
      </c>
      <c r="K25" s="3">
        <f>IFERROR(VLOOKUP(A25,#REF!,14,FALSE),0)</f>
        <v>0</v>
      </c>
      <c r="L25" s="3">
        <f>IFERROR(VLOOKUP(A25,#REF!,14,FALSE),0)</f>
        <v>0</v>
      </c>
      <c r="M25" s="3">
        <f>IFERROR(VLOOKUP(A25,'IFRS15 Licenses'!#REF!,14,FALSE),0)</f>
        <v>0</v>
      </c>
      <c r="N25" s="37"/>
      <c r="O25" s="3">
        <f t="shared" si="2"/>
        <v>17352.919560827748</v>
      </c>
      <c r="R25" s="3">
        <f>IFERROR(VLOOKUP(A25,#REF!,14,FALSE),0)</f>
        <v>0</v>
      </c>
      <c r="T25" s="2">
        <f t="shared" si="3"/>
        <v>17352.919560827748</v>
      </c>
    </row>
    <row r="26" spans="1:20">
      <c r="A26" s="1" t="s">
        <v>33</v>
      </c>
      <c r="B26" s="3">
        <f>IFERROR(VLOOKUP(A26,'Annual Maintenance'!$A$1:$G$41,7,FALSE),0)</f>
        <v>36582.778241682972</v>
      </c>
      <c r="C26" s="3">
        <f>IFERROR(VLOOKUP(A26,#REF!,14,FALSE),0)</f>
        <v>0</v>
      </c>
      <c r="D26" s="3">
        <f>IFERROR(VLOOKUP(A26,#REF!,14,FALSE),0)</f>
        <v>0</v>
      </c>
      <c r="E26" s="3">
        <f>IFERROR(VLOOKUP(A26,'IFRS15 Licenses'!$U$12:$AH$28,14,FALSE),0)</f>
        <v>0</v>
      </c>
      <c r="G26" s="2">
        <f t="shared" si="0"/>
        <v>36582.778241682972</v>
      </c>
      <c r="H26" s="41">
        <f t="shared" si="1"/>
        <v>6.9294475488300301E-3</v>
      </c>
      <c r="J26" s="3">
        <f>IFERROR(VLOOKUP(A26,'Annual Maintenance'!$A$1:$N$41,14,FALSE),0)</f>
        <v>48823.802642683855</v>
      </c>
      <c r="K26" s="3">
        <f>IFERROR(VLOOKUP(A26,#REF!,14,FALSE),0)</f>
        <v>0</v>
      </c>
      <c r="L26" s="3">
        <f>IFERROR(VLOOKUP(A26,#REF!,14,FALSE),0)</f>
        <v>0</v>
      </c>
      <c r="M26" s="3">
        <f>IFERROR(VLOOKUP(A26,'IFRS15 Licenses'!#REF!,14,FALSE),0)</f>
        <v>0</v>
      </c>
      <c r="N26" s="3"/>
      <c r="O26" s="3">
        <f t="shared" si="2"/>
        <v>48823.802642683855</v>
      </c>
      <c r="R26" s="3">
        <f>IFERROR(VLOOKUP(A26,#REF!,14,FALSE),0)</f>
        <v>0</v>
      </c>
      <c r="T26" s="2">
        <f t="shared" si="3"/>
        <v>48823.802642683855</v>
      </c>
    </row>
    <row r="27" spans="1:20">
      <c r="A27" s="1" t="s">
        <v>34</v>
      </c>
      <c r="B27" s="3">
        <f>IFERROR(VLOOKUP(A27,'Annual Maintenance'!$A$1:$G$41,7,FALSE),0)</f>
        <v>12790.306593406593</v>
      </c>
      <c r="C27" s="3">
        <f>IFERROR(VLOOKUP(A27,#REF!,14,FALSE),0)</f>
        <v>0</v>
      </c>
      <c r="D27" s="3">
        <f>IFERROR(VLOOKUP(A27,#REF!,14,FALSE),0)</f>
        <v>0</v>
      </c>
      <c r="E27" s="3">
        <f>IFERROR(VLOOKUP(A27,'IFRS15 Licenses'!$U$12:$AH$28,14,FALSE),0)</f>
        <v>0</v>
      </c>
      <c r="G27" s="2">
        <f t="shared" si="0"/>
        <v>12790.306593406593</v>
      </c>
      <c r="H27" s="41">
        <f t="shared" si="1"/>
        <v>2.4227180911995305E-3</v>
      </c>
      <c r="J27" s="3">
        <f>IFERROR(VLOOKUP(A27,'Annual Maintenance'!$A$1:$N$41,14,FALSE),0)</f>
        <v>16852.115383936594</v>
      </c>
      <c r="K27" s="3">
        <f>IFERROR(VLOOKUP(A27,#REF!,14,FALSE),0)</f>
        <v>0</v>
      </c>
      <c r="L27" s="3">
        <f>IFERROR(VLOOKUP(A27,#REF!,14,FALSE),0)</f>
        <v>0</v>
      </c>
      <c r="M27" s="3">
        <f>IFERROR(VLOOKUP(A27,'IFRS15 Licenses'!#REF!,14,FALSE),0)</f>
        <v>0</v>
      </c>
      <c r="N27" s="3"/>
      <c r="O27" s="3">
        <f t="shared" si="2"/>
        <v>16852.115383936594</v>
      </c>
      <c r="R27" s="3">
        <f>IFERROR(VLOOKUP(A27,#REF!,14,FALSE),0)</f>
        <v>0</v>
      </c>
      <c r="T27" s="2">
        <f t="shared" si="3"/>
        <v>16852.115383936594</v>
      </c>
    </row>
    <row r="28" spans="1:20">
      <c r="A28" s="1" t="s">
        <v>35</v>
      </c>
      <c r="B28" s="3">
        <f>IFERROR(VLOOKUP(A28,'Annual Maintenance'!$A$1:$G$41,7,FALSE),0)</f>
        <v>34651.31607142857</v>
      </c>
      <c r="C28" s="3">
        <f>IFERROR(VLOOKUP(A28,#REF!,14,FALSE),0)</f>
        <v>0</v>
      </c>
      <c r="D28" s="3">
        <f>IFERROR(VLOOKUP(A28,#REF!,14,FALSE),0)</f>
        <v>0</v>
      </c>
      <c r="E28" s="3">
        <f>IFERROR(VLOOKUP(A28,'IFRS15 Licenses'!$U$12:$AH$28,14,FALSE),0)</f>
        <v>0</v>
      </c>
      <c r="G28" s="2">
        <f t="shared" si="0"/>
        <v>34651.31607142857</v>
      </c>
      <c r="H28" s="41">
        <f t="shared" si="1"/>
        <v>6.5635932740970787E-3</v>
      </c>
      <c r="J28" s="3">
        <f>IFERROR(VLOOKUP(A28,'Annual Maintenance'!$A$1:$N$41,14,FALSE),0)</f>
        <v>45771.226042491617</v>
      </c>
      <c r="K28" s="3">
        <f>IFERROR(VLOOKUP(A28,#REF!,14,FALSE),0)</f>
        <v>0</v>
      </c>
      <c r="L28" s="3">
        <f>IFERROR(VLOOKUP(A28,#REF!,14,FALSE),0)</f>
        <v>0</v>
      </c>
      <c r="M28" s="3">
        <f>IFERROR(VLOOKUP(A28,'IFRS15 Licenses'!#REF!,14,FALSE),0)</f>
        <v>0</v>
      </c>
      <c r="N28" s="3"/>
      <c r="O28" s="3">
        <f t="shared" si="2"/>
        <v>45771.226042491617</v>
      </c>
      <c r="R28" s="3">
        <f>IFERROR(VLOOKUP(A28,#REF!,14,FALSE),0)</f>
        <v>0</v>
      </c>
      <c r="T28" s="2">
        <f t="shared" si="3"/>
        <v>45771.226042491617</v>
      </c>
    </row>
    <row r="29" spans="1:20">
      <c r="A29" s="1" t="s">
        <v>36</v>
      </c>
      <c r="B29" s="3">
        <f>IFERROR(VLOOKUP(A29,'Annual Maintenance'!$A$1:$G$41,7,FALSE),0)</f>
        <v>29008.938543956046</v>
      </c>
      <c r="C29" s="3">
        <f>IFERROR(VLOOKUP(A29,#REF!,14,FALSE),0)</f>
        <v>0</v>
      </c>
      <c r="D29" s="3">
        <f>IFERROR(VLOOKUP(A29,#REF!,14,FALSE),0)</f>
        <v>0</v>
      </c>
      <c r="E29" s="3">
        <f>IFERROR(VLOOKUP(A29,'IFRS15 Licenses'!$U$12:$AH$28,14,FALSE),0)</f>
        <v>0</v>
      </c>
      <c r="G29" s="2">
        <f t="shared" si="0"/>
        <v>29008.938543956046</v>
      </c>
      <c r="H29" s="41">
        <f t="shared" si="1"/>
        <v>5.4948237326200838E-3</v>
      </c>
      <c r="J29" s="3">
        <f>IFERROR(VLOOKUP(A29,'Annual Maintenance'!$A$1:$N$41,14,FALSE),0)</f>
        <v>38311.777589923346</v>
      </c>
      <c r="K29" s="3">
        <f>IFERROR(VLOOKUP(A29,#REF!,14,FALSE),0)</f>
        <v>0</v>
      </c>
      <c r="L29" s="3">
        <f>IFERROR(VLOOKUP(A29,#REF!,14,FALSE),0)</f>
        <v>0</v>
      </c>
      <c r="M29" s="3">
        <f>IFERROR(VLOOKUP(A29,'IFRS15 Licenses'!#REF!,14,FALSE),0)</f>
        <v>0</v>
      </c>
      <c r="N29" s="3"/>
      <c r="O29" s="3">
        <f t="shared" si="2"/>
        <v>38311.777589923346</v>
      </c>
      <c r="R29" s="3">
        <f>IFERROR(VLOOKUP(A29,#REF!,14,FALSE),0)</f>
        <v>0</v>
      </c>
      <c r="T29" s="2">
        <f t="shared" si="3"/>
        <v>38311.777589923346</v>
      </c>
    </row>
    <row r="30" spans="1:20">
      <c r="A30" s="1" t="s">
        <v>37</v>
      </c>
      <c r="B30" s="3">
        <f>IFERROR(VLOOKUP(A30,'Annual Maintenance'!$A$1:$G$41,7,FALSE),0)</f>
        <v>18684.074478021976</v>
      </c>
      <c r="C30" s="3">
        <f>IFERROR(VLOOKUP(A30,#REF!,14,FALSE),0)</f>
        <v>0</v>
      </c>
      <c r="D30" s="3">
        <f>IFERROR(VLOOKUP(A30,#REF!,14,FALSE),0)</f>
        <v>0</v>
      </c>
      <c r="E30" s="3">
        <f>IFERROR(VLOOKUP(A30,'IFRS15 Licenses'!$U$12:$AH$28,14,FALSE),0)</f>
        <v>500</v>
      </c>
      <c r="G30" s="2">
        <f t="shared" si="0"/>
        <v>19184.074478021976</v>
      </c>
      <c r="H30" s="41">
        <f t="shared" si="1"/>
        <v>3.6338147144011584E-3</v>
      </c>
      <c r="J30" s="3">
        <f>IFERROR(VLOOKUP(A30,'Annual Maintenance'!$A$1:$N$41,14,FALSE),0)</f>
        <v>24680.946138087857</v>
      </c>
      <c r="K30" s="3">
        <f>IFERROR(VLOOKUP(A30,#REF!,14,FALSE),0)</f>
        <v>0</v>
      </c>
      <c r="L30" s="3">
        <f>IFERROR(VLOOKUP(A30,#REF!,14,FALSE),0)</f>
        <v>0</v>
      </c>
      <c r="M30" s="3">
        <f>IFERROR(VLOOKUP(A30,'IFRS15 Licenses'!#REF!,14,FALSE),0)</f>
        <v>0</v>
      </c>
      <c r="N30" s="3"/>
      <c r="O30" s="3">
        <f t="shared" si="2"/>
        <v>24680.946138087857</v>
      </c>
      <c r="R30" s="3">
        <f>IFERROR(VLOOKUP(A30,#REF!,14,FALSE),0)</f>
        <v>0</v>
      </c>
      <c r="T30" s="2">
        <f t="shared" si="3"/>
        <v>24680.946138087857</v>
      </c>
    </row>
    <row r="31" spans="1:20">
      <c r="A31" s="1" t="s">
        <v>38</v>
      </c>
      <c r="B31" s="3">
        <f>IFERROR(VLOOKUP(A31,'Annual Maintenance'!$A$1:$G$41,7,FALSE),0)</f>
        <v>0</v>
      </c>
      <c r="C31" s="3">
        <f>IFERROR(VLOOKUP(A31,#REF!,14,FALSE),0)</f>
        <v>0</v>
      </c>
      <c r="D31" s="3">
        <f>IFERROR(VLOOKUP(A31,#REF!,14,FALSE),0)</f>
        <v>0</v>
      </c>
      <c r="E31" s="3">
        <f>IFERROR(VLOOKUP(A31,'IFRS15 Licenses'!$U$12:$AH$28,14,FALSE),0)</f>
        <v>0</v>
      </c>
      <c r="G31" s="2">
        <f t="shared" si="0"/>
        <v>0</v>
      </c>
      <c r="H31" s="41">
        <f t="shared" si="1"/>
        <v>0</v>
      </c>
      <c r="J31" s="3">
        <f>IFERROR(VLOOKUP(A31,'Annual Maintenance'!$A$1:$N$41,14,FALSE),0)</f>
        <v>0</v>
      </c>
      <c r="K31" s="3">
        <f>IFERROR(VLOOKUP(A31,#REF!,14,FALSE),0)</f>
        <v>0</v>
      </c>
      <c r="L31" s="3">
        <f>IFERROR(VLOOKUP(A31,#REF!,14,FALSE),0)</f>
        <v>0</v>
      </c>
      <c r="M31" s="3">
        <f>IFERROR(VLOOKUP(A31,'IFRS15 Licenses'!#REF!,14,FALSE),0)</f>
        <v>0</v>
      </c>
      <c r="N31" s="3"/>
      <c r="O31" s="3">
        <f t="shared" si="2"/>
        <v>0</v>
      </c>
      <c r="R31" s="3">
        <f>IFERROR(VLOOKUP(A31,#REF!,14,FALSE),0)</f>
        <v>0</v>
      </c>
      <c r="T31" s="2">
        <f t="shared" si="3"/>
        <v>0</v>
      </c>
    </row>
    <row r="32" spans="1:20">
      <c r="A32" s="1" t="s">
        <v>39</v>
      </c>
      <c r="B32" s="3">
        <f>IFERROR(VLOOKUP(A32,'Annual Maintenance'!$A$1:$G$41,7,FALSE),0)</f>
        <v>20088.755686813183</v>
      </c>
      <c r="C32" s="3">
        <f>IFERROR(VLOOKUP(A32,#REF!,14,FALSE),0)</f>
        <v>0</v>
      </c>
      <c r="D32" s="3">
        <f>IFERROR(VLOOKUP(A32,#REF!,14,FALSE),0)</f>
        <v>0</v>
      </c>
      <c r="E32" s="3">
        <f>IFERROR(VLOOKUP(A32,'IFRS15 Licenses'!$U$12:$AH$28,14,FALSE),0)</f>
        <v>0</v>
      </c>
      <c r="G32" s="2">
        <f t="shared" si="0"/>
        <v>20088.755686813183</v>
      </c>
      <c r="H32" s="41">
        <f t="shared" si="1"/>
        <v>3.8051778881687507E-3</v>
      </c>
      <c r="J32" s="3">
        <f>IFERROR(VLOOKUP(A32,'Annual Maintenance'!$A$1:$N$41,14,FALSE),0)</f>
        <v>26539.71450204655</v>
      </c>
      <c r="K32" s="3">
        <f>IFERROR(VLOOKUP(A32,#REF!,14,FALSE),0)</f>
        <v>0</v>
      </c>
      <c r="L32" s="3">
        <f>IFERROR(VLOOKUP(A32,#REF!,14,FALSE),0)</f>
        <v>0</v>
      </c>
      <c r="M32" s="3">
        <f>IFERROR(VLOOKUP(A32,'IFRS15 Licenses'!#REF!,14,FALSE),0)</f>
        <v>0</v>
      </c>
      <c r="N32" s="3"/>
      <c r="O32" s="3">
        <f t="shared" si="2"/>
        <v>26539.71450204655</v>
      </c>
      <c r="R32" s="3">
        <f>IFERROR(VLOOKUP(A32,#REF!,14,FALSE),0)</f>
        <v>0</v>
      </c>
      <c r="T32" s="2">
        <f t="shared" si="3"/>
        <v>26539.71450204655</v>
      </c>
    </row>
    <row r="33" spans="1:20">
      <c r="A33" s="1" t="s">
        <v>40</v>
      </c>
      <c r="B33" s="3">
        <f>IFERROR(VLOOKUP(A33,'Annual Maintenance'!$A$1:$G$41,7,FALSE),0)</f>
        <v>9008.3643985398157</v>
      </c>
      <c r="C33" s="3">
        <f>IFERROR(VLOOKUP(A33,#REF!,14,FALSE),0)</f>
        <v>0</v>
      </c>
      <c r="D33" s="3">
        <f>IFERROR(VLOOKUP(A33,#REF!,14,FALSE),0)</f>
        <v>0</v>
      </c>
      <c r="E33" s="3">
        <f>IFERROR(VLOOKUP(A33,'IFRS15 Licenses'!$U$12:$AH$28,14,FALSE),0)</f>
        <v>0</v>
      </c>
      <c r="G33" s="2">
        <f t="shared" si="0"/>
        <v>9008.3643985398157</v>
      </c>
      <c r="H33" s="41">
        <f t="shared" si="1"/>
        <v>1.7063490418369519E-3</v>
      </c>
      <c r="J33" s="3">
        <f>IFERROR(VLOOKUP(A33,'Annual Maintenance'!$A$1:$N$41,14,FALSE),0)</f>
        <v>11698.341879026029</v>
      </c>
      <c r="K33" s="3">
        <f>IFERROR(VLOOKUP(A33,#REF!,14,FALSE),0)</f>
        <v>0</v>
      </c>
      <c r="L33" s="3">
        <f>IFERROR(VLOOKUP(A33,#REF!,14,FALSE),0)</f>
        <v>0</v>
      </c>
      <c r="M33" s="3">
        <f>IFERROR(VLOOKUP(A33,'IFRS15 Licenses'!#REF!,14,FALSE),0)</f>
        <v>0</v>
      </c>
      <c r="N33" s="3"/>
      <c r="O33" s="3">
        <f t="shared" si="2"/>
        <v>11698.341879026029</v>
      </c>
      <c r="R33" s="3">
        <f>IFERROR(VLOOKUP(A33,#REF!,14,FALSE),0)</f>
        <v>0</v>
      </c>
      <c r="T33" s="2">
        <f t="shared" si="3"/>
        <v>11698.341879026029</v>
      </c>
    </row>
    <row r="34" spans="1:20">
      <c r="A34" s="1" t="s">
        <v>41</v>
      </c>
      <c r="B34" s="3">
        <f>IFERROR(VLOOKUP(A34,'Annual Maintenance'!$A$1:$G$41,7,FALSE),0)</f>
        <v>17788.924753349391</v>
      </c>
      <c r="C34" s="3">
        <f>IFERROR(VLOOKUP(A34,#REF!,14,FALSE),0)</f>
        <v>0</v>
      </c>
      <c r="D34" s="3">
        <f>IFERROR(VLOOKUP(A34,#REF!,14,FALSE),0)</f>
        <v>0</v>
      </c>
      <c r="E34" s="3">
        <f>IFERROR(VLOOKUP(A34,'IFRS15 Licenses'!$U$12:$AH$28,14,FALSE),0)</f>
        <v>0</v>
      </c>
      <c r="G34" s="2">
        <f t="shared" si="0"/>
        <v>17788.924753349391</v>
      </c>
      <c r="H34" s="41">
        <f t="shared" si="1"/>
        <v>3.3695478296934269E-3</v>
      </c>
      <c r="J34" s="3">
        <f>IFERROR(VLOOKUP(A34,'Annual Maintenance'!$A$1:$N$41,14,FALSE),0)</f>
        <v>23490.70311059993</v>
      </c>
      <c r="K34" s="3">
        <f>IFERROR(VLOOKUP(A34,#REF!,14,FALSE),0)</f>
        <v>0</v>
      </c>
      <c r="L34" s="3">
        <f>IFERROR(VLOOKUP(A34,#REF!,14,FALSE),0)</f>
        <v>0</v>
      </c>
      <c r="M34" s="3">
        <f>IFERROR(VLOOKUP(A34,'IFRS15 Licenses'!#REF!,14,FALSE),0)</f>
        <v>0</v>
      </c>
      <c r="N34" s="3"/>
      <c r="O34" s="3">
        <f t="shared" si="2"/>
        <v>23490.70311059993</v>
      </c>
      <c r="R34" s="3">
        <f>IFERROR(VLOOKUP(A34,#REF!,14,FALSE),0)</f>
        <v>0</v>
      </c>
      <c r="T34" s="2">
        <f t="shared" si="3"/>
        <v>23490.70311059993</v>
      </c>
    </row>
    <row r="35" spans="1:20">
      <c r="A35" s="1" t="s">
        <v>42</v>
      </c>
      <c r="B35" s="3">
        <f>IFERROR(VLOOKUP(A35,'Annual Maintenance'!$A$1:$G$41,7,FALSE),0)</f>
        <v>20776.969447162424</v>
      </c>
      <c r="C35" s="3">
        <f>IFERROR(VLOOKUP(A35,#REF!,14,FALSE),0)</f>
        <v>0</v>
      </c>
      <c r="D35" s="3">
        <f>IFERROR(VLOOKUP(A35,#REF!,14,FALSE),0)</f>
        <v>0</v>
      </c>
      <c r="E35" s="3">
        <f>IFERROR(VLOOKUP(A35,'IFRS15 Licenses'!$U$12:$AH$28,14,FALSE),0)</f>
        <v>0</v>
      </c>
      <c r="G35" s="2">
        <f t="shared" si="0"/>
        <v>20776.969447162424</v>
      </c>
      <c r="H35" s="41">
        <f t="shared" si="1"/>
        <v>3.9355381665275259E-3</v>
      </c>
      <c r="J35" s="3">
        <f>IFERROR(VLOOKUP(A35,'Annual Maintenance'!$A$1:$N$41,14,FALSE),0)</f>
        <v>27449.414252724295</v>
      </c>
      <c r="K35" s="3">
        <f>IFERROR(VLOOKUP(A35,#REF!,14,FALSE),0)</f>
        <v>0</v>
      </c>
      <c r="L35" s="3">
        <f>IFERROR(VLOOKUP(A35,#REF!,14,FALSE),0)</f>
        <v>0</v>
      </c>
      <c r="M35" s="3">
        <f>IFERROR(VLOOKUP(A35,'IFRS15 Licenses'!#REF!,14,FALSE),0)</f>
        <v>0</v>
      </c>
      <c r="N35" s="3"/>
      <c r="O35" s="3">
        <f t="shared" si="2"/>
        <v>27449.414252724295</v>
      </c>
      <c r="R35" s="3">
        <f>IFERROR(VLOOKUP(A35,#REF!,14,FALSE),0)</f>
        <v>0</v>
      </c>
      <c r="T35" s="2">
        <f t="shared" si="3"/>
        <v>27449.414252724295</v>
      </c>
    </row>
    <row r="36" spans="1:20">
      <c r="A36" s="1" t="s">
        <v>43</v>
      </c>
      <c r="B36" s="3">
        <f>IFERROR(VLOOKUP(A36,'Annual Maintenance'!$A$1:$G$41,7,FALSE),0)</f>
        <v>10455.180851648352</v>
      </c>
      <c r="C36" s="3">
        <f>IFERROR(VLOOKUP(A36,#REF!,14,FALSE),0)</f>
        <v>0</v>
      </c>
      <c r="D36" s="3">
        <f>IFERROR(VLOOKUP(A36,#REF!,14,FALSE),0)</f>
        <v>0</v>
      </c>
      <c r="E36" s="3">
        <f>IFERROR(VLOOKUP(A36,'IFRS15 Licenses'!$U$12:$AH$28,14,FALSE),0)</f>
        <v>0</v>
      </c>
      <c r="G36" s="2">
        <f t="shared" si="0"/>
        <v>10455.180851648352</v>
      </c>
      <c r="H36" s="41">
        <f t="shared" si="1"/>
        <v>1.9804025502491848E-3</v>
      </c>
      <c r="J36" s="3">
        <f>IFERROR(VLOOKUP(A36,'Annual Maintenance'!$A$1:$N$41,14,FALSE),0)</f>
        <v>13708.614769954727</v>
      </c>
      <c r="K36" s="3">
        <f>IFERROR(VLOOKUP(A36,#REF!,14,FALSE),0)</f>
        <v>0</v>
      </c>
      <c r="L36" s="3">
        <f>IFERROR(VLOOKUP(A36,#REF!,14,FALSE),0)</f>
        <v>0</v>
      </c>
      <c r="M36" s="3">
        <f>IFERROR(VLOOKUP(A36,'IFRS15 Licenses'!#REF!,14,FALSE),0)</f>
        <v>0</v>
      </c>
      <c r="N36" s="3"/>
      <c r="O36" s="3">
        <f t="shared" si="2"/>
        <v>13708.614769954727</v>
      </c>
      <c r="R36" s="3">
        <f>IFERROR(VLOOKUP(A36,#REF!,14,FALSE),0)</f>
        <v>0</v>
      </c>
      <c r="T36" s="2">
        <f t="shared" si="3"/>
        <v>13708.614769954727</v>
      </c>
    </row>
    <row r="37" spans="1:20">
      <c r="A37" s="1" t="s">
        <v>44</v>
      </c>
      <c r="B37" s="3">
        <f>IFERROR(VLOOKUP(A37,'Annual Maintenance'!$A$1:$G$41,7,FALSE),0)</f>
        <v>0</v>
      </c>
      <c r="C37" s="3">
        <f>IFERROR(VLOOKUP(A37,#REF!,14,FALSE),0)</f>
        <v>0</v>
      </c>
      <c r="D37" s="3">
        <f>IFERROR(VLOOKUP(A37,#REF!,14,FALSE),0)</f>
        <v>0</v>
      </c>
      <c r="E37" s="3">
        <f>IFERROR(VLOOKUP(A37,'IFRS15 Licenses'!$U$12:$AH$28,14,FALSE),0)</f>
        <v>0</v>
      </c>
      <c r="G37" s="2">
        <f t="shared" si="0"/>
        <v>0</v>
      </c>
      <c r="H37" s="41">
        <f t="shared" si="1"/>
        <v>0</v>
      </c>
      <c r="J37" s="3">
        <f>IFERROR(VLOOKUP(A37,'Annual Maintenance'!$A$1:$N$41,14,FALSE),0)</f>
        <v>0</v>
      </c>
      <c r="K37" s="3">
        <f>IFERROR(VLOOKUP(A37,#REF!,14,FALSE),0)</f>
        <v>0</v>
      </c>
      <c r="L37" s="3">
        <f>IFERROR(VLOOKUP(A37,#REF!,14,FALSE),0)</f>
        <v>0</v>
      </c>
      <c r="M37" s="3">
        <f>IFERROR(VLOOKUP(A37,'IFRS15 Licenses'!#REF!,14,FALSE),0)</f>
        <v>0</v>
      </c>
      <c r="N37" s="3"/>
      <c r="O37" s="3">
        <f t="shared" si="2"/>
        <v>0</v>
      </c>
      <c r="R37" s="3">
        <f>IFERROR(VLOOKUP(A37,#REF!,14,FALSE),0)</f>
        <v>0</v>
      </c>
      <c r="T37" s="2">
        <f t="shared" si="3"/>
        <v>0</v>
      </c>
    </row>
    <row r="38" spans="1:20">
      <c r="A38" s="1" t="s">
        <v>45</v>
      </c>
      <c r="B38" s="3">
        <f>IFERROR(VLOOKUP(A38,'Annual Maintenance'!$A$1:$G$41,7,FALSE),0)</f>
        <v>10386.781499473131</v>
      </c>
      <c r="C38" s="3">
        <f>IFERROR(VLOOKUP(A38,#REF!,14,FALSE),0)</f>
        <v>0</v>
      </c>
      <c r="D38" s="3">
        <f>IFERROR(VLOOKUP(A38,#REF!,14,FALSE),0)</f>
        <v>0</v>
      </c>
      <c r="E38" s="3">
        <f>IFERROR(VLOOKUP(A38,'IFRS15 Licenses'!$U$12:$AH$28,14,FALSE),0)</f>
        <v>0</v>
      </c>
      <c r="G38" s="2">
        <f t="shared" si="0"/>
        <v>10386.781499473131</v>
      </c>
      <c r="H38" s="41">
        <f t="shared" si="1"/>
        <v>1.967446461454045E-3</v>
      </c>
      <c r="J38" s="3">
        <f>IFERROR(VLOOKUP(A38,'Annual Maintenance'!$A$1:$N$41,14,FALSE),0)</f>
        <v>13718.316595271897</v>
      </c>
      <c r="K38" s="3">
        <f>IFERROR(VLOOKUP(A38,#REF!,14,FALSE),0)</f>
        <v>0</v>
      </c>
      <c r="L38" s="3">
        <f>IFERROR(VLOOKUP(A38,#REF!,14,FALSE),0)</f>
        <v>0</v>
      </c>
      <c r="M38" s="3">
        <f>IFERROR(VLOOKUP(A38,'IFRS15 Licenses'!#REF!,14,FALSE),0)</f>
        <v>0</v>
      </c>
      <c r="N38" s="3"/>
      <c r="O38" s="3">
        <f t="shared" si="2"/>
        <v>13718.316595271897</v>
      </c>
      <c r="R38" s="3">
        <f>IFERROR(VLOOKUP(A38,#REF!,14,FALSE),0)</f>
        <v>0</v>
      </c>
      <c r="T38" s="2">
        <f t="shared" si="3"/>
        <v>13718.316595271897</v>
      </c>
    </row>
    <row r="39" spans="1:20">
      <c r="A39" s="1" t="s">
        <v>46</v>
      </c>
      <c r="B39" s="3">
        <f>IFERROR(VLOOKUP(A39,'Annual Maintenance'!$A$1:$G$41,7,FALSE),0)</f>
        <v>10882.452857142858</v>
      </c>
      <c r="C39" s="3">
        <f>IFERROR(VLOOKUP(A39,#REF!,14,FALSE),0)</f>
        <v>0</v>
      </c>
      <c r="D39" s="3">
        <f>IFERROR(VLOOKUP(A39,#REF!,14,FALSE),0)</f>
        <v>0</v>
      </c>
      <c r="E39" s="3">
        <f>IFERROR(VLOOKUP(A39,'IFRS15 Licenses'!$U$12:$AH$28,14,FALSE),0)</f>
        <v>0</v>
      </c>
      <c r="G39" s="2">
        <f t="shared" si="0"/>
        <v>10882.452857142858</v>
      </c>
      <c r="H39" s="41">
        <f t="shared" si="1"/>
        <v>2.0613356858245483E-3</v>
      </c>
      <c r="J39" s="3">
        <f>IFERROR(VLOOKUP(A39,'Annual Maintenance'!$A$1:$N$41,14,FALSE),0)</f>
        <v>14371.646566997593</v>
      </c>
      <c r="K39" s="3">
        <f>IFERROR(VLOOKUP(A39,#REF!,14,FALSE),0)</f>
        <v>0</v>
      </c>
      <c r="L39" s="3">
        <f>IFERROR(VLOOKUP(A39,#REF!,14,FALSE),0)</f>
        <v>0</v>
      </c>
      <c r="M39" s="3">
        <f>IFERROR(VLOOKUP(A39,'IFRS15 Licenses'!#REF!,14,FALSE),0)</f>
        <v>0</v>
      </c>
      <c r="N39" s="3"/>
      <c r="O39" s="3">
        <f t="shared" si="2"/>
        <v>14371.646566997593</v>
      </c>
      <c r="R39" s="3">
        <f>IFERROR(VLOOKUP(A39,#REF!,14,FALSE),0)</f>
        <v>0</v>
      </c>
      <c r="T39" s="2">
        <f t="shared" si="3"/>
        <v>14371.646566997593</v>
      </c>
    </row>
    <row r="40" spans="1:20">
      <c r="A40" t="s">
        <v>47</v>
      </c>
      <c r="B40" s="3">
        <f>IFERROR(VLOOKUP(A40,'Annual Maintenance'!$A$1:$G$41,7,FALSE),0)</f>
        <v>0</v>
      </c>
      <c r="C40" s="3">
        <f>IFERROR(VLOOKUP(A40,#REF!,14,FALSE),0)</f>
        <v>0</v>
      </c>
      <c r="D40" s="3">
        <f>IFERROR(VLOOKUP(A40,#REF!,14,FALSE),0)</f>
        <v>0</v>
      </c>
      <c r="E40" s="3">
        <f>IFERROR(VLOOKUP(A40,'IFRS15 Licenses'!$U$12:$AH$28,14,FALSE),0)</f>
        <v>0</v>
      </c>
      <c r="G40" s="2">
        <f t="shared" si="0"/>
        <v>0</v>
      </c>
      <c r="H40" s="41">
        <f t="shared" si="1"/>
        <v>0</v>
      </c>
      <c r="J40" s="3">
        <f>IFERROR(VLOOKUP(A40,'Annual Maintenance'!$A$1:$N$41,14,FALSE),0)</f>
        <v>0</v>
      </c>
      <c r="K40" s="3">
        <f>IFERROR(VLOOKUP(A40,#REF!,14,FALSE),0)</f>
        <v>0</v>
      </c>
      <c r="L40" s="3">
        <f>IFERROR(VLOOKUP(A40,#REF!,14,FALSE),0)</f>
        <v>0</v>
      </c>
      <c r="M40" s="3">
        <f>IFERROR(VLOOKUP(A40,'IFRS15 Licenses'!#REF!,14,FALSE),0)</f>
        <v>0</v>
      </c>
      <c r="N40" s="3"/>
      <c r="O40" s="3">
        <f t="shared" si="2"/>
        <v>0</v>
      </c>
      <c r="R40" s="3">
        <f>IFERROR(VLOOKUP(A40,#REF!,14,FALSE),0)</f>
        <v>0</v>
      </c>
      <c r="T40" s="2">
        <f t="shared" si="3"/>
        <v>0</v>
      </c>
    </row>
    <row r="41" spans="1:20">
      <c r="A41" s="1" t="s">
        <v>48</v>
      </c>
      <c r="B41" s="3">
        <f>IFERROR(VLOOKUP(A41,'Annual Maintenance'!$A$1:$G$41,7,FALSE),0)</f>
        <v>0</v>
      </c>
      <c r="C41" s="3">
        <f>IFERROR(VLOOKUP(A41,#REF!,14,FALSE),0)</f>
        <v>0</v>
      </c>
      <c r="D41" s="3">
        <f>IFERROR(VLOOKUP(A41,#REF!,14,FALSE),0)</f>
        <v>0</v>
      </c>
      <c r="E41" s="3">
        <f>IFERROR(VLOOKUP(A41,'IFRS15 Licenses'!$U$12:$AH$28,14,FALSE),0)</f>
        <v>0</v>
      </c>
      <c r="G41" s="2">
        <f t="shared" si="0"/>
        <v>0</v>
      </c>
      <c r="H41" s="41">
        <f t="shared" si="1"/>
        <v>0</v>
      </c>
      <c r="J41" s="3">
        <f>IFERROR(VLOOKUP(A41,'Annual Maintenance'!$A$1:$N$41,14,FALSE),0)</f>
        <v>0</v>
      </c>
      <c r="K41" s="3">
        <f>IFERROR(VLOOKUP(A41,#REF!,14,FALSE),0)</f>
        <v>0</v>
      </c>
      <c r="L41" s="3">
        <f>IFERROR(VLOOKUP(A41,#REF!,14,FALSE),0)</f>
        <v>0</v>
      </c>
      <c r="M41" s="3">
        <f>IFERROR(VLOOKUP(A41,'IFRS15 Licenses'!#REF!,14,FALSE),0)</f>
        <v>0</v>
      </c>
      <c r="N41" s="3"/>
      <c r="O41" s="3">
        <f t="shared" si="2"/>
        <v>0</v>
      </c>
      <c r="R41" s="3">
        <f>IFERROR(VLOOKUP(A41,#REF!,14,FALSE),0)</f>
        <v>0</v>
      </c>
      <c r="T41" s="2">
        <f t="shared" si="3"/>
        <v>0</v>
      </c>
    </row>
    <row r="42" spans="1:20">
      <c r="A42" s="1" t="s">
        <v>49</v>
      </c>
      <c r="B42" s="3">
        <f>IFERROR(VLOOKUP(A42,'Annual Maintenance'!$A$1:$G$41,7,FALSE),0)</f>
        <v>48.485961538461538</v>
      </c>
      <c r="C42" s="3">
        <f>IFERROR(VLOOKUP(A42,#REF!,14,FALSE),0)</f>
        <v>0</v>
      </c>
      <c r="D42" s="3">
        <f>IFERROR(VLOOKUP(A42,#REF!,14,FALSE),0)</f>
        <v>0</v>
      </c>
      <c r="E42" s="3">
        <f>IFERROR(VLOOKUP(A42,'IFRS15 Licenses'!$U$12:$AH$28,14,FALSE),0)</f>
        <v>2000</v>
      </c>
      <c r="G42" s="2">
        <f t="shared" si="0"/>
        <v>2048.4859615384617</v>
      </c>
      <c r="H42" s="41">
        <f t="shared" si="1"/>
        <v>3.8802072196970439E-4</v>
      </c>
      <c r="J42" s="3">
        <f>IFERROR(VLOOKUP(A42,'Annual Maintenance'!$A$1:$N$41,14,FALSE),0)</f>
        <v>62.698495052615726</v>
      </c>
      <c r="K42" s="3">
        <f>IFERROR(VLOOKUP(A42,#REF!,14,FALSE),0)</f>
        <v>0</v>
      </c>
      <c r="L42" s="3">
        <f>IFERROR(VLOOKUP(A42,#REF!,14,FALSE),0)</f>
        <v>0</v>
      </c>
      <c r="M42" s="3">
        <f>IFERROR(VLOOKUP(A42,'IFRS15 Licenses'!#REF!,14,FALSE),0)</f>
        <v>0</v>
      </c>
      <c r="N42" s="3"/>
      <c r="O42" s="3">
        <f t="shared" si="2"/>
        <v>62.698495052615726</v>
      </c>
      <c r="R42" s="3">
        <f>IFERROR(VLOOKUP(A42,#REF!,14,FALSE),0)</f>
        <v>0</v>
      </c>
      <c r="T42" s="2">
        <f t="shared" si="3"/>
        <v>62.698495052615726</v>
      </c>
    </row>
    <row r="43" spans="1:20">
      <c r="A43" s="1" t="s">
        <v>50</v>
      </c>
      <c r="B43" s="3">
        <f>IFERROR(VLOOKUP(A43,'Annual Maintenance'!$A$1:$G$41,7,FALSE),0)</f>
        <v>0</v>
      </c>
      <c r="C43" s="3">
        <f>IFERROR(VLOOKUP(A43,#REF!,14,FALSE),0)</f>
        <v>0</v>
      </c>
      <c r="D43" s="3">
        <f>IFERROR(VLOOKUP(A43,#REF!,14,FALSE),0)</f>
        <v>0</v>
      </c>
      <c r="E43" s="3">
        <f>IFERROR(VLOOKUP(A43,'IFRS15 Licenses'!$U$12:$AH$28,14,FALSE),0)</f>
        <v>0</v>
      </c>
      <c r="G43" s="2">
        <f t="shared" si="0"/>
        <v>0</v>
      </c>
      <c r="H43" s="41">
        <f t="shared" si="1"/>
        <v>0</v>
      </c>
      <c r="J43" s="3">
        <f>IFERROR(VLOOKUP(A43,'Annual Maintenance'!$A$1:$N$41,14,FALSE),0)</f>
        <v>0</v>
      </c>
      <c r="K43" s="3">
        <f>IFERROR(VLOOKUP(A43,#REF!,14,FALSE),0)</f>
        <v>0</v>
      </c>
      <c r="L43" s="3">
        <f>IFERROR(VLOOKUP(A43,#REF!,14,FALSE),0)</f>
        <v>0</v>
      </c>
      <c r="M43" s="3">
        <f>IFERROR(VLOOKUP(A43,'IFRS15 Licenses'!#REF!,14,FALSE),0)</f>
        <v>0</v>
      </c>
      <c r="N43" s="3"/>
      <c r="O43" s="3">
        <f t="shared" si="2"/>
        <v>0</v>
      </c>
      <c r="R43" s="3">
        <f>IFERROR(VLOOKUP(A43,#REF!,14,FALSE),0)</f>
        <v>0</v>
      </c>
      <c r="T43" s="2">
        <f t="shared" si="3"/>
        <v>0</v>
      </c>
    </row>
    <row r="44" spans="1:20">
      <c r="A44" s="1" t="s">
        <v>51</v>
      </c>
      <c r="B44" s="3">
        <f>IFERROR(VLOOKUP(A44,'Annual Maintenance'!$A$1:$G$41,7,FALSE),0)</f>
        <v>0</v>
      </c>
      <c r="C44" s="3">
        <f>IFERROR(VLOOKUP(A44,#REF!,14,FALSE),0)</f>
        <v>0</v>
      </c>
      <c r="D44" s="3">
        <f>IFERROR(VLOOKUP(A44,#REF!,14,FALSE),0)</f>
        <v>0</v>
      </c>
      <c r="E44" s="3">
        <f>IFERROR(VLOOKUP(A44,'IFRS15 Licenses'!$U$12:$AH$28,14,FALSE),0)</f>
        <v>0</v>
      </c>
      <c r="G44" s="2">
        <f t="shared" si="0"/>
        <v>0</v>
      </c>
      <c r="H44" s="41">
        <f t="shared" si="1"/>
        <v>0</v>
      </c>
      <c r="J44" s="3">
        <f>IFERROR(VLOOKUP(A44,'Annual Maintenance'!$A$1:$N$41,14,FALSE),0)</f>
        <v>0</v>
      </c>
      <c r="K44" s="3">
        <f>IFERROR(VLOOKUP(A44,#REF!,14,FALSE),0)</f>
        <v>0</v>
      </c>
      <c r="L44" s="3">
        <f>IFERROR(VLOOKUP(A44,#REF!,14,FALSE),0)</f>
        <v>0</v>
      </c>
      <c r="M44" s="3">
        <f>IFERROR(VLOOKUP(A44,'IFRS15 Licenses'!#REF!,14,FALSE),0)</f>
        <v>0</v>
      </c>
      <c r="N44" s="3"/>
      <c r="O44" s="3">
        <f t="shared" si="2"/>
        <v>0</v>
      </c>
    </row>
    <row r="45" spans="1:20" s="9" customFormat="1">
      <c r="A45"/>
      <c r="B45"/>
      <c r="C45" s="3"/>
      <c r="D45" s="3"/>
      <c r="E45" s="3"/>
      <c r="F45"/>
      <c r="G45" s="2"/>
      <c r="H45" s="41"/>
      <c r="I45"/>
      <c r="J45"/>
      <c r="K45"/>
      <c r="L45"/>
      <c r="M45"/>
      <c r="N45"/>
      <c r="O45"/>
      <c r="R45" s="32"/>
      <c r="T45" s="32"/>
    </row>
    <row r="46" spans="1:20">
      <c r="B46" s="16">
        <f>SUM(B4:B45)</f>
        <v>5207788.5402263049</v>
      </c>
      <c r="C46" s="16">
        <f t="shared" ref="C46:G46" si="4">SUM(C4:C45)</f>
        <v>0</v>
      </c>
      <c r="D46" s="16">
        <f t="shared" si="4"/>
        <v>0</v>
      </c>
      <c r="E46" s="16">
        <f t="shared" si="4"/>
        <v>71532.5</v>
      </c>
      <c r="F46" s="16">
        <f t="shared" si="4"/>
        <v>0</v>
      </c>
      <c r="G46" s="16">
        <f t="shared" si="4"/>
        <v>5279321.0402263049</v>
      </c>
      <c r="H46" s="16"/>
      <c r="J46" s="16">
        <f t="shared" ref="J46" si="5">SUM(J4:J45)</f>
        <v>6536804.94731123</v>
      </c>
      <c r="K46" s="16">
        <f t="shared" ref="K46" si="6">SUM(K4:K45)</f>
        <v>0</v>
      </c>
      <c r="L46" s="16">
        <f t="shared" ref="L46" si="7">SUM(L4:L45)</f>
        <v>0</v>
      </c>
      <c r="M46" s="16">
        <f t="shared" ref="M46" si="8">SUM(M4:M45)</f>
        <v>0</v>
      </c>
      <c r="N46" s="16">
        <f t="shared" ref="N46" si="9">SUM(N4:N45)</f>
        <v>0</v>
      </c>
      <c r="O46" s="16">
        <f t="shared" ref="O46" si="10">SUM(O4:O45)</f>
        <v>6536804.94731123</v>
      </c>
      <c r="P46" s="16">
        <f t="shared" ref="P46" si="11">SUM(P4:P45)</f>
        <v>0</v>
      </c>
      <c r="Q46" s="16">
        <f t="shared" ref="Q46" si="12">SUM(Q4:Q45)</f>
        <v>0</v>
      </c>
      <c r="R46" s="16">
        <f t="shared" ref="R46" si="13">SUM(R4:R45)</f>
        <v>0</v>
      </c>
      <c r="S46" s="16">
        <f t="shared" ref="S46" si="14">SUM(S4:S45)</f>
        <v>0</v>
      </c>
      <c r="T46" s="16">
        <f t="shared" ref="T46" si="15">SUM(T4:T45)</f>
        <v>6536804.94731123</v>
      </c>
    </row>
    <row r="47" spans="1:20">
      <c r="O47" s="2"/>
    </row>
    <row r="48" spans="1:20">
      <c r="B48" s="2"/>
      <c r="C48" s="2"/>
      <c r="D48" s="2"/>
      <c r="E48" s="2"/>
      <c r="G48" s="2"/>
      <c r="H48" s="2"/>
      <c r="P48" s="38"/>
    </row>
    <row r="50" spans="3:3">
      <c r="C50" s="2"/>
    </row>
  </sheetData>
  <autoFilter ref="A3:T44" xr:uid="{686569E8-9A68-4FE0-8140-340835BADD4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4F83C-7DEC-45F3-B7A3-B9C90B5D64D3}">
  <dimension ref="A1:R54"/>
  <sheetViews>
    <sheetView tabSelected="1" workbookViewId="0">
      <selection activeCell="O45" sqref="O45"/>
    </sheetView>
  </sheetViews>
  <sheetFormatPr defaultRowHeight="14.45"/>
  <cols>
    <col min="1" max="1" width="31.7109375" bestFit="1" customWidth="1"/>
    <col min="2" max="2" width="16" customWidth="1"/>
    <col min="3" max="3" width="13.140625" bestFit="1" customWidth="1"/>
    <col min="4" max="4" width="11.42578125" bestFit="1" customWidth="1"/>
    <col min="5" max="5" width="11.7109375" bestFit="1" customWidth="1"/>
    <col min="6" max="6" width="17.140625" bestFit="1" customWidth="1"/>
    <col min="7" max="7" width="5" bestFit="1" customWidth="1"/>
    <col min="8" max="8" width="23.7109375" bestFit="1" customWidth="1"/>
    <col min="10" max="10" width="13.140625" bestFit="1" customWidth="1"/>
    <col min="11" max="11" width="11.42578125" bestFit="1" customWidth="1"/>
    <col min="12" max="12" width="11.7109375" bestFit="1" customWidth="1"/>
    <col min="13" max="13" width="17.140625" bestFit="1" customWidth="1"/>
    <col min="14" max="14" width="5" bestFit="1" customWidth="1"/>
    <col min="15" max="15" width="20.140625" bestFit="1" customWidth="1"/>
    <col min="16" max="16" width="12.7109375" bestFit="1" customWidth="1"/>
    <col min="18" max="18" width="12.7109375" bestFit="1" customWidth="1"/>
  </cols>
  <sheetData>
    <row r="1" spans="1:18">
      <c r="A1" t="s">
        <v>0</v>
      </c>
      <c r="J1" t="s">
        <v>1</v>
      </c>
    </row>
    <row r="2" spans="1:18">
      <c r="J2" s="6"/>
      <c r="K2" s="6"/>
      <c r="N2" s="6"/>
    </row>
    <row r="3" spans="1:18">
      <c r="A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H3" s="6" t="s">
        <v>52</v>
      </c>
      <c r="J3" s="6" t="s">
        <v>3</v>
      </c>
      <c r="K3" s="6" t="s">
        <v>4</v>
      </c>
      <c r="L3" s="6" t="s">
        <v>5</v>
      </c>
      <c r="M3" s="6" t="s">
        <v>6</v>
      </c>
      <c r="O3" s="6" t="s">
        <v>8</v>
      </c>
      <c r="P3" s="6" t="s">
        <v>9</v>
      </c>
      <c r="R3" s="6" t="s">
        <v>53</v>
      </c>
    </row>
    <row r="4" spans="1:18">
      <c r="A4" s="1" t="s">
        <v>20</v>
      </c>
      <c r="B4" t="s">
        <v>54</v>
      </c>
      <c r="C4" s="3">
        <f>IFERROR(VLOOKUP(A4,'Annual Maintenance'!$A$1:$G$41,7,FALSE),0)</f>
        <v>86882.936743940998</v>
      </c>
      <c r="D4" s="3">
        <f>-IFERROR(VLOOKUP(A4,'PS Pivot'!$B$5:$O$39,14,FALSE),0)</f>
        <v>0</v>
      </c>
      <c r="E4" s="3">
        <f>IFERROR(VLOOKUP(A4,Licenses!$A$4:$N$25,14,FALSE),0)</f>
        <v>0</v>
      </c>
      <c r="F4" s="3">
        <f>IFERROR(VLOOKUP(A4,'IFRS15 Licenses'!$U$10:$AH$26,14,FALSE),0)</f>
        <v>0</v>
      </c>
      <c r="G4" s="3">
        <f>IFERROR(VLOOKUP(B4,'IFRS15 Licenses'!$U$12:$AH$25,14,FALSE),0)</f>
        <v>0</v>
      </c>
      <c r="H4" s="2">
        <f>SUM(C4:G4)</f>
        <v>86882.936743940998</v>
      </c>
      <c r="J4" s="3">
        <f>IFERROR(VLOOKUP(A4,'Annual Maintenance'!$A$1:$N$41,14,FALSE),0)</f>
        <v>114783.73083625709</v>
      </c>
      <c r="K4" s="3">
        <f>IFERROR(VLOOKUP(A4,'PS Pivot'!$B$35:$O$56,14,FALSE),0)</f>
        <v>0</v>
      </c>
      <c r="L4" s="3">
        <f>IFERROR(VLOOKUP(A4,Licenses!$A$35:$N$53,14,FALSE),0)</f>
        <v>0</v>
      </c>
      <c r="M4" s="3">
        <f>IFERROR(VLOOKUP(A4,'IFRS15 Licenses'!$U$37:$AH$51,14,FALSE),0)</f>
        <v>0</v>
      </c>
      <c r="N4" s="3"/>
      <c r="O4" s="3">
        <f>SUM(J4:N4)</f>
        <v>114783.73083625709</v>
      </c>
      <c r="P4" s="47">
        <f>IFERROR(VLOOKUP(A4,COGS!$A$204:$N$238,14,FALSE),0)</f>
        <v>0</v>
      </c>
      <c r="Q4" s="1"/>
      <c r="R4">
        <f>IFERROR(VLOOKUP(A4,'COGS License'!$A$23:$N$34,14,FALSE),0)</f>
        <v>0</v>
      </c>
    </row>
    <row r="5" spans="1:18">
      <c r="A5" s="1" t="s">
        <v>35</v>
      </c>
      <c r="B5" t="s">
        <v>54</v>
      </c>
      <c r="C5" s="3">
        <f>IFERROR(VLOOKUP(A5,'Annual Maintenance'!$A$1:$G$41,7,FALSE),0)</f>
        <v>34651.31607142857</v>
      </c>
      <c r="D5" s="3">
        <f>-IFERROR(VLOOKUP(A5,'PS Pivot'!$B$5:$O$39,14,FALSE),0)</f>
        <v>2960</v>
      </c>
      <c r="E5" s="3">
        <f>IFERROR(VLOOKUP(A5,Licenses!$A$4:$N$25,14,FALSE),0)</f>
        <v>0</v>
      </c>
      <c r="F5" s="3">
        <f>IFERROR(VLOOKUP(A5,'IFRS15 Licenses'!$U$10:$AH$26,14,FALSE),0)</f>
        <v>0</v>
      </c>
      <c r="H5" s="2">
        <f t="shared" ref="H5:H44" si="0">SUM(C5:G5)</f>
        <v>37611.31607142857</v>
      </c>
      <c r="J5" s="3">
        <f>IFERROR(VLOOKUP(A5,'Annual Maintenance'!$A$1:$N$41,14,FALSE),0)</f>
        <v>45771.226042491617</v>
      </c>
      <c r="K5" s="3">
        <f>IFERROR(VLOOKUP(A5,'PS Pivot'!$B$35:$O$56,14,FALSE),0)</f>
        <v>-3981.2772367783932</v>
      </c>
      <c r="L5" s="3">
        <f>IFERROR(VLOOKUP(A5,Licenses!$A$35:$N$53,14,FALSE),0)</f>
        <v>0</v>
      </c>
      <c r="M5" s="3">
        <f>IFERROR(VLOOKUP(A5,'IFRS15 Licenses'!$U$37:$AH$51,14,FALSE),0)</f>
        <v>0</v>
      </c>
      <c r="N5" s="3"/>
      <c r="O5" s="3">
        <f>SUM(J5:N5)</f>
        <v>41789.948805713226</v>
      </c>
      <c r="P5" s="47">
        <f>IFERROR(VLOOKUP(A5,COGS!$A$204:$N$238,14,FALSE),0)</f>
        <v>-2391.4921419787788</v>
      </c>
      <c r="Q5" s="1"/>
      <c r="R5">
        <f>IFERROR(VLOOKUP(A5,'COGS License'!$A$23:$N$34,14,FALSE),0)</f>
        <v>0</v>
      </c>
    </row>
    <row r="6" spans="1:18">
      <c r="A6" s="1" t="s">
        <v>31</v>
      </c>
      <c r="B6" t="s">
        <v>54</v>
      </c>
      <c r="C6" s="3">
        <f>IFERROR(VLOOKUP(A6,'Annual Maintenance'!$A$1:$G$41,7,FALSE),0)</f>
        <v>24683.532527472526</v>
      </c>
      <c r="D6" s="3">
        <f>-IFERROR(VLOOKUP(A6,'PS Pivot'!$B$5:$O$39,14,FALSE),0)</f>
        <v>0</v>
      </c>
      <c r="E6" s="3">
        <f>IFERROR(VLOOKUP(A6,Licenses!$A$4:$N$25,14,FALSE),0)</f>
        <v>0</v>
      </c>
      <c r="F6" s="3">
        <f>IFERROR(VLOOKUP(A6,'IFRS15 Licenses'!$U$10:$AH$26,14,FALSE),0)</f>
        <v>0</v>
      </c>
      <c r="H6" s="2">
        <f t="shared" si="0"/>
        <v>24683.532527472526</v>
      </c>
      <c r="J6" s="3">
        <f>IFERROR(VLOOKUP(A6,'Annual Maintenance'!$A$1:$N$41,14,FALSE),0)</f>
        <v>32178.467644449069</v>
      </c>
      <c r="K6" s="3">
        <f>IFERROR(VLOOKUP(A6,'PS Pivot'!$B$35:$O$56,14,FALSE),0)</f>
        <v>0</v>
      </c>
      <c r="L6" s="3">
        <f>IFERROR(VLOOKUP(A6,Licenses!$A$35:$N$53,14,FALSE),0)</f>
        <v>0</v>
      </c>
      <c r="M6" s="3">
        <f>IFERROR(VLOOKUP(A6,'IFRS15 Licenses'!$U$37:$AH$51,14,FALSE),0)</f>
        <v>0</v>
      </c>
      <c r="N6" s="3"/>
      <c r="O6" s="3">
        <f t="shared" ref="O5:O43" si="1">SUM(J6:N6)</f>
        <v>32178.467644449069</v>
      </c>
      <c r="P6" s="47">
        <f>IFERROR(VLOOKUP(A6,COGS!$A$204:$N$238,14,FALSE),0)</f>
        <v>0</v>
      </c>
      <c r="Q6" s="1"/>
      <c r="R6">
        <f>IFERROR(VLOOKUP(A6,'COGS License'!$A$23:$N$34,14,FALSE),0)</f>
        <v>0</v>
      </c>
    </row>
    <row r="7" spans="1:18" s="1" customFormat="1">
      <c r="A7" s="1" t="s">
        <v>32</v>
      </c>
      <c r="B7" t="s">
        <v>54</v>
      </c>
      <c r="C7" s="3">
        <f>IFERROR(VLOOKUP(A7,'Annual Maintenance'!$A$1:$G$41,7,FALSE),0)</f>
        <v>13137.103201064065</v>
      </c>
      <c r="D7" s="3">
        <f>-IFERROR(VLOOKUP(A7,'PS Pivot'!$B$5:$O$39,14,FALSE),0)</f>
        <v>2619.6</v>
      </c>
      <c r="E7" s="3">
        <f>IFERROR(VLOOKUP(A7,Licenses!$A$4:$N$25,14,FALSE),0)</f>
        <v>0</v>
      </c>
      <c r="F7" s="3">
        <f>IFERROR(VLOOKUP(A7,'IFRS15 Licenses'!$U$10:$AH$26,14,FALSE),0)</f>
        <v>6510</v>
      </c>
      <c r="G7"/>
      <c r="H7" s="2">
        <f t="shared" si="0"/>
        <v>22266.703201064065</v>
      </c>
      <c r="J7" s="3">
        <f>IFERROR(VLOOKUP(A7,'Annual Maintenance'!$A$1:$N$41,14,FALSE),0)</f>
        <v>17352.919560827748</v>
      </c>
      <c r="K7" s="3">
        <f>IFERROR(VLOOKUP(A7,'PS Pivot'!$B$35:$O$56,14,FALSE),0)</f>
        <v>-3531.6928092422927</v>
      </c>
      <c r="L7" s="3">
        <f>IFERROR(VLOOKUP(A7,Licenses!$A$35:$N$53,14,FALSE),0)</f>
        <v>0</v>
      </c>
      <c r="M7" s="3">
        <f>IFERROR(VLOOKUP(A7,'IFRS15 Licenses'!$U$37:$AH$51,14,FALSE),0)</f>
        <v>8725.020342302334</v>
      </c>
      <c r="N7" s="37"/>
      <c r="O7" s="3">
        <f t="shared" si="1"/>
        <v>22546.247093887789</v>
      </c>
      <c r="P7" s="47">
        <f>IFERROR(VLOOKUP(A7,COGS!$A$204:$N$238,14,FALSE),0)</f>
        <v>-1189.5022472404721</v>
      </c>
      <c r="R7">
        <f>IFERROR(VLOOKUP(A7,'COGS License'!$A$23:$N$34,14,FALSE),0)</f>
        <v>0</v>
      </c>
    </row>
    <row r="8" spans="1:18">
      <c r="A8" s="1" t="s">
        <v>27</v>
      </c>
      <c r="B8" t="s">
        <v>54</v>
      </c>
      <c r="C8" s="3">
        <f>IFERROR(VLOOKUP(A8,'Annual Maintenance'!$A$1:$G$41,7,FALSE),0)</f>
        <v>59091.869999999988</v>
      </c>
      <c r="D8" s="3">
        <f>-IFERROR(VLOOKUP(A8,'PS Pivot'!$B$5:$O$39,14,FALSE),0)</f>
        <v>0</v>
      </c>
      <c r="E8" s="3">
        <f>IFERROR(VLOOKUP(A8,Licenses!$A$4:$N$25,14,FALSE),0)</f>
        <v>448.37</v>
      </c>
      <c r="F8" s="3">
        <f>IFERROR(VLOOKUP(A8,'IFRS15 Licenses'!$U$10:$AH$26,14,FALSE),0)</f>
        <v>3153.2</v>
      </c>
      <c r="H8" s="2">
        <f t="shared" si="0"/>
        <v>62693.439999999988</v>
      </c>
      <c r="J8" s="3">
        <f>IFERROR(VLOOKUP(A8,'Annual Maintenance'!$A$1:$N$41,14,FALSE),0)</f>
        <v>78042.148611864919</v>
      </c>
      <c r="K8" s="3">
        <f>IFERROR(VLOOKUP(A8,'PS Pivot'!$B$35:$O$56,14,FALSE),0)</f>
        <v>0</v>
      </c>
      <c r="L8" s="3">
        <f>IFERROR(VLOOKUP(A8,Licenses!$A$35:$N$53,14,FALSE),0)</f>
        <v>556.64254056537015</v>
      </c>
      <c r="M8" s="3">
        <f>IFERROR(VLOOKUP(A8,'IFRS15 Licenses'!$U$37:$AH$51,14,FALSE),0)</f>
        <v>3992.6056973547179</v>
      </c>
      <c r="N8" s="3"/>
      <c r="O8" s="3">
        <f t="shared" si="1"/>
        <v>82591.396849785015</v>
      </c>
      <c r="P8" s="47">
        <f>IFERROR(VLOOKUP(A8,COGS!$A$204:$N$238,14,FALSE),0)</f>
        <v>-9657.3900270746271</v>
      </c>
      <c r="R8">
        <f>IFERROR(VLOOKUP(A8,'COGS License'!$A$23:$N$34,14,FALSE),0)</f>
        <v>-415.06412245962082</v>
      </c>
    </row>
    <row r="9" spans="1:18">
      <c r="A9" s="1" t="s">
        <v>22</v>
      </c>
      <c r="B9" t="s">
        <v>55</v>
      </c>
      <c r="C9" s="3">
        <f>IFERROR(VLOOKUP(A9,'Annual Maintenance'!$A$1:$G$41,7,FALSE),0)</f>
        <v>62095.212320863924</v>
      </c>
      <c r="D9" s="3">
        <f>-IFERROR(VLOOKUP(A9,'PS Pivot'!$B$5:$O$39,14,FALSE),0)</f>
        <v>19640.28</v>
      </c>
      <c r="E9" s="3">
        <f>IFERROR(VLOOKUP(A9,Licenses!$A$4:$N$25,14,FALSE),0)</f>
        <v>14016.59</v>
      </c>
      <c r="F9" s="3">
        <f>IFERROR(VLOOKUP(A9,'IFRS15 Licenses'!$U$10:$AH$26,14,FALSE),0)</f>
        <v>5751.1660000000002</v>
      </c>
      <c r="H9" s="2">
        <f t="shared" si="0"/>
        <v>101503.24832086392</v>
      </c>
      <c r="J9" s="3">
        <f>IFERROR(VLOOKUP(A9,'Annual Maintenance'!$A$1:$N$41,14,FALSE),0)</f>
        <v>82024.537568399974</v>
      </c>
      <c r="K9" s="3">
        <f>IFERROR(VLOOKUP(A9,'PS Pivot'!$B$35:$O$56,14,FALSE),0)</f>
        <v>-25933.726179476962</v>
      </c>
      <c r="L9" s="3">
        <f>IFERROR(VLOOKUP(A9,Licenses!$A$35:$N$53,14,FALSE),0)</f>
        <v>18602.401821252861</v>
      </c>
      <c r="M9" s="3">
        <f>IFERROR(VLOOKUP(A9,'IFRS15 Licenses'!$U$37:$AH$51,14,FALSE),0)</f>
        <v>7664.9633151732069</v>
      </c>
      <c r="N9" s="3"/>
      <c r="O9" s="3">
        <f t="shared" si="1"/>
        <v>82358.176525349088</v>
      </c>
      <c r="P9" s="47">
        <f>IFERROR(VLOOKUP(A9,COGS!$A$204:$N$238,14,FALSE),0)</f>
        <v>-3331.944383879048</v>
      </c>
      <c r="R9">
        <f>IFERROR(VLOOKUP(A9,'COGS License'!$A$23:$N$34,14,FALSE),0)</f>
        <v>0</v>
      </c>
    </row>
    <row r="10" spans="1:18">
      <c r="A10" s="1" t="s">
        <v>29</v>
      </c>
      <c r="B10" t="s">
        <v>54</v>
      </c>
      <c r="C10" s="3">
        <f>IFERROR(VLOOKUP(A10,'Annual Maintenance'!$A$1:$G$41,7,FALSE),0)</f>
        <v>62529.61587912088</v>
      </c>
      <c r="D10" s="3">
        <f>-IFERROR(VLOOKUP(A10,'PS Pivot'!$B$5:$O$39,14,FALSE),0)</f>
        <v>6849.7</v>
      </c>
      <c r="E10" s="3">
        <f>IFERROR(VLOOKUP(A10,Licenses!$A$4:$N$25,14,FALSE),0)</f>
        <v>0</v>
      </c>
      <c r="F10" s="3">
        <f>IFERROR(VLOOKUP(A10,'IFRS15 Licenses'!$U$10:$AH$26,14,FALSE),0)</f>
        <v>0</v>
      </c>
      <c r="H10" s="2">
        <f t="shared" si="0"/>
        <v>69379.315879120884</v>
      </c>
      <c r="J10" s="3">
        <f>IFERROR(VLOOKUP(A10,'Annual Maintenance'!$A$1:$N$41,14,FALSE),0)</f>
        <v>82579.986478165942</v>
      </c>
      <c r="K10" s="3">
        <f>IFERROR(VLOOKUP(A10,'PS Pivot'!$B$35:$O$56,14,FALSE),0)</f>
        <v>-8768.1393443842517</v>
      </c>
      <c r="L10" s="3">
        <f>IFERROR(VLOOKUP(A10,Licenses!$A$35:$N$53,14,FALSE),0)</f>
        <v>0</v>
      </c>
      <c r="M10" s="3">
        <f>IFERROR(VLOOKUP(A10,'IFRS15 Licenses'!$U$37:$AH$51,14,FALSE),0)</f>
        <v>0</v>
      </c>
      <c r="N10" s="3"/>
      <c r="O10" s="3">
        <f t="shared" si="1"/>
        <v>73811.847133781688</v>
      </c>
      <c r="P10" s="47">
        <f>IFERROR(VLOOKUP(A10,COGS!$A$204:$N$238,14,FALSE),0)</f>
        <v>-16786.695027520913</v>
      </c>
      <c r="R10">
        <f>IFERROR(VLOOKUP(A10,'COGS License'!$A$23:$N$34,14,FALSE),0)</f>
        <v>0</v>
      </c>
    </row>
    <row r="11" spans="1:18">
      <c r="A11" s="1" t="s">
        <v>56</v>
      </c>
      <c r="B11" t="s">
        <v>54</v>
      </c>
      <c r="C11" s="3">
        <f>IFERROR(VLOOKUP(A11,'Annual Maintenance'!$A$1:$G$41,7,FALSE),0)</f>
        <v>0</v>
      </c>
      <c r="D11" s="3">
        <f>-IFERROR(VLOOKUP(A11,'PS Pivot'!$B$5:$O$39,14,FALSE),0)</f>
        <v>2520</v>
      </c>
      <c r="E11" s="3">
        <f>IFERROR(VLOOKUP(A11,Licenses!$A$4:$N$25,14,FALSE),0)</f>
        <v>0</v>
      </c>
      <c r="F11" s="3">
        <f>IFERROR(VLOOKUP(A11,'IFRS15 Licenses'!$U$10:$AH$26,14,FALSE),0)</f>
        <v>0</v>
      </c>
      <c r="H11" s="2">
        <f t="shared" si="0"/>
        <v>2520</v>
      </c>
      <c r="J11" s="3"/>
      <c r="K11" s="3">
        <f>IFERROR(VLOOKUP(A11,'PS Pivot'!$B$35:$O$56,14,FALSE),0)</f>
        <v>-3390.6514894647617</v>
      </c>
      <c r="L11" s="3">
        <f>IFERROR(VLOOKUP(A11,Licenses!$A$35:$N$53,14,FALSE),0)</f>
        <v>0</v>
      </c>
      <c r="M11" s="3">
        <f>IFERROR(VLOOKUP(A11,'IFRS15 Licenses'!$U$37:$AH$51,14,FALSE),0)</f>
        <v>0</v>
      </c>
      <c r="N11" s="3"/>
      <c r="O11" s="3">
        <f t="shared" si="1"/>
        <v>-3390.6514894647617</v>
      </c>
      <c r="P11" s="47">
        <f>IFERROR(VLOOKUP(A11,COGS!$A$204:$N$238,14,FALSE),0)</f>
        <v>0</v>
      </c>
      <c r="R11">
        <f>IFERROR(VLOOKUP(A11,'COGS License'!$A$23:$N$34,14,FALSE),0)</f>
        <v>0</v>
      </c>
    </row>
    <row r="12" spans="1:18">
      <c r="A12" s="1" t="s">
        <v>57</v>
      </c>
      <c r="B12" t="s">
        <v>58</v>
      </c>
      <c r="C12" s="3">
        <f>IFERROR(VLOOKUP(A12,'Annual Maintenance'!$A$1:$G$41,7,FALSE),0)</f>
        <v>0</v>
      </c>
      <c r="D12" s="3">
        <f>-IFERROR(VLOOKUP(A12,'PS Pivot'!$B$5:$O$39,14,FALSE),0)</f>
        <v>26212.613866666667</v>
      </c>
      <c r="E12" s="3">
        <f>IFERROR(VLOOKUP(A12,Licenses!$A$4:$N$25,14,FALSE),0)</f>
        <v>8404.0300000000007</v>
      </c>
      <c r="F12" s="3">
        <f>IFERROR(VLOOKUP(A12,'IFRS15 Licenses'!$U$10:$AH$26,14,FALSE),0)</f>
        <v>0</v>
      </c>
      <c r="H12" s="2">
        <f t="shared" ref="H12" si="2">SUM(C12:G12)</f>
        <v>34616.643866666665</v>
      </c>
      <c r="J12" s="3"/>
      <c r="K12" s="3">
        <f>IFERROR(VLOOKUP(A12,'PS Pivot'!$B$35:$O$56,14,FALSE),0)</f>
        <v>-35116.340996101346</v>
      </c>
      <c r="L12" s="3">
        <f>IFERROR(VLOOKUP(A12,Licenses!$A$35:$N$53,14,FALSE),0)</f>
        <v>11115.118570540544</v>
      </c>
      <c r="M12" s="3">
        <f>IFERROR(VLOOKUP(A12,'IFRS15 Licenses'!$U$37:$AH$51,14,FALSE),0)</f>
        <v>0</v>
      </c>
      <c r="N12" s="3"/>
      <c r="O12" s="3">
        <f t="shared" si="1"/>
        <v>-24001.222425560802</v>
      </c>
      <c r="P12" s="47">
        <f>IFERROR(VLOOKUP(A12,COGS!$A$204:$N$238,14,FALSE),0)</f>
        <v>-0.51428724372317447</v>
      </c>
      <c r="R12">
        <f>IFERROR(VLOOKUP(A12,'COGS License'!$A$23:$N$34,14,FALSE),0)</f>
        <v>-7445.7053231016971</v>
      </c>
    </row>
    <row r="13" spans="1:18">
      <c r="A13" s="1" t="s">
        <v>18</v>
      </c>
      <c r="B13" t="s">
        <v>54</v>
      </c>
      <c r="C13" s="3">
        <f>IFERROR(VLOOKUP(A13,'Annual Maintenance'!$A$1:$G$41,7,FALSE),0)</f>
        <v>55553.323026135287</v>
      </c>
      <c r="D13" s="3">
        <f>-IFERROR(VLOOKUP(A13,'PS Pivot'!$B$5:$O$39,14,FALSE),0)</f>
        <v>-14337.5</v>
      </c>
      <c r="E13" s="3">
        <f>IFERROR(VLOOKUP(A13,Licenses!$A$4:$N$25,14,FALSE),0)</f>
        <v>6109.5</v>
      </c>
      <c r="F13" s="3">
        <f>IFERROR(VLOOKUP(A13,'IFRS15 Licenses'!$U$10:$AH$26,14,FALSE),0)</f>
        <v>0</v>
      </c>
      <c r="H13" s="2">
        <f t="shared" si="0"/>
        <v>47325.323026135287</v>
      </c>
      <c r="J13" s="3">
        <f>IFERROR(VLOOKUP(A13,'Annual Maintenance'!$A$1:$N$41,14,FALSE),0)</f>
        <v>73384.077411200269</v>
      </c>
      <c r="K13" s="3">
        <f>IFERROR(VLOOKUP(A13,'PS Pivot'!$B$35:$O$56,14,FALSE),0)</f>
        <v>19122.073788440128</v>
      </c>
      <c r="L13" s="3">
        <f>IFERROR(VLOOKUP(A13,Licenses!$A$35:$N$53,14,FALSE),0)</f>
        <v>8377.900279743295</v>
      </c>
      <c r="M13" s="3">
        <f>IFERROR(VLOOKUP(A13,'IFRS15 Licenses'!$U$37:$AH$51,14,FALSE),0)</f>
        <v>0</v>
      </c>
      <c r="N13" s="3"/>
      <c r="O13" s="3">
        <f t="shared" si="1"/>
        <v>100884.05147938369</v>
      </c>
      <c r="P13" s="47">
        <f>IFERROR(VLOOKUP(A13,COGS!$A$204:$N$238,14,FALSE),0)</f>
        <v>-1189.64966683648</v>
      </c>
      <c r="R13">
        <f>IFERROR(VLOOKUP(A13,'COGS License'!$A$23:$N$34,14,FALSE),0)</f>
        <v>0</v>
      </c>
    </row>
    <row r="14" spans="1:18">
      <c r="A14" s="1" t="s">
        <v>40</v>
      </c>
      <c r="B14" t="s">
        <v>55</v>
      </c>
      <c r="C14" s="3">
        <f>IFERROR(VLOOKUP(A14,'Annual Maintenance'!$A$1:$G$41,7,FALSE),0)</f>
        <v>9008.3643985398157</v>
      </c>
      <c r="D14" s="3">
        <f>-IFERROR(VLOOKUP(A14,'PS Pivot'!$B$5:$O$39,14,FALSE),0)</f>
        <v>2027.0699999999997</v>
      </c>
      <c r="E14" s="3">
        <f>IFERROR(VLOOKUP(A14,Licenses!$A$4:$N$25,14,FALSE),0)</f>
        <v>4604.18</v>
      </c>
      <c r="F14" s="3">
        <f>IFERROR(VLOOKUP(A14,'IFRS15 Licenses'!$U$10:$AH$26,14,FALSE),0)</f>
        <v>0</v>
      </c>
      <c r="H14" s="2">
        <f t="shared" si="0"/>
        <v>15639.614398539816</v>
      </c>
      <c r="J14" s="3">
        <f>IFERROR(VLOOKUP(A14,'Annual Maintenance'!$A$1:$N$41,14,FALSE),0)</f>
        <v>11698.341879026029</v>
      </c>
      <c r="K14" s="3">
        <f>IFERROR(VLOOKUP(A14,'PS Pivot'!$B$35:$O$56,14,FALSE),0)</f>
        <v>-2752.3800994698668</v>
      </c>
      <c r="L14" s="3">
        <f>IFERROR(VLOOKUP(A14,Licenses!$A$35:$N$53,14,FALSE),0)</f>
        <v>6192.7422391994405</v>
      </c>
      <c r="M14" s="3">
        <f>IFERROR(VLOOKUP(A14,'IFRS15 Licenses'!$U$37:$AH$51,14,FALSE),0)</f>
        <v>0</v>
      </c>
      <c r="N14" s="3"/>
      <c r="O14" s="3">
        <f t="shared" si="1"/>
        <v>15138.704018755603</v>
      </c>
      <c r="P14" s="47">
        <f>IFERROR(VLOOKUP(A14,COGS!$A$204:$N$238,14,FALSE),0)</f>
        <v>-1334.8769991928532</v>
      </c>
      <c r="R14">
        <f>IFERROR(VLOOKUP(A14,'COGS License'!$A$23:$N$34,14,FALSE),0)</f>
        <v>0</v>
      </c>
    </row>
    <row r="15" spans="1:18">
      <c r="A15" s="1" t="s">
        <v>28</v>
      </c>
      <c r="B15" t="s">
        <v>54</v>
      </c>
      <c r="C15" s="3">
        <f>IFERROR(VLOOKUP(A15,'Annual Maintenance'!$A$1:$G$41,7,FALSE),0)</f>
        <v>64354.470417083285</v>
      </c>
      <c r="D15" s="3">
        <f>-IFERROR(VLOOKUP(A15,'PS Pivot'!$B$5:$O$39,14,FALSE),0)</f>
        <v>6628</v>
      </c>
      <c r="E15" s="3">
        <f>IFERROR(VLOOKUP(A15,Licenses!$A$4:$N$25,14,FALSE),0)</f>
        <v>553.82000000000005</v>
      </c>
      <c r="F15" s="3">
        <f>IFERROR(VLOOKUP(A15,'IFRS15 Licenses'!$U$10:$AH$26,14,FALSE),0)</f>
        <v>450</v>
      </c>
      <c r="H15" s="2">
        <f t="shared" si="0"/>
        <v>71986.290417083292</v>
      </c>
      <c r="J15" s="3">
        <f>IFERROR(VLOOKUP(A15,'Annual Maintenance'!$A$1:$N$41,14,FALSE),0)</f>
        <v>85005.465831635607</v>
      </c>
      <c r="K15" s="3">
        <f>IFERROR(VLOOKUP(A15,'PS Pivot'!$B$35:$O$56,14,FALSE),0)</f>
        <v>-8859.6604938337005</v>
      </c>
      <c r="L15" s="3">
        <f>IFERROR(VLOOKUP(A15,Licenses!$A$35:$N$53,14,FALSE),0)</f>
        <v>747.56691818635863</v>
      </c>
      <c r="M15" s="3">
        <f>IFERROR(VLOOKUP(A15,'IFRS15 Licenses'!$U$37:$AH$51,14,FALSE),0)</f>
        <v>591.26504441057443</v>
      </c>
      <c r="N15" s="3"/>
      <c r="O15" s="3">
        <f t="shared" si="1"/>
        <v>77484.637300398841</v>
      </c>
      <c r="P15" s="47">
        <f>IFERROR(VLOOKUP(A15,COGS!$A$204:$N$238,14,FALSE),0)</f>
        <v>-5441.8170265082417</v>
      </c>
      <c r="R15">
        <f>IFERROR(VLOOKUP(A15,'COGS License'!$A$23:$N$34,14,FALSE),0)</f>
        <v>-451.29111942010985</v>
      </c>
    </row>
    <row r="16" spans="1:18">
      <c r="A16" s="1" t="s">
        <v>46</v>
      </c>
      <c r="B16" t="s">
        <v>54</v>
      </c>
      <c r="C16" s="3">
        <f>IFERROR(VLOOKUP(A16,'Annual Maintenance'!$A$1:$G$41,7,FALSE),0)</f>
        <v>10882.452857142858</v>
      </c>
      <c r="D16" s="3">
        <f>-IFERROR(VLOOKUP(A16,'PS Pivot'!$B$5:$O$39,14,FALSE),0)</f>
        <v>0</v>
      </c>
      <c r="E16" s="50">
        <f>IFERROR(VLOOKUP(A16,Licenses!$A$4:$N$25,14,FALSE),0)</f>
        <v>0</v>
      </c>
      <c r="F16" s="3">
        <f>IFERROR(VLOOKUP(A16,'IFRS15 Licenses'!$U$10:$AH$26,14,FALSE),0)</f>
        <v>0</v>
      </c>
      <c r="H16" s="2">
        <f t="shared" si="0"/>
        <v>10882.452857142858</v>
      </c>
      <c r="J16" s="3">
        <f>IFERROR(VLOOKUP(A16,'Annual Maintenance'!$A$1:$N$41,14,FALSE),0)</f>
        <v>14371.646566997593</v>
      </c>
      <c r="K16" s="3">
        <f>IFERROR(VLOOKUP(A16,'PS Pivot'!$B$35:$O$56,14,FALSE),0)</f>
        <v>0</v>
      </c>
      <c r="L16" s="3">
        <f>IFERROR(VLOOKUP(A16,Licenses!$A$35:$N$53,14,FALSE),0)</f>
        <v>0</v>
      </c>
      <c r="M16" s="3">
        <f>IFERROR(VLOOKUP(A16,'IFRS15 Licenses'!$U$37:$AH$51,14,FALSE),0)</f>
        <v>0</v>
      </c>
      <c r="N16" s="3"/>
      <c r="O16" s="3">
        <f t="shared" si="1"/>
        <v>14371.646566997593</v>
      </c>
      <c r="P16" s="47">
        <f>IFERROR(VLOOKUP(A16,COGS!$A$204:$N$238,14,FALSE),0)</f>
        <v>-9402.8671837171332</v>
      </c>
      <c r="R16">
        <f>IFERROR(VLOOKUP(A16,'COGS License'!$A$23:$N$34,14,FALSE),0)</f>
        <v>0</v>
      </c>
    </row>
    <row r="17" spans="1:18">
      <c r="A17" s="1" t="s">
        <v>50</v>
      </c>
      <c r="C17" s="3"/>
      <c r="D17" s="3"/>
      <c r="E17" s="50"/>
      <c r="F17" s="3"/>
      <c r="H17" s="2"/>
      <c r="J17" s="3"/>
      <c r="K17" s="3">
        <f>IFERROR(VLOOKUP(A17,'PS Pivot'!$B$35:$O$56,14,FALSE),0)</f>
        <v>0</v>
      </c>
      <c r="L17" s="3">
        <f>IFERROR(VLOOKUP(A17,Licenses!$A$35:$N$53,14,FALSE),0)</f>
        <v>0</v>
      </c>
      <c r="M17" s="3">
        <f>IFERROR(VLOOKUP(A17,'IFRS15 Licenses'!$U$37:$AH$51,14,FALSE),0)</f>
        <v>0</v>
      </c>
      <c r="N17" s="3"/>
      <c r="O17" s="3">
        <f t="shared" si="1"/>
        <v>0</v>
      </c>
      <c r="P17" s="47">
        <f>IFERROR(VLOOKUP(A17,COGS!$A$204:$N$238,14,FALSE),0)</f>
        <v>-843.94887705078486</v>
      </c>
      <c r="R17">
        <f>IFERROR(VLOOKUP(A17,'COGS License'!$A$23:$N$34,14,FALSE),0)</f>
        <v>0</v>
      </c>
    </row>
    <row r="18" spans="1:18">
      <c r="A18" s="1" t="s">
        <v>26</v>
      </c>
      <c r="B18" t="s">
        <v>54</v>
      </c>
      <c r="C18" s="3">
        <f>IFERROR(VLOOKUP(A18,'Annual Maintenance'!$A$1:$G$41,7,FALSE),0)</f>
        <v>29460.291373626373</v>
      </c>
      <c r="D18" s="50">
        <f>-IFERROR(VLOOKUP(A18,'PS Pivot'!$B$5:$O$39,14,FALSE),0)</f>
        <v>296</v>
      </c>
      <c r="E18" s="50">
        <f>IFERROR(VLOOKUP(A18,Licenses!$A$4:$N$25,14,FALSE),0)</f>
        <v>3796.28</v>
      </c>
      <c r="F18" s="3">
        <f>IFERROR(VLOOKUP(A18,'IFRS15 Licenses'!$U$10:$AH$26,14,FALSE),0)</f>
        <v>8139</v>
      </c>
      <c r="H18" s="2">
        <f t="shared" si="0"/>
        <v>41691.571373626371</v>
      </c>
      <c r="J18" s="3">
        <f>IFERROR(VLOOKUP(A18,'Annual Maintenance'!$A$1:$N$41,14,FALSE),0)</f>
        <v>38924.123608239854</v>
      </c>
      <c r="K18" s="3">
        <f>IFERROR(VLOOKUP(A18,'PS Pivot'!$B$35:$O$56,14,FALSE),0)</f>
        <v>-397.84946236559142</v>
      </c>
      <c r="L18" s="3">
        <f>IFERROR(VLOOKUP(A18,Licenses!$A$35:$N$53,14,FALSE),0)</f>
        <v>5020.9366609795134</v>
      </c>
      <c r="M18" s="3">
        <f>IFERROR(VLOOKUP(A18,'IFRS15 Licenses'!$U$37:$AH$51,14,FALSE),0)</f>
        <v>10104.408496691454</v>
      </c>
      <c r="N18" s="3"/>
      <c r="O18" s="3">
        <f t="shared" si="1"/>
        <v>53651.619303545223</v>
      </c>
      <c r="P18" s="47">
        <f>IFERROR(VLOOKUP(A18,COGS!$A$204:$N$238,14,FALSE),0)</f>
        <v>-1392.8743949428608</v>
      </c>
      <c r="R18">
        <f>IFERROR(VLOOKUP(A18,'COGS License'!$A$23:$N$34,14,FALSE),0)</f>
        <v>0</v>
      </c>
    </row>
    <row r="19" spans="1:18">
      <c r="A19" s="1" t="s">
        <v>11</v>
      </c>
      <c r="B19" t="s">
        <v>54</v>
      </c>
      <c r="C19" s="3">
        <f>IFERROR(VLOOKUP(A19,'Annual Maintenance'!$A$1:$G$41,7,FALSE),0)+520000</f>
        <v>2177709.5278846156</v>
      </c>
      <c r="D19" s="50">
        <f>-IFERROR(VLOOKUP(A19,'PS Pivot'!$B$5:$O$39,14,FALSE),0)</f>
        <v>0</v>
      </c>
      <c r="E19" s="50">
        <f>IFERROR(VLOOKUP(A19,Licenses!$A$4:$N$25,14,FALSE),0)</f>
        <v>0</v>
      </c>
      <c r="F19" s="3">
        <f>IFERROR(VLOOKUP(A19,'IFRS15 Licenses'!$U$10:$AH$26,14,FALSE),0)</f>
        <v>0</v>
      </c>
      <c r="H19" s="2">
        <f t="shared" si="0"/>
        <v>2177709.5278846156</v>
      </c>
      <c r="J19" s="3">
        <f>IFERROR(VLOOKUP(A19,'Annual Maintenance'!$A$1:$N$41,14,FALSE),0)</f>
        <v>2189263.4019520199</v>
      </c>
      <c r="K19" s="3">
        <f>IFERROR(VLOOKUP(A19,'PS Pivot'!$B$35:$O$56,14,FALSE),0)</f>
        <v>0</v>
      </c>
      <c r="L19" s="3">
        <f>IFERROR(VLOOKUP(A19,Licenses!$A$35:$N$53,14,FALSE),0)</f>
        <v>0</v>
      </c>
      <c r="M19" s="3">
        <f>IFERROR(VLOOKUP(A19,'IFRS15 Licenses'!$U$37:$AH$51,14,FALSE),0)</f>
        <v>0</v>
      </c>
      <c r="N19" s="3"/>
      <c r="O19" s="3">
        <f t="shared" si="1"/>
        <v>2189263.4019520199</v>
      </c>
      <c r="P19" s="47">
        <f>IFERROR(VLOOKUP(A19,COGS!$A$204:$N$238,14,FALSE),0)</f>
        <v>-174087.36594522532</v>
      </c>
      <c r="R19">
        <f>IFERROR(VLOOKUP(A19,'COGS License'!$A$23:$N$34,14,FALSE),0)</f>
        <v>0</v>
      </c>
    </row>
    <row r="20" spans="1:18">
      <c r="A20" s="1" t="s">
        <v>42</v>
      </c>
      <c r="B20" t="s">
        <v>54</v>
      </c>
      <c r="C20" s="3">
        <f>IFERROR(VLOOKUP(A20,'Annual Maintenance'!$A$1:$G$41,7,FALSE),0)</f>
        <v>20776.969447162424</v>
      </c>
      <c r="D20" s="50">
        <f>-IFERROR(VLOOKUP(A20,'PS Pivot'!$B$5:$O$39,14,FALSE),0)</f>
        <v>7844</v>
      </c>
      <c r="E20" s="50">
        <f>IFERROR(VLOOKUP(A20,Licenses!$A$4:$N$25,14,FALSE),0)</f>
        <v>786.47</v>
      </c>
      <c r="F20" s="3">
        <f>IFERROR(VLOOKUP(A20,'IFRS15 Licenses'!$U$10:$AH$26,14,FALSE),0)</f>
        <v>0</v>
      </c>
      <c r="H20" s="2">
        <f t="shared" si="0"/>
        <v>29407.439447162425</v>
      </c>
      <c r="J20" s="3">
        <f>IFERROR(VLOOKUP(A20,'Annual Maintenance'!$A$1:$N$41,14,FALSE),0)</f>
        <v>27449.414252724295</v>
      </c>
      <c r="K20" s="3">
        <f>IFERROR(VLOOKUP(A20,'PS Pivot'!$B$35:$O$56,14,FALSE),0)</f>
        <v>-10513.15062891442</v>
      </c>
      <c r="L20" s="3">
        <f>IFERROR(VLOOKUP(A20,Licenses!$A$35:$N$53,14,FALSE),0)</f>
        <v>1050.7561992304404</v>
      </c>
      <c r="M20" s="3">
        <f>IFERROR(VLOOKUP(A20,'IFRS15 Licenses'!$U$37:$AH$51,14,FALSE),0)</f>
        <v>0</v>
      </c>
      <c r="N20" s="3"/>
      <c r="O20" s="3">
        <f t="shared" si="1"/>
        <v>17987.019823040315</v>
      </c>
      <c r="P20" s="47">
        <f>IFERROR(VLOOKUP(A20,COGS!$A$204:$N$238,14,FALSE),0)</f>
        <v>-2284.765839764063</v>
      </c>
      <c r="R20">
        <f>IFERROR(VLOOKUP(A20,'COGS License'!$A$23:$N$34,14,FALSE),0)</f>
        <v>-642.41136278043791</v>
      </c>
    </row>
    <row r="21" spans="1:18">
      <c r="A21" s="1" t="s">
        <v>21</v>
      </c>
      <c r="B21" t="s">
        <v>54</v>
      </c>
      <c r="C21" s="3">
        <f>IFERROR(VLOOKUP(A21,'Annual Maintenance'!$A$1:$G$41,7,FALSE),0)</f>
        <v>98202.426773698433</v>
      </c>
      <c r="D21" s="50">
        <f>-IFERROR(VLOOKUP(A21,'PS Pivot'!$B$5:$O$39,14,FALSE),0)</f>
        <v>24009.603333333333</v>
      </c>
      <c r="E21" s="50">
        <f>IFERROR(VLOOKUP(A21,Licenses!$A$4:$N$25,14,FALSE),0)</f>
        <v>4258.7700000000004</v>
      </c>
      <c r="F21" s="3">
        <f>IFERROR(VLOOKUP(A21,'IFRS15 Licenses'!$U$10:$AH$26,14,FALSE),0)</f>
        <v>350</v>
      </c>
      <c r="H21" s="2">
        <f t="shared" si="0"/>
        <v>126820.80010703177</v>
      </c>
      <c r="J21" s="3">
        <f>IFERROR(VLOOKUP(A21,'Annual Maintenance'!$A$1:$N$41,14,FALSE),0)</f>
        <v>129721.69099754715</v>
      </c>
      <c r="K21" s="3">
        <f>IFERROR(VLOOKUP(A21,'PS Pivot'!$B$35:$O$56,14,FALSE),0)</f>
        <v>-32332.610642977983</v>
      </c>
      <c r="L21" s="3">
        <f>IFERROR(VLOOKUP(A21,Licenses!$A$35:$N$53,14,FALSE),0)</f>
        <v>5840.0115188415339</v>
      </c>
      <c r="M21" s="3">
        <f>IFERROR(VLOOKUP(A21,'IFRS15 Licenses'!$U$37:$AH$51,14,FALSE),0)</f>
        <v>459.87281231933571</v>
      </c>
      <c r="N21" s="3"/>
      <c r="O21" s="3">
        <f t="shared" si="1"/>
        <v>103688.96468573002</v>
      </c>
      <c r="P21" s="47">
        <f>IFERROR(VLOOKUP(A21,COGS!$A$204:$N$238,14,FALSE),0)</f>
        <v>-16129.282302015152</v>
      </c>
      <c r="R21">
        <f>IFERROR(VLOOKUP(A21,'COGS License'!$A$23:$N$34,14,FALSE),0)</f>
        <v>-4153.6089976844196</v>
      </c>
    </row>
    <row r="22" spans="1:18">
      <c r="A22" s="1" t="s">
        <v>45</v>
      </c>
      <c r="B22" t="s">
        <v>54</v>
      </c>
      <c r="C22" s="3">
        <f>IFERROR(VLOOKUP(A22,'Annual Maintenance'!$A$1:$G$41,7,FALSE),0)</f>
        <v>10386.781499473131</v>
      </c>
      <c r="D22" s="50">
        <f>-IFERROR(VLOOKUP(A22,'PS Pivot'!$B$5:$O$39,14,FALSE),0)</f>
        <v>0</v>
      </c>
      <c r="E22" s="50">
        <f>IFERROR(VLOOKUP(A22,Licenses!$A$4:$N$25,14,FALSE),0)</f>
        <v>0</v>
      </c>
      <c r="F22" s="3">
        <f>IFERROR(VLOOKUP(A22,'IFRS15 Licenses'!$U$10:$AH$26,14,FALSE),0)</f>
        <v>0</v>
      </c>
      <c r="H22" s="2">
        <f t="shared" si="0"/>
        <v>10386.781499473131</v>
      </c>
      <c r="J22" s="3">
        <f>IFERROR(VLOOKUP(A22,'Annual Maintenance'!$A$1:$N$41,14,FALSE),0)</f>
        <v>13718.316595271897</v>
      </c>
      <c r="K22" s="3">
        <f>IFERROR(VLOOKUP(A22,'PS Pivot'!$B$35:$O$56,14,FALSE),0)</f>
        <v>0</v>
      </c>
      <c r="L22" s="3">
        <f>IFERROR(VLOOKUP(A22,Licenses!$A$35:$N$53,14,FALSE),0)</f>
        <v>0</v>
      </c>
      <c r="M22" s="3">
        <f>IFERROR(VLOOKUP(A22,'IFRS15 Licenses'!$U$37:$AH$51,14,FALSE),0)</f>
        <v>0</v>
      </c>
      <c r="N22" s="3"/>
      <c r="O22" s="3">
        <f t="shared" si="1"/>
        <v>13718.316595271897</v>
      </c>
      <c r="P22" s="47">
        <f>IFERROR(VLOOKUP(A22,COGS!$A$204:$N$238,14,FALSE),0)</f>
        <v>-489.92733429155658</v>
      </c>
      <c r="R22">
        <f>IFERROR(VLOOKUP(A22,'COGS License'!$A$23:$N$34,14,FALSE),0)</f>
        <v>0</v>
      </c>
    </row>
    <row r="23" spans="1:18">
      <c r="A23" s="1" t="s">
        <v>19</v>
      </c>
      <c r="B23" t="s">
        <v>54</v>
      </c>
      <c r="C23" s="3">
        <f>IFERROR(VLOOKUP(A23,'Annual Maintenance'!$A$1:$G$41,7,FALSE),0)</f>
        <v>94530.098266178291</v>
      </c>
      <c r="D23" s="50">
        <f>-IFERROR(VLOOKUP(A23,'PS Pivot'!$B$5:$O$39,14,FALSE),0)</f>
        <v>9994.6</v>
      </c>
      <c r="E23" s="50">
        <f>IFERROR(VLOOKUP(A23,Licenses!$A$4:$N$25,14,FALSE),0)</f>
        <v>7510.77</v>
      </c>
      <c r="F23" s="3">
        <f>IFERROR(VLOOKUP(A23,'IFRS15 Licenses'!$U$10:$AH$26,14,FALSE),0)</f>
        <v>0</v>
      </c>
      <c r="H23" s="2">
        <f t="shared" si="0"/>
        <v>112035.4682661783</v>
      </c>
      <c r="J23" s="3">
        <f>IFERROR(VLOOKUP(A23,'Annual Maintenance'!$A$1:$N$41,14,FALSE),0)</f>
        <v>124842.01595427151</v>
      </c>
      <c r="K23" s="3">
        <f>IFERROR(VLOOKUP(A23,'PS Pivot'!$B$35:$O$56,14,FALSE),0)</f>
        <v>-13098.999139161271</v>
      </c>
      <c r="L23" s="3">
        <f>IFERROR(VLOOKUP(A23,Licenses!$A$35:$N$53,14,FALSE),0)</f>
        <v>9901.1603198987796</v>
      </c>
      <c r="M23" s="3">
        <f>IFERROR(VLOOKUP(A23,'IFRS15 Licenses'!$U$37:$AH$51,14,FALSE),0)</f>
        <v>0</v>
      </c>
      <c r="N23" s="3"/>
      <c r="O23" s="3">
        <f t="shared" si="1"/>
        <v>121644.17713500903</v>
      </c>
      <c r="P23" s="47">
        <f>IFERROR(VLOOKUP(A23,COGS!$A$204:$N$238,14,FALSE),0)</f>
        <v>-11966.405486505784</v>
      </c>
      <c r="R23">
        <f>IFERROR(VLOOKUP(A23,'COGS License'!$A$23:$N$34,14,FALSE),0)</f>
        <v>-1482.402016164074</v>
      </c>
    </row>
    <row r="24" spans="1:18">
      <c r="A24" s="1" t="s">
        <v>24</v>
      </c>
      <c r="B24" t="s">
        <v>54</v>
      </c>
      <c r="C24" s="3">
        <f>IFERROR(VLOOKUP(A24,'Annual Maintenance'!$A$1:$G$41,7,FALSE),0)</f>
        <v>82017.101433768927</v>
      </c>
      <c r="D24" s="50">
        <f>-IFERROR(VLOOKUP(A24,'PS Pivot'!$B$5:$O$39,14,FALSE),0)</f>
        <v>4365</v>
      </c>
      <c r="E24" s="3">
        <f>IFERROR(VLOOKUP(A24,Licenses!$A$4:$N$25,14,FALSE),0)</f>
        <v>0</v>
      </c>
      <c r="F24" s="3">
        <f>IFERROR(VLOOKUP(A24,'IFRS15 Licenses'!$U$10:$AH$26,14,FALSE),0)</f>
        <v>1000</v>
      </c>
      <c r="H24" s="2">
        <f t="shared" si="0"/>
        <v>87382.101433768927</v>
      </c>
      <c r="J24" s="3">
        <f>IFERROR(VLOOKUP(A24,'Annual Maintenance'!$A$1:$N$41,14,FALSE),0)</f>
        <v>108214.25648456317</v>
      </c>
      <c r="K24" s="3">
        <f>IFERROR(VLOOKUP(A24,'PS Pivot'!$B$35:$O$56,14,FALSE),0)</f>
        <v>-5543.2140126259947</v>
      </c>
      <c r="L24" s="3">
        <f>IFERROR(VLOOKUP(A24,Licenses!$A$35:$N$53,14,FALSE),0)</f>
        <v>0</v>
      </c>
      <c r="M24" s="3">
        <f>IFERROR(VLOOKUP(A24,'IFRS15 Licenses'!$U$37:$AH$51,14,FALSE),0)</f>
        <v>1293.4602649006622</v>
      </c>
      <c r="N24" s="3"/>
      <c r="O24" s="3">
        <f t="shared" si="1"/>
        <v>103964.50273683784</v>
      </c>
      <c r="P24" s="47">
        <f>IFERROR(VLOOKUP(A24,COGS!$A$204:$N$238,14,FALSE),0)</f>
        <v>-10440.948873599349</v>
      </c>
      <c r="R24">
        <f>IFERROR(VLOOKUP(A24,'COGS License'!$A$23:$N$34,14,FALSE),0)</f>
        <v>0</v>
      </c>
    </row>
    <row r="25" spans="1:18">
      <c r="A25" s="1" t="s">
        <v>23</v>
      </c>
      <c r="B25" t="s">
        <v>54</v>
      </c>
      <c r="C25" s="3">
        <f>IFERROR(VLOOKUP(A25,'Annual Maintenance'!$A$1:$G$41,7,FALSE),0)</f>
        <v>92092.844492699078</v>
      </c>
      <c r="D25" s="50">
        <f>-IFERROR(VLOOKUP(A25,'PS Pivot'!$B$5:$O$39,14,FALSE),0)</f>
        <v>0</v>
      </c>
      <c r="E25" s="3">
        <f>IFERROR(VLOOKUP(A25,Licenses!$A$4:$N$25,14,FALSE),0)</f>
        <v>0</v>
      </c>
      <c r="F25" s="3">
        <f>IFERROR(VLOOKUP(A25,'IFRS15 Licenses'!$U$10:$AH$26,14,FALSE),0)</f>
        <v>522.20000000000005</v>
      </c>
      <c r="H25" s="2">
        <f t="shared" si="0"/>
        <v>92615.044492699075</v>
      </c>
      <c r="J25" s="3">
        <f>IFERROR(VLOOKUP(A25,'Annual Maintenance'!$A$1:$N$41,14,FALSE),0)</f>
        <v>121654.51907411928</v>
      </c>
      <c r="K25" s="3">
        <f>IFERROR(VLOOKUP(A25,'PS Pivot'!$B$35:$O$56,14,FALSE),0)</f>
        <v>0</v>
      </c>
      <c r="L25" s="3">
        <f>IFERROR(VLOOKUP(A25,Licenses!$A$35:$N$53,14,FALSE),0)</f>
        <v>0</v>
      </c>
      <c r="M25" s="3">
        <f>IFERROR(VLOOKUP(A25,'IFRS15 Licenses'!$U$37:$AH$51,14,FALSE),0)</f>
        <v>690.96923585841887</v>
      </c>
      <c r="N25" s="3"/>
      <c r="O25" s="3">
        <f t="shared" si="1"/>
        <v>122345.48830997769</v>
      </c>
      <c r="P25" s="47">
        <f>IFERROR(VLOOKUP(A25,COGS!$A$204:$N$238,14,FALSE),0)</f>
        <v>-11611.247085327937</v>
      </c>
      <c r="R25">
        <f>IFERROR(VLOOKUP(A25,'COGS License'!$A$23:$N$34,14,FALSE),0)</f>
        <v>0</v>
      </c>
    </row>
    <row r="26" spans="1:18">
      <c r="A26" s="1" t="s">
        <v>33</v>
      </c>
      <c r="B26" t="s">
        <v>54</v>
      </c>
      <c r="C26" s="3">
        <f>IFERROR(VLOOKUP(A26,'Annual Maintenance'!$A$1:$G$41,7,FALSE),0)</f>
        <v>36582.778241682972</v>
      </c>
      <c r="D26" s="50">
        <f>-IFERROR(VLOOKUP(A26,'PS Pivot'!$B$5:$O$39,14,FALSE),0)</f>
        <v>0</v>
      </c>
      <c r="E26" s="3">
        <f>IFERROR(VLOOKUP(A26,Licenses!$A$4:$N$25,14,FALSE),0)</f>
        <v>0</v>
      </c>
      <c r="F26" s="3">
        <f>IFERROR(VLOOKUP(A26,'IFRS15 Licenses'!$U$10:$AH$26,14,FALSE),0)</f>
        <v>0</v>
      </c>
      <c r="H26" s="2">
        <f t="shared" si="0"/>
        <v>36582.778241682972</v>
      </c>
      <c r="J26" s="3">
        <f>IFERROR(VLOOKUP(A26,'Annual Maintenance'!$A$1:$N$41,14,FALSE),0)</f>
        <v>48823.802642683855</v>
      </c>
      <c r="K26" s="3">
        <f>IFERROR(VLOOKUP(A26,'PS Pivot'!$B$35:$O$56,14,FALSE),0)</f>
        <v>0</v>
      </c>
      <c r="L26" s="3">
        <f>IFERROR(VLOOKUP(A26,Licenses!$A$35:$N$53,14,FALSE),0)</f>
        <v>0</v>
      </c>
      <c r="M26" s="3">
        <f>IFERROR(VLOOKUP(A26,'IFRS15 Licenses'!$U$37:$AH$51,14,FALSE),0)</f>
        <v>0</v>
      </c>
      <c r="N26" s="3"/>
      <c r="O26" s="3">
        <f t="shared" si="1"/>
        <v>48823.802642683855</v>
      </c>
      <c r="P26" s="47">
        <f>IFERROR(VLOOKUP(A26,COGS!$A$204:$N$238,14,FALSE),0)</f>
        <v>-9113.4148987555982</v>
      </c>
      <c r="R26">
        <f>IFERROR(VLOOKUP(A26,'COGS License'!$A$23:$N$34,14,FALSE),0)</f>
        <v>0</v>
      </c>
    </row>
    <row r="27" spans="1:18">
      <c r="A27" s="1" t="s">
        <v>34</v>
      </c>
      <c r="B27" t="s">
        <v>59</v>
      </c>
      <c r="C27" s="3">
        <f>IFERROR(VLOOKUP(A27,'Annual Maintenance'!$A$1:$G$41,7,FALSE),0)</f>
        <v>12790.306593406593</v>
      </c>
      <c r="D27" s="50">
        <f>-IFERROR(VLOOKUP(A27,'PS Pivot'!$B$5:$O$39,14,FALSE),0)</f>
        <v>0</v>
      </c>
      <c r="E27" s="3">
        <f>IFERROR(VLOOKUP(A27,Licenses!$A$4:$N$25,14,FALSE),0)</f>
        <v>0</v>
      </c>
      <c r="F27" s="3">
        <f>IFERROR(VLOOKUP(A27,'IFRS15 Licenses'!$U$10:$AH$26,14,FALSE),0)</f>
        <v>0</v>
      </c>
      <c r="H27" s="2">
        <f t="shared" si="0"/>
        <v>12790.306593406593</v>
      </c>
      <c r="J27" s="3">
        <f>IFERROR(VLOOKUP(A27,'Annual Maintenance'!$A$1:$N$41,14,FALSE),0)</f>
        <v>16852.115383936594</v>
      </c>
      <c r="K27" s="3">
        <f>IFERROR(VLOOKUP(A27,'PS Pivot'!$B$35:$O$56,14,FALSE),0)</f>
        <v>0</v>
      </c>
      <c r="L27" s="3">
        <f>IFERROR(VLOOKUP(A27,Licenses!$A$35:$N$53,14,FALSE),0)</f>
        <v>0</v>
      </c>
      <c r="M27" s="3">
        <f>IFERROR(VLOOKUP(A27,'IFRS15 Licenses'!$U$37:$AH$51,14,FALSE),0)</f>
        <v>0</v>
      </c>
      <c r="N27" s="3"/>
      <c r="O27" s="3">
        <f t="shared" si="1"/>
        <v>16852.115383936594</v>
      </c>
      <c r="P27" s="47">
        <f>IFERROR(VLOOKUP(A27,COGS!$A$204:$N$238,14,FALSE),0)</f>
        <v>-7250.521668259842</v>
      </c>
      <c r="R27">
        <f>IFERROR(VLOOKUP(A27,'COGS License'!$A$23:$N$34,14,FALSE),0)</f>
        <v>0</v>
      </c>
    </row>
    <row r="28" spans="1:18">
      <c r="A28" s="1" t="s">
        <v>49</v>
      </c>
      <c r="B28" t="s">
        <v>54</v>
      </c>
      <c r="C28" s="3">
        <f>IFERROR(VLOOKUP(A28,'Annual Maintenance'!$A$1:$G$41,7,FALSE),0)</f>
        <v>48.485961538461538</v>
      </c>
      <c r="D28" s="50">
        <f>-IFERROR(VLOOKUP(A28,'PS Pivot'!$B$5:$O$39,14,FALSE),0)</f>
        <v>0</v>
      </c>
      <c r="E28" s="3">
        <f>IFERROR(VLOOKUP(A28,Licenses!$A$4:$N$25,14,FALSE),0)</f>
        <v>0</v>
      </c>
      <c r="F28" s="3">
        <f>IFERROR(VLOOKUP(A28,'IFRS15 Licenses'!$U$10:$AH$26,14,FALSE),0)</f>
        <v>2000</v>
      </c>
      <c r="H28" s="2">
        <f t="shared" si="0"/>
        <v>2048.4859615384617</v>
      </c>
      <c r="J28" s="3">
        <f>IFERROR(VLOOKUP(A28,'Annual Maintenance'!$A$1:$N$41,14,FALSE),0)</f>
        <v>62.698495052615726</v>
      </c>
      <c r="K28" s="3">
        <f>IFERROR(VLOOKUP(A28,'PS Pivot'!$B$35:$O$56,14,FALSE),0)</f>
        <v>0</v>
      </c>
      <c r="L28" s="3">
        <f>IFERROR(VLOOKUP(A28,Licenses!$A$35:$N$53,14,FALSE),0)</f>
        <v>0</v>
      </c>
      <c r="M28" s="3">
        <f>IFERROR(VLOOKUP(A28,'IFRS15 Licenses'!$U$37:$AH$51,14,FALSE),0)</f>
        <v>2586.5064346650115</v>
      </c>
      <c r="N28" s="3"/>
      <c r="O28" s="3">
        <f t="shared" si="1"/>
        <v>2649.2049297176272</v>
      </c>
      <c r="P28" s="47">
        <f>IFERROR(VLOOKUP(A28,COGS!$A$204:$N$238,14,FALSE),0)</f>
        <v>-36.563709753520101</v>
      </c>
      <c r="R28">
        <f>IFERROR(VLOOKUP(A28,'COGS License'!$A$23:$N$34,14,FALSE),0)</f>
        <v>0</v>
      </c>
    </row>
    <row r="29" spans="1:18">
      <c r="A29" s="1" t="s">
        <v>37</v>
      </c>
      <c r="B29" t="s">
        <v>54</v>
      </c>
      <c r="C29" s="3">
        <f>IFERROR(VLOOKUP(A29,'Annual Maintenance'!$A$1:$G$41,7,FALSE),0)</f>
        <v>18684.074478021976</v>
      </c>
      <c r="D29" s="50">
        <f>-IFERROR(VLOOKUP(A29,'PS Pivot'!$B$5:$O$39,14,FALSE),0)</f>
        <v>1950</v>
      </c>
      <c r="E29" s="3">
        <f>IFERROR(VLOOKUP(A29,Licenses!$A$4:$N$25,14,FALSE),0)</f>
        <v>545.41</v>
      </c>
      <c r="F29" s="3">
        <f>IFERROR(VLOOKUP(A29,'IFRS15 Licenses'!$U$10:$AH$26,14,FALSE),0)</f>
        <v>500</v>
      </c>
      <c r="H29" s="2">
        <f t="shared" si="0"/>
        <v>21679.484478021976</v>
      </c>
      <c r="J29" s="3">
        <f>IFERROR(VLOOKUP(A29,'Annual Maintenance'!$A$1:$N$41,14,FALSE),0)</f>
        <v>24680.946138087857</v>
      </c>
      <c r="K29" s="3">
        <f>IFERROR(VLOOKUP(A29,'PS Pivot'!$B$35:$O$56,14,FALSE),0)</f>
        <v>-2454.7754824577969</v>
      </c>
      <c r="L29" s="3">
        <f>IFERROR(VLOOKUP(A29,Licenses!$A$35:$N$53,14,FALSE),0)</f>
        <v>733.07795698924724</v>
      </c>
      <c r="M29" s="3">
        <f>IFERROR(VLOOKUP(A29,'IFRS15 Licenses'!$U$37:$AH$51,14,FALSE),0)</f>
        <v>656.96116045619385</v>
      </c>
      <c r="N29" s="3"/>
      <c r="O29" s="3">
        <f t="shared" si="1"/>
        <v>23616.209773075501</v>
      </c>
      <c r="P29" s="47">
        <f>IFERROR(VLOOKUP(A29,COGS!$A$204:$N$238,14,FALSE),0)</f>
        <v>-6151.4491701648458</v>
      </c>
      <c r="R29">
        <f>IFERROR(VLOOKUP(A29,'COGS License'!$A$23:$N$34,14,FALSE),0)</f>
        <v>-450.20161290322579</v>
      </c>
    </row>
    <row r="30" spans="1:18">
      <c r="A30" s="1" t="s">
        <v>36</v>
      </c>
      <c r="B30" t="s">
        <v>54</v>
      </c>
      <c r="C30" s="3">
        <f>IFERROR(VLOOKUP(A30,'Annual Maintenance'!$A$1:$G$41,7,FALSE),0)</f>
        <v>29008.938543956046</v>
      </c>
      <c r="D30" s="50">
        <f>-IFERROR(VLOOKUP(A30,'PS Pivot'!$B$5:$O$39,14,FALSE),0)</f>
        <v>0</v>
      </c>
      <c r="E30" s="3">
        <f>IFERROR(VLOOKUP(A30,Licenses!$A$4:$N$25,14,FALSE),0)</f>
        <v>0</v>
      </c>
      <c r="F30" s="3">
        <f>IFERROR(VLOOKUP(A30,'IFRS15 Licenses'!$U$10:$AH$26,14,FALSE),0)</f>
        <v>0</v>
      </c>
      <c r="H30" s="2">
        <f t="shared" si="0"/>
        <v>29008.938543956046</v>
      </c>
      <c r="J30" s="3">
        <f>IFERROR(VLOOKUP(A30,'Annual Maintenance'!$A$1:$N$41,14,FALSE),0)</f>
        <v>38311.777589923346</v>
      </c>
      <c r="K30" s="3">
        <f>IFERROR(VLOOKUP(A30,'PS Pivot'!$B$35:$O$56,14,FALSE),0)</f>
        <v>0</v>
      </c>
      <c r="L30" s="3">
        <f>IFERROR(VLOOKUP(A30,Licenses!$A$35:$N$53,14,FALSE),0)</f>
        <v>0</v>
      </c>
      <c r="M30" s="3">
        <f>IFERROR(VLOOKUP(A30,'IFRS15 Licenses'!$U$37:$AH$51,14,FALSE),0)</f>
        <v>0</v>
      </c>
      <c r="N30" s="3"/>
      <c r="O30" s="3">
        <f t="shared" si="1"/>
        <v>38311.777589923346</v>
      </c>
      <c r="P30" s="47">
        <f>IFERROR(VLOOKUP(A30,COGS!$A$204:$N$238,14,FALSE),0)</f>
        <v>-3246.9288525664424</v>
      </c>
      <c r="R30">
        <f>IFERROR(VLOOKUP(A30,'COGS License'!$A$23:$N$34,14,FALSE),0)</f>
        <v>0</v>
      </c>
    </row>
    <row r="31" spans="1:18">
      <c r="A31" s="1" t="s">
        <v>48</v>
      </c>
      <c r="B31" t="s">
        <v>54</v>
      </c>
      <c r="C31" s="3">
        <f>IFERROR(VLOOKUP(A31,'Annual Maintenance'!$A$1:$G$41,7,FALSE),0)</f>
        <v>0</v>
      </c>
      <c r="D31" s="50">
        <f>-IFERROR(VLOOKUP(A31,'PS Pivot'!$B$5:$O$39,14,FALSE),0)</f>
        <v>0</v>
      </c>
      <c r="E31" s="3">
        <f>IFERROR(VLOOKUP(A31,Licenses!$A$4:$N$25,14,FALSE),0)</f>
        <v>2489.66</v>
      </c>
      <c r="F31" s="3">
        <f>IFERROR(VLOOKUP(A31,'IFRS15 Licenses'!$U$10:$AH$26,14,FALSE),0)</f>
        <v>0</v>
      </c>
      <c r="H31" s="2">
        <f t="shared" si="0"/>
        <v>2489.66</v>
      </c>
      <c r="J31" s="3">
        <f>IFERROR(VLOOKUP(A31,'Annual Maintenance'!$A$1:$N$41,14,FALSE),0)</f>
        <v>0</v>
      </c>
      <c r="K31" s="3">
        <f>IFERROR(VLOOKUP(A31,'PS Pivot'!$B$35:$O$56,14,FALSE),0)</f>
        <v>0</v>
      </c>
      <c r="L31" s="3">
        <f>IFERROR(VLOOKUP(A31,Licenses!$A$35:$N$53,14,FALSE),0)</f>
        <v>3090.863946169412</v>
      </c>
      <c r="M31" s="3">
        <f>IFERROR(VLOOKUP(A31,'IFRS15 Licenses'!$U$37:$AH$51,14,FALSE),0)</f>
        <v>0</v>
      </c>
      <c r="N31" s="3"/>
      <c r="O31" s="3">
        <f t="shared" si="1"/>
        <v>3090.863946169412</v>
      </c>
      <c r="P31" s="47">
        <f>IFERROR(VLOOKUP(A31,COGS!$A$204:$N$238,14,FALSE),0)</f>
        <v>0</v>
      </c>
      <c r="R31">
        <f>IFERROR(VLOOKUP(A31,'COGS License'!$A$23:$N$34,14,FALSE),0)</f>
        <v>0</v>
      </c>
    </row>
    <row r="32" spans="1:18">
      <c r="A32" s="1" t="s">
        <v>39</v>
      </c>
      <c r="B32" t="s">
        <v>54</v>
      </c>
      <c r="C32" s="3">
        <f>IFERROR(VLOOKUP(A32,'Annual Maintenance'!$A$1:$G$41,7,FALSE),0)</f>
        <v>20088.755686813183</v>
      </c>
      <c r="D32" s="50">
        <f>-IFERROR(VLOOKUP(A32,'PS Pivot'!$B$5:$O$39,14,FALSE),0)</f>
        <v>1287.5999999999999</v>
      </c>
      <c r="E32" s="3">
        <f>IFERROR(VLOOKUP(A32,Licenses!$A$4:$N$25,14,FALSE),0)</f>
        <v>399.37</v>
      </c>
      <c r="F32" s="3">
        <f>IFERROR(VLOOKUP(A32,'IFRS15 Licenses'!$U$10:$AH$26,14,FALSE),0)</f>
        <v>0</v>
      </c>
      <c r="H32" s="2">
        <f t="shared" si="0"/>
        <v>21775.725686813181</v>
      </c>
      <c r="J32" s="3">
        <f>IFERROR(VLOOKUP(A32,'Annual Maintenance'!$A$1:$N$41,14,FALSE),0)</f>
        <v>26539.71450204655</v>
      </c>
      <c r="K32" s="3">
        <f>IFERROR(VLOOKUP(A32,'PS Pivot'!$B$35:$O$56,14,FALSE),0)</f>
        <v>-1765.6738522297185</v>
      </c>
      <c r="L32" s="3">
        <f>IFERROR(VLOOKUP(A32,Licenses!$A$35:$N$53,14,FALSE),0)</f>
        <v>533.57471141513463</v>
      </c>
      <c r="M32" s="3">
        <f>IFERROR(VLOOKUP(A32,'IFRS15 Licenses'!$U$37:$AH$51,14,FALSE),0)</f>
        <v>0</v>
      </c>
      <c r="N32" s="3"/>
      <c r="O32" s="3">
        <f t="shared" si="1"/>
        <v>25307.615361231965</v>
      </c>
      <c r="P32" s="47">
        <f>IFERROR(VLOOKUP(A32,COGS!$A$204:$N$238,14,FALSE),0)</f>
        <v>-3118.6806615283886</v>
      </c>
      <c r="R32">
        <f>IFERROR(VLOOKUP(A32,'COGS License'!$A$23:$N$34,14,FALSE),0)</f>
        <v>-329.05354852501068</v>
      </c>
    </row>
    <row r="33" spans="1:18">
      <c r="A33" s="1" t="s">
        <v>12</v>
      </c>
      <c r="B33" t="s">
        <v>54</v>
      </c>
      <c r="C33" s="3">
        <f>IFERROR(VLOOKUP(A33,'Annual Maintenance'!$A$1:$G$41,7,FALSE),0)</f>
        <v>829534.83402557287</v>
      </c>
      <c r="D33" s="50">
        <f>-IFERROR(VLOOKUP(A33,'PS Pivot'!$B$5:$O$39,14,FALSE),0)</f>
        <v>79124.850000000006</v>
      </c>
      <c r="E33" s="3">
        <f>IFERROR(VLOOKUP(A33,Licenses!$A$4:$N$25,14,FALSE),0)</f>
        <v>38103.049999999996</v>
      </c>
      <c r="F33" s="3">
        <f>IFERROR(VLOOKUP(A33,'IFRS15 Licenses'!$U$10:$AH$26,14,FALSE),0)</f>
        <v>0</v>
      </c>
      <c r="H33" s="2">
        <f t="shared" si="0"/>
        <v>946762.73402557289</v>
      </c>
      <c r="J33" s="3">
        <f>IFERROR(VLOOKUP(A33,'Annual Maintenance'!$A$1:$N$41,14,FALSE),0)</f>
        <v>1095797.5214858234</v>
      </c>
      <c r="K33" s="3">
        <f>IFERROR(VLOOKUP(A33,'PS Pivot'!$B$35:$O$56,14,FALSE),0)</f>
        <v>-104334.01970396988</v>
      </c>
      <c r="L33" s="3">
        <f>IFERROR(VLOOKUP(A33,Licenses!$A$35:$N$53,14,FALSE),0)</f>
        <v>50387.511695010406</v>
      </c>
      <c r="M33" s="3">
        <f>IFERROR(VLOOKUP(A33,'IFRS15 Licenses'!$U$37:$AH$51,14,FALSE),0)</f>
        <v>0</v>
      </c>
      <c r="N33" s="3"/>
      <c r="O33" s="3">
        <f t="shared" si="1"/>
        <v>1041851.013476864</v>
      </c>
      <c r="P33" s="47">
        <f>IFERROR(VLOOKUP(A33,COGS!$A$204:$N$238,14,FALSE),0)</f>
        <v>-75609.319771372175</v>
      </c>
      <c r="R33">
        <f>IFERROR(VLOOKUP(A33,'COGS License'!$A$23:$N$34,14,FALSE),0)</f>
        <v>-754.73012035528461</v>
      </c>
    </row>
    <row r="34" spans="1:18">
      <c r="A34" s="1" t="s">
        <v>16</v>
      </c>
      <c r="B34" t="s">
        <v>60</v>
      </c>
      <c r="C34" s="3">
        <f>IFERROR(VLOOKUP(A34,'Annual Maintenance'!$A$1:$G$41,7,FALSE),0)</f>
        <v>191809.89802197804</v>
      </c>
      <c r="D34" s="50">
        <f>-IFERROR(VLOOKUP(A34,'PS Pivot'!$B$5:$O$39,14,FALSE),0)</f>
        <v>0</v>
      </c>
      <c r="E34" s="3">
        <f>IFERROR(VLOOKUP(A34,Licenses!$A$4:$N$25,14,FALSE),0)</f>
        <v>0</v>
      </c>
      <c r="F34" s="3">
        <f>IFERROR(VLOOKUP(A34,'IFRS15 Licenses'!$U$10:$AH$26,14,FALSE),0)</f>
        <v>0</v>
      </c>
      <c r="H34" s="2">
        <f t="shared" si="0"/>
        <v>191809.89802197804</v>
      </c>
      <c r="J34" s="3">
        <f>IFERROR(VLOOKUP(A34,'Annual Maintenance'!$A$1:$N$41,14,FALSE),0)</f>
        <v>253302.61651236453</v>
      </c>
      <c r="K34" s="3">
        <f>IFERROR(VLOOKUP(A34,'PS Pivot'!$B$35:$O$56,14,FALSE),0)</f>
        <v>0</v>
      </c>
      <c r="L34" s="3">
        <f>IFERROR(VLOOKUP(A34,Licenses!$A$35:$N$53,14,FALSE),0)</f>
        <v>0</v>
      </c>
      <c r="M34" s="3">
        <f>IFERROR(VLOOKUP(A34,'IFRS15 Licenses'!$U$37:$AH$51,14,FALSE),0)</f>
        <v>0</v>
      </c>
      <c r="N34" s="3"/>
      <c r="O34" s="3">
        <f t="shared" si="1"/>
        <v>253302.61651236453</v>
      </c>
      <c r="P34" s="47">
        <f>IFERROR(VLOOKUP(A34,COGS!$A$204:$N$238,14,FALSE),0)</f>
        <v>-10633.00710148882</v>
      </c>
      <c r="R34">
        <f>IFERROR(VLOOKUP(A34,'COGS License'!$A$23:$N$34,14,FALSE),0)</f>
        <v>0</v>
      </c>
    </row>
    <row r="35" spans="1:18">
      <c r="A35" s="1" t="s">
        <v>43</v>
      </c>
      <c r="B35" t="s">
        <v>54</v>
      </c>
      <c r="C35" s="3">
        <f>IFERROR(VLOOKUP(A35,'Annual Maintenance'!$A$1:$G$41,7,FALSE),0)</f>
        <v>10455.180851648352</v>
      </c>
      <c r="D35" s="50">
        <f>-IFERROR(VLOOKUP(A35,'PS Pivot'!$B$5:$O$39,14,FALSE),0)</f>
        <v>0</v>
      </c>
      <c r="E35" s="3">
        <f>IFERROR(VLOOKUP(A35,Licenses!$A$4:$N$25,14,FALSE),0)</f>
        <v>0</v>
      </c>
      <c r="F35" s="3">
        <f>IFERROR(VLOOKUP(A35,'IFRS15 Licenses'!$U$10:$AH$26,14,FALSE),0)</f>
        <v>0</v>
      </c>
      <c r="H35" s="2">
        <f t="shared" si="0"/>
        <v>10455.180851648352</v>
      </c>
      <c r="J35" s="3">
        <f>IFERROR(VLOOKUP(A35,'Annual Maintenance'!$A$1:$N$41,14,FALSE),0)</f>
        <v>13708.614769954727</v>
      </c>
      <c r="K35" s="3">
        <f>IFERROR(VLOOKUP(A35,'PS Pivot'!$B$35:$O$56,14,FALSE),0)</f>
        <v>0</v>
      </c>
      <c r="L35" s="3">
        <f>IFERROR(VLOOKUP(A35,Licenses!$A$35:$N$53,14,FALSE),0)</f>
        <v>0</v>
      </c>
      <c r="M35" s="3">
        <f>IFERROR(VLOOKUP(A35,'IFRS15 Licenses'!$U$37:$AH$51,14,FALSE),0)</f>
        <v>0</v>
      </c>
      <c r="N35" s="3"/>
      <c r="O35" s="3">
        <f t="shared" si="1"/>
        <v>13708.614769954727</v>
      </c>
      <c r="P35" s="47">
        <f>IFERROR(VLOOKUP(A35,COGS!$A$204:$N$238,14,FALSE),0)</f>
        <v>-1139.5620952454067</v>
      </c>
      <c r="R35">
        <f>IFERROR(VLOOKUP(A35,'COGS License'!$A$23:$N$34,14,FALSE),0)</f>
        <v>0</v>
      </c>
    </row>
    <row r="36" spans="1:18">
      <c r="A36" s="1" t="s">
        <v>30</v>
      </c>
      <c r="B36" t="s">
        <v>54</v>
      </c>
      <c r="C36" s="3">
        <f>IFERROR(VLOOKUP(A36,'Annual Maintenance'!$A$1:$G$41,7,FALSE),0)</f>
        <v>49718.130097210473</v>
      </c>
      <c r="D36" s="50">
        <f>-IFERROR(VLOOKUP(A36,'PS Pivot'!$B$5:$O$39,14,FALSE),0)</f>
        <v>2960</v>
      </c>
      <c r="E36" s="3">
        <f>IFERROR(VLOOKUP(A36,Licenses!$A$4:$N$25,14,FALSE),0)</f>
        <v>513.30999999999995</v>
      </c>
      <c r="F36" s="3">
        <f>IFERROR(VLOOKUP(A36,'IFRS15 Licenses'!$U$10:$AH$26,14,FALSE),0)</f>
        <v>0</v>
      </c>
      <c r="H36" s="2">
        <f t="shared" si="0"/>
        <v>53191.44009721047</v>
      </c>
      <c r="J36" s="3">
        <f>IFERROR(VLOOKUP(A36,'Annual Maintenance'!$A$1:$N$41,14,FALSE),0)</f>
        <v>65674.384039030105</v>
      </c>
      <c r="K36" s="3">
        <f>IFERROR(VLOOKUP(A36,'PS Pivot'!$B$35:$O$56,14,FALSE),0)</f>
        <v>-3990.7715117274442</v>
      </c>
      <c r="L36" s="3">
        <f>IFERROR(VLOOKUP(A36,Licenses!$A$35:$N$53,14,FALSE),0)</f>
        <v>690.65687145125264</v>
      </c>
      <c r="M36" s="3">
        <f>IFERROR(VLOOKUP(A36,'IFRS15 Licenses'!$U$37:$AH$51,14,FALSE),0)</f>
        <v>0</v>
      </c>
      <c r="N36" s="3"/>
      <c r="O36" s="3">
        <f t="shared" si="1"/>
        <v>62374.269398753917</v>
      </c>
      <c r="P36" s="47">
        <f>IFERROR(VLOOKUP(A36,COGS!$A$204:$N$238,14,FALSE),0)</f>
        <v>-2746.8775006482088</v>
      </c>
      <c r="R36">
        <f>IFERROR(VLOOKUP(A36,'COGS License'!$A$23:$N$34,14,FALSE),0)</f>
        <v>-533.6239606038589</v>
      </c>
    </row>
    <row r="37" spans="1:18">
      <c r="A37" s="1" t="s">
        <v>17</v>
      </c>
      <c r="B37" t="s">
        <v>54</v>
      </c>
      <c r="C37" s="3">
        <f>IFERROR(VLOOKUP(A37,'Annual Maintenance'!$A$1:$G$41,7,FALSE),0)</f>
        <v>133642.20794824327</v>
      </c>
      <c r="D37" s="50">
        <f>-IFERROR(VLOOKUP(A37,'PS Pivot'!$B$5:$O$39,14,FALSE),0)</f>
        <v>70269.733333333337</v>
      </c>
      <c r="E37" s="3">
        <f>IFERROR(VLOOKUP(A37,Licenses!$A$4:$N$25,14,FALSE),0)</f>
        <v>10948.69</v>
      </c>
      <c r="F37" s="3">
        <f>IFERROR(VLOOKUP(A37,'IFRS15 Licenses'!$U$10:$AH$26,14,FALSE),0)</f>
        <v>11917</v>
      </c>
      <c r="H37" s="2">
        <f t="shared" si="0"/>
        <v>226777.63128157661</v>
      </c>
      <c r="J37" s="3">
        <f>IFERROR(VLOOKUP(A37,'Annual Maintenance'!$A$1:$N$41,14,FALSE),0)</f>
        <v>176676.86849899407</v>
      </c>
      <c r="K37" s="3">
        <f>IFERROR(VLOOKUP(A37,'PS Pivot'!$B$35:$O$56,14,FALSE),0)</f>
        <v>-92609.488315635987</v>
      </c>
      <c r="L37" s="3">
        <f>IFERROR(VLOOKUP(A37,Licenses!$A$35:$N$53,14,FALSE),0)</f>
        <v>14055.408503728057</v>
      </c>
      <c r="M37" s="3">
        <f>IFERROR(VLOOKUP(A37,'IFRS15 Licenses'!$U$37:$AH$51,14,FALSE),0)</f>
        <v>15327.628762408156</v>
      </c>
      <c r="N37" s="3"/>
      <c r="O37" s="3">
        <f t="shared" si="1"/>
        <v>113450.4174494943</v>
      </c>
      <c r="P37" s="47">
        <f>IFERROR(VLOOKUP(A37,COGS!$A$204:$N$238,14,FALSE),0)</f>
        <v>-18347.522379854541</v>
      </c>
      <c r="R37">
        <f>IFERROR(VLOOKUP(A37,'COGS License'!$A$23:$N$34,14,FALSE),0)</f>
        <v>-446.67860196665237</v>
      </c>
    </row>
    <row r="38" spans="1:18">
      <c r="A38" s="1" t="s">
        <v>41</v>
      </c>
      <c r="B38" t="s">
        <v>54</v>
      </c>
      <c r="C38" s="3">
        <f>IFERROR(VLOOKUP(A38,'Annual Maintenance'!$A$1:$G$41,7,FALSE),0)</f>
        <v>17788.924753349391</v>
      </c>
      <c r="D38" s="50">
        <f>-IFERROR(VLOOKUP(A38,'PS Pivot'!$B$5:$O$39,14,FALSE),0)</f>
        <v>0</v>
      </c>
      <c r="E38" s="3">
        <f>IFERROR(VLOOKUP(A38,Licenses!$A$4:$N$25,14,FALSE),0)</f>
        <v>0</v>
      </c>
      <c r="F38" s="3">
        <f>IFERROR(VLOOKUP(A38,'IFRS15 Licenses'!$U$10:$AH$26,14,FALSE),0)</f>
        <v>0</v>
      </c>
      <c r="H38" s="2">
        <f t="shared" si="0"/>
        <v>17788.924753349391</v>
      </c>
      <c r="J38" s="3">
        <f>IFERROR(VLOOKUP(A38,'Annual Maintenance'!$A$1:$N$41,14,FALSE),0)</f>
        <v>23490.70311059993</v>
      </c>
      <c r="K38" s="3">
        <f>IFERROR(VLOOKUP(A38,'PS Pivot'!$B$35:$O$56,14,FALSE),0)</f>
        <v>0</v>
      </c>
      <c r="L38" s="3">
        <f>IFERROR(VLOOKUP(A38,Licenses!$A$35:$N$53,14,FALSE),0)</f>
        <v>0</v>
      </c>
      <c r="M38" s="3">
        <f>IFERROR(VLOOKUP(A38,'IFRS15 Licenses'!$U$37:$AH$51,14,FALSE),0)</f>
        <v>0</v>
      </c>
      <c r="N38" s="3"/>
      <c r="O38" s="3">
        <f t="shared" si="1"/>
        <v>23490.70311059993</v>
      </c>
      <c r="P38" s="47">
        <f>IFERROR(VLOOKUP(A38,COGS!$A$204:$N$238,14,FALSE),0)</f>
        <v>-2599.2081003779394</v>
      </c>
      <c r="R38">
        <f>IFERROR(VLOOKUP(A38,'COGS License'!$A$23:$N$34,14,FALSE),0)</f>
        <v>-494.23116721854308</v>
      </c>
    </row>
    <row r="39" spans="1:18">
      <c r="A39" s="1" t="s">
        <v>14</v>
      </c>
      <c r="B39" t="s">
        <v>54</v>
      </c>
      <c r="C39" s="3">
        <f>IFERROR(VLOOKUP(A39,'Annual Maintenance'!$A$1:$G$41,7,FALSE),0)</f>
        <v>319982.67766925524</v>
      </c>
      <c r="D39" s="50">
        <f>-IFERROR(VLOOKUP(A39,'PS Pivot'!$B$5:$O$39,14,FALSE),0)</f>
        <v>41661.039999999994</v>
      </c>
      <c r="E39" s="3">
        <f>IFERROR(VLOOKUP(A39,Licenses!$A$4:$N$25,14,FALSE),0)</f>
        <v>3806.31</v>
      </c>
      <c r="F39" s="3">
        <f>IFERROR(VLOOKUP(A39,'IFRS15 Licenses'!$U$10:$AH$26,14,FALSE),0)</f>
        <v>22700.004000000001</v>
      </c>
      <c r="H39" s="2">
        <f>SUM(C39:G39)</f>
        <v>388150.03166925523</v>
      </c>
      <c r="J39" s="3">
        <f>IFERROR(VLOOKUP(A39,'Annual Maintenance'!$A$1:$N$41,14,FALSE),0)</f>
        <v>422658.15722514834</v>
      </c>
      <c r="K39" s="3">
        <f>IFERROR(VLOOKUP(A39,'PS Pivot'!$B$35:$O$56,14,FALSE),0)</f>
        <v>-55494.209621137481</v>
      </c>
      <c r="L39" s="3">
        <f>IFERROR(VLOOKUP(A39,Licenses!$A$35:$N$53,14,FALSE),0)</f>
        <v>5219.5573473753493</v>
      </c>
      <c r="M39" s="3">
        <f>IFERROR(VLOOKUP(A39,'IFRS15 Licenses'!$U$37:$AH$51,14,FALSE),0)</f>
        <v>30412.52768153567</v>
      </c>
      <c r="N39" s="3"/>
      <c r="O39" s="3">
        <f t="shared" si="1"/>
        <v>402796.03263292194</v>
      </c>
      <c r="P39" s="47">
        <f>IFERROR(VLOOKUP(A39,COGS!$A$204:$N$238,14,FALSE),0)</f>
        <v>-68668.117319517594</v>
      </c>
      <c r="R39">
        <f>IFERROR(VLOOKUP(A39,'COGS License'!$A$23:$N$34,14,FALSE),0)</f>
        <v>0</v>
      </c>
    </row>
    <row r="40" spans="1:18">
      <c r="A40" t="s">
        <v>47</v>
      </c>
      <c r="B40" t="s">
        <v>54</v>
      </c>
      <c r="C40" s="3">
        <f>IFERROR(VLOOKUP(A40,'Annual Maintenance'!$A$1:$G$41,7,FALSE),0)</f>
        <v>0</v>
      </c>
      <c r="D40" s="50">
        <f>-IFERROR(VLOOKUP(A40,'PS Pivot'!$B$5:$O$39,14,FALSE),0)</f>
        <v>7298.65</v>
      </c>
      <c r="E40" s="3">
        <f>IFERROR(VLOOKUP(A40,Licenses!$A$4:$N$25,14,FALSE),0)</f>
        <v>0</v>
      </c>
      <c r="F40" s="3">
        <f>IFERROR(VLOOKUP(A40,'IFRS15 Licenses'!$U$10:$AH$26,14,FALSE),0)</f>
        <v>0</v>
      </c>
      <c r="H40" s="2">
        <f t="shared" ref="H40" si="3">SUM(C40:G40)</f>
        <v>7298.65</v>
      </c>
      <c r="J40" s="3">
        <f>IFERROR(VLOOKUP(A40,'Annual Maintenance'!$A$1:$N$41,14,FALSE),0)</f>
        <v>0</v>
      </c>
      <c r="K40" s="3">
        <f>IFERROR(VLOOKUP(A40,'PS Pivot'!$B$35:$O$56,14,FALSE),0)</f>
        <v>-9778.4213930175465</v>
      </c>
      <c r="L40" s="3">
        <f>IFERROR(VLOOKUP(A40,Licenses!$A$35:$N$53,14,FALSE),0)</f>
        <v>0</v>
      </c>
      <c r="M40" s="3">
        <f>IFERROR(VLOOKUP(A40,'IFRS15 Licenses'!$U$37:$AH$51,14,FALSE),0)</f>
        <v>0</v>
      </c>
      <c r="N40" s="3"/>
      <c r="O40" s="3">
        <f t="shared" si="1"/>
        <v>-9778.4213930175465</v>
      </c>
      <c r="P40" s="47">
        <f>IFERROR(VLOOKUP(A40,COGS!$A$204:$N$238,14,FALSE),0)</f>
        <v>0</v>
      </c>
      <c r="R40">
        <f>IFERROR(VLOOKUP(A40,'COGS License'!$A$23:$N$34,14,FALSE),0)</f>
        <v>0</v>
      </c>
    </row>
    <row r="41" spans="1:18">
      <c r="A41" s="1" t="s">
        <v>25</v>
      </c>
      <c r="B41" t="s">
        <v>54</v>
      </c>
      <c r="C41" s="3">
        <f>IFERROR(VLOOKUP(A41,'Annual Maintenance'!$A$1:$G$41,7,FALSE),0)</f>
        <v>73052.512582417607</v>
      </c>
      <c r="D41" s="50">
        <f>-IFERROR(VLOOKUP(A41,'PS Pivot'!$B$5:$O$39,14,FALSE),0)</f>
        <v>0</v>
      </c>
      <c r="E41" s="3">
        <f>IFERROR(VLOOKUP(A41,Licenses!$A$4:$N$25,14,FALSE),0)</f>
        <v>0</v>
      </c>
      <c r="F41" s="3">
        <f>IFERROR(VLOOKUP(A41,'IFRS15 Licenses'!$U$10:$AH$26,14,FALSE),0)</f>
        <v>0</v>
      </c>
      <c r="H41" s="2">
        <f t="shared" si="0"/>
        <v>73052.512582417607</v>
      </c>
      <c r="J41" s="3">
        <f>IFERROR(VLOOKUP(A41,'Annual Maintenance'!$A$1:$N$41,14,FALSE),0)</f>
        <v>96486.21162787269</v>
      </c>
      <c r="K41" s="3">
        <f>IFERROR(VLOOKUP(A41,'PS Pivot'!$B$35:$O$56,14,FALSE),0)</f>
        <v>0</v>
      </c>
      <c r="L41" s="3">
        <f>IFERROR(VLOOKUP(A41,Licenses!$A$35:$N$53,14,FALSE),0)</f>
        <v>0</v>
      </c>
      <c r="M41" s="3">
        <f>IFERROR(VLOOKUP(A41,'IFRS15 Licenses'!$U$37:$AH$51,14,FALSE),0)</f>
        <v>0</v>
      </c>
      <c r="N41" s="3"/>
      <c r="O41" s="3">
        <f t="shared" si="1"/>
        <v>96486.21162787269</v>
      </c>
      <c r="P41" s="47">
        <f>IFERROR(VLOOKUP(A41,COGS!$A$204:$N$238,14,FALSE),0)</f>
        <v>-5063.0287061776307</v>
      </c>
      <c r="R41">
        <f>IFERROR(VLOOKUP(A41,'COGS License'!$A$23:$N$34,14,FALSE),0)</f>
        <v>0</v>
      </c>
    </row>
    <row r="42" spans="1:18">
      <c r="A42" s="1" t="s">
        <v>13</v>
      </c>
      <c r="B42" t="s">
        <v>58</v>
      </c>
      <c r="C42" s="3">
        <f>IFERROR(VLOOKUP(A42,'Annual Maintenance'!$A$1:$G$41,7,FALSE),0)</f>
        <v>469478.42491497338</v>
      </c>
      <c r="D42" s="50">
        <f>-IFERROR(VLOOKUP(A42,'PS Pivot'!$B$5:$O$39,14,FALSE),0)</f>
        <v>7161.3599999999988</v>
      </c>
      <c r="E42" s="3">
        <f>IFERROR(VLOOKUP(A42,Licenses!$A$4:$N$25,14,FALSE),0)</f>
        <v>20014.800000000003</v>
      </c>
      <c r="F42" s="3">
        <f>IFERROR(VLOOKUP(A42,'IFRS15 Licenses'!$U$10:$AH$26,14,FALSE),0)</f>
        <v>8232.630000000001</v>
      </c>
      <c r="H42" s="2">
        <f t="shared" si="0"/>
        <v>504887.21491497336</v>
      </c>
      <c r="J42" s="3">
        <f>IFERROR(VLOOKUP(A42,'Annual Maintenance'!$A$1:$N$41,14,FALSE),0)</f>
        <v>619973.7795720963</v>
      </c>
      <c r="K42" s="3">
        <f>IFERROR(VLOOKUP(A42,'PS Pivot'!$B$35:$O$56,14,FALSE),0)</f>
        <v>-9720.8207388000774</v>
      </c>
      <c r="L42" s="3">
        <f>IFERROR(VLOOKUP(A42,Licenses!$A$35:$N$53,14,FALSE),0)</f>
        <v>26539.474084273992</v>
      </c>
      <c r="M42" s="3">
        <f>IFERROR(VLOOKUP(A42,'IFRS15 Licenses'!$U$37:$AH$51,14,FALSE),0)</f>
        <v>10939.222154298724</v>
      </c>
      <c r="N42" s="3"/>
      <c r="O42" s="3">
        <f t="shared" si="1"/>
        <v>647731.65507186891</v>
      </c>
      <c r="P42" s="47">
        <f>IFERROR(VLOOKUP(A42,COGS!$A$204:$N$238,14,FALSE),0)</f>
        <v>-12043.096781670301</v>
      </c>
      <c r="R42">
        <f>IFERROR(VLOOKUP(A42,'COGS License'!$A$23:$N$34,14,FALSE),0)</f>
        <v>0</v>
      </c>
    </row>
    <row r="43" spans="1:18">
      <c r="A43" s="1" t="s">
        <v>15</v>
      </c>
      <c r="B43" t="s">
        <v>54</v>
      </c>
      <c r="C43" s="3">
        <f>IFERROR(VLOOKUP(A43,'Annual Maintenance'!$A$1:$G$41,7,FALSE),0)</f>
        <v>168704.17124222236</v>
      </c>
      <c r="D43" s="50">
        <f>-IFERROR(VLOOKUP(A43,'PS Pivot'!$B$5:$O$39,14,FALSE),0)</f>
        <v>0</v>
      </c>
      <c r="E43" s="3">
        <f>IFERROR(VLOOKUP(A43,Licenses!$A$4:$N$25,14,FALSE),0)</f>
        <v>0</v>
      </c>
      <c r="F43" s="3">
        <f>IFERROR(VLOOKUP(A43,'IFRS15 Licenses'!$U$10:$AH$26,14,FALSE),0)</f>
        <v>307.3</v>
      </c>
      <c r="H43" s="2">
        <f t="shared" si="0"/>
        <v>169011.47124222235</v>
      </c>
      <c r="J43" s="3">
        <f>IFERROR(VLOOKUP(A43,'Annual Maintenance'!$A$1:$N$41,14,FALSE),0)</f>
        <v>222784.74836754083</v>
      </c>
      <c r="K43" s="3">
        <f>IFERROR(VLOOKUP(A43,'PS Pivot'!$B$35:$O$56,14,FALSE),0)</f>
        <v>0</v>
      </c>
      <c r="L43" s="3">
        <f>IFERROR(VLOOKUP(A43,Licenses!$A$35:$N$53,14,FALSE),0)</f>
        <v>0</v>
      </c>
      <c r="M43" s="3">
        <f>IFERROR(VLOOKUP(A43,'IFRS15 Licenses'!$U$37:$AH$51,14,FALSE),0)</f>
        <v>413.32651853445958</v>
      </c>
      <c r="N43" s="3"/>
      <c r="O43" s="3">
        <f t="shared" si="1"/>
        <v>223198.07488607528</v>
      </c>
      <c r="P43" s="47">
        <f>IFERROR(VLOOKUP(A43,COGS!$A$204:$N$238,14,FALSE),0)</f>
        <v>-79029.882255220728</v>
      </c>
      <c r="R43">
        <f>IFERROR(VLOOKUP(A43,'COGS License'!$A$23:$N$34,14,FALSE),0)</f>
        <v>0</v>
      </c>
    </row>
    <row r="44" spans="1:18">
      <c r="D44" s="3"/>
      <c r="E44" s="3">
        <f>IFERROR(VLOOKUP(A44,Licenses!$A$4:$N$25,14,FALSE),0)</f>
        <v>0</v>
      </c>
      <c r="F44" s="3">
        <f>IFERROR(VLOOKUP(A44,'IFRS15 Licenses'!$U$10:$AH$26,14,FALSE),0)</f>
        <v>0</v>
      </c>
      <c r="H44" s="2">
        <f t="shared" si="0"/>
        <v>0</v>
      </c>
      <c r="K44" s="3"/>
    </row>
    <row r="45" spans="1:18" s="9" customFormat="1">
      <c r="A45" s="31" t="s">
        <v>61</v>
      </c>
      <c r="C45" s="16">
        <f>SUM(C4:C43)</f>
        <v>5469416.540226304</v>
      </c>
      <c r="D45" s="32">
        <f>SUM(D4:D43)</f>
        <v>313342.20053333335</v>
      </c>
      <c r="E45" s="32">
        <f>SUM(E4:E43)</f>
        <v>127309.38</v>
      </c>
      <c r="F45" s="32">
        <f>SUM(F4:F44)</f>
        <v>71532.500000000015</v>
      </c>
      <c r="H45" s="16">
        <f>SUM(C45:G45)</f>
        <v>5981600.6207596371</v>
      </c>
      <c r="J45" s="32">
        <f t="shared" ref="J45:O45" si="4">SUM(J4:J44)</f>
        <v>6536804.9473112291</v>
      </c>
      <c r="K45" s="32">
        <f t="shared" si="4"/>
        <v>-415245.7993653327</v>
      </c>
      <c r="L45" s="32">
        <f t="shared" si="4"/>
        <v>168655.36218485099</v>
      </c>
      <c r="M45" s="32">
        <f t="shared" si="4"/>
        <v>93858.737920908927</v>
      </c>
      <c r="N45" s="32">
        <f t="shared" si="4"/>
        <v>0</v>
      </c>
      <c r="O45" s="32">
        <f>SUM(O4:O44)</f>
        <v>6384073.2480516555</v>
      </c>
      <c r="P45" s="91">
        <f>SUM(P4:P44)</f>
        <v>-584770.69610251696</v>
      </c>
      <c r="R45" s="91">
        <f>SUM(R4:R44)</f>
        <v>-17599.001953182935</v>
      </c>
    </row>
    <row r="46" spans="1:18">
      <c r="C46" s="16"/>
      <c r="D46" s="32"/>
      <c r="E46" s="32"/>
      <c r="F46" s="32"/>
      <c r="H46" s="40"/>
      <c r="J46" s="39"/>
    </row>
    <row r="47" spans="1:18">
      <c r="C47" s="2"/>
      <c r="D47" s="2"/>
      <c r="O47" s="2"/>
    </row>
    <row r="48" spans="1:18">
      <c r="C48" s="2"/>
      <c r="D48" s="2"/>
      <c r="E48" s="2"/>
      <c r="F48" s="2"/>
      <c r="H48" s="2"/>
      <c r="P48" s="38"/>
    </row>
    <row r="49" spans="1:4">
      <c r="A49" t="s">
        <v>54</v>
      </c>
      <c r="B49" s="3">
        <f>SUMIF($B$4:$B$43,A49,$H$4:$H$43)</f>
        <v>5120353.6946432097</v>
      </c>
      <c r="C49" s="41">
        <f>B49/$B$54</f>
        <v>0.85601731363886102</v>
      </c>
    </row>
    <row r="50" spans="1:4">
      <c r="A50" t="s">
        <v>58</v>
      </c>
      <c r="B50" s="3">
        <f>SUMIF($B$4:$B$43,A50,$H$4:$H$43)</f>
        <v>539503.85878164007</v>
      </c>
      <c r="C50" s="41">
        <f t="shared" ref="C50:C53" si="5">B50/$B$54</f>
        <v>9.0193895077054692E-2</v>
      </c>
      <c r="D50" s="2"/>
    </row>
    <row r="51" spans="1:4">
      <c r="A51" t="s">
        <v>55</v>
      </c>
      <c r="B51" s="3">
        <f>SUMIF($B$4:$B$43,A51,$H$4:$H$43)</f>
        <v>117142.86271940373</v>
      </c>
      <c r="C51" s="41">
        <f t="shared" si="5"/>
        <v>1.9583865614974317E-2</v>
      </c>
    </row>
    <row r="52" spans="1:4">
      <c r="A52" t="s">
        <v>60</v>
      </c>
      <c r="B52" s="3">
        <f>SUMIF($B$4:$B$43,A52,$H$4:$H$43)</f>
        <v>191809.89802197804</v>
      </c>
      <c r="C52" s="41">
        <f t="shared" si="5"/>
        <v>3.2066650748344173E-2</v>
      </c>
    </row>
    <row r="53" spans="1:4">
      <c r="A53" t="s">
        <v>59</v>
      </c>
      <c r="B53" s="3">
        <f>SUMIF($B$4:$B$43,A53,$H$4:$H$43)</f>
        <v>12790.306593406593</v>
      </c>
      <c r="C53" s="41">
        <f t="shared" si="5"/>
        <v>2.138274920765652E-3</v>
      </c>
    </row>
    <row r="54" spans="1:4">
      <c r="B54" s="3">
        <f>SUM(B49:B53)</f>
        <v>5981600.620759639</v>
      </c>
      <c r="C54" s="42">
        <f>SUM(C49:C53)</f>
        <v>0.99999999999999978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A3958-64FB-4AEF-A969-312E30209549}">
  <dimension ref="A2:N36"/>
  <sheetViews>
    <sheetView workbookViewId="0">
      <selection activeCell="N36" sqref="N36"/>
    </sheetView>
  </sheetViews>
  <sheetFormatPr defaultRowHeight="14.45"/>
  <cols>
    <col min="1" max="1" width="26.5703125" bestFit="1" customWidth="1"/>
    <col min="2" max="2" width="12.7109375" bestFit="1" customWidth="1"/>
    <col min="3" max="4" width="13" bestFit="1" customWidth="1"/>
    <col min="5" max="5" width="12.7109375" bestFit="1" customWidth="1"/>
    <col min="6" max="6" width="13.28515625" bestFit="1" customWidth="1"/>
    <col min="7" max="7" width="12.7109375" bestFit="1" customWidth="1"/>
    <col min="8" max="8" width="12.140625" bestFit="1" customWidth="1"/>
    <col min="9" max="9" width="13" bestFit="1" customWidth="1"/>
    <col min="10" max="10" width="13.28515625" bestFit="1" customWidth="1"/>
    <col min="11" max="11" width="12.7109375" bestFit="1" customWidth="1"/>
    <col min="12" max="13" width="13.28515625" bestFit="1" customWidth="1"/>
    <col min="14" max="14" width="22.7109375" bestFit="1" customWidth="1"/>
  </cols>
  <sheetData>
    <row r="2" spans="1:14">
      <c r="A2" s="5" t="s">
        <v>62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  <c r="H2" t="s">
        <v>69</v>
      </c>
      <c r="I2" t="s">
        <v>70</v>
      </c>
      <c r="J2" t="s">
        <v>71</v>
      </c>
      <c r="K2" t="s">
        <v>72</v>
      </c>
      <c r="L2" t="s">
        <v>73</v>
      </c>
      <c r="M2" t="s">
        <v>74</v>
      </c>
      <c r="N2" t="s">
        <v>75</v>
      </c>
    </row>
    <row r="3" spans="1:14">
      <c r="A3" s="1" t="s">
        <v>39</v>
      </c>
      <c r="E3">
        <v>-246.29</v>
      </c>
      <c r="N3">
        <v>-246.29</v>
      </c>
    </row>
    <row r="4" spans="1:14">
      <c r="A4" s="1" t="s">
        <v>27</v>
      </c>
      <c r="B4">
        <v>-334.33</v>
      </c>
      <c r="N4">
        <v>-334.33</v>
      </c>
    </row>
    <row r="5" spans="1:14">
      <c r="A5" s="1" t="s">
        <v>57</v>
      </c>
      <c r="H5">
        <v>-5720</v>
      </c>
      <c r="J5">
        <v>5720</v>
      </c>
      <c r="L5">
        <v>-5720</v>
      </c>
      <c r="N5">
        <v>-5720</v>
      </c>
    </row>
    <row r="6" spans="1:14">
      <c r="A6" s="1" t="s">
        <v>28</v>
      </c>
      <c r="I6">
        <v>-334.33</v>
      </c>
      <c r="N6">
        <v>-334.33</v>
      </c>
    </row>
    <row r="7" spans="1:14">
      <c r="A7" s="1" t="s">
        <v>42</v>
      </c>
      <c r="F7">
        <v>-477.62</v>
      </c>
      <c r="N7">
        <v>-477.62</v>
      </c>
    </row>
    <row r="8" spans="1:14">
      <c r="A8" s="1" t="s">
        <v>21</v>
      </c>
      <c r="H8">
        <v>-3139.09</v>
      </c>
      <c r="N8" s="90">
        <v>-3139.09</v>
      </c>
    </row>
    <row r="9" spans="1:14">
      <c r="A9" s="1" t="s">
        <v>19</v>
      </c>
      <c r="B9">
        <v>-1194.06</v>
      </c>
      <c r="N9" s="90">
        <v>-1194.06</v>
      </c>
    </row>
    <row r="10" spans="1:14">
      <c r="A10" s="1" t="s">
        <v>37</v>
      </c>
      <c r="J10">
        <v>-334.95</v>
      </c>
      <c r="N10">
        <v>-334.95</v>
      </c>
    </row>
    <row r="11" spans="1:14">
      <c r="A11" s="1" t="s">
        <v>12</v>
      </c>
      <c r="K11">
        <v>-574.41</v>
      </c>
      <c r="N11">
        <v>-574.41</v>
      </c>
    </row>
    <row r="12" spans="1:14">
      <c r="A12" s="1" t="s">
        <v>30</v>
      </c>
      <c r="M12">
        <v>-396.6</v>
      </c>
      <c r="N12">
        <v>-396.6</v>
      </c>
    </row>
    <row r="13" spans="1:14">
      <c r="A13" s="1" t="s">
        <v>17</v>
      </c>
      <c r="E13">
        <v>-334.33</v>
      </c>
      <c r="N13">
        <v>-334.33</v>
      </c>
    </row>
    <row r="14" spans="1:14">
      <c r="A14" s="1" t="s">
        <v>41</v>
      </c>
      <c r="D14">
        <v>-382.1</v>
      </c>
      <c r="N14">
        <v>-382.1</v>
      </c>
    </row>
    <row r="15" spans="1:14">
      <c r="A15" s="1" t="s">
        <v>76</v>
      </c>
      <c r="B15">
        <v>-1528.3899999999999</v>
      </c>
      <c r="D15">
        <v>-382.1</v>
      </c>
      <c r="E15">
        <v>-580.62</v>
      </c>
      <c r="F15">
        <v>-477.62</v>
      </c>
      <c r="H15">
        <v>-8859.09</v>
      </c>
      <c r="I15">
        <v>-334.33</v>
      </c>
      <c r="J15">
        <v>5385.05</v>
      </c>
      <c r="K15">
        <v>-574.41</v>
      </c>
      <c r="L15">
        <v>-5720</v>
      </c>
      <c r="M15">
        <v>-396.6</v>
      </c>
      <c r="N15">
        <v>-13468.11</v>
      </c>
    </row>
    <row r="16" spans="1:14">
      <c r="B16">
        <v>1528</v>
      </c>
      <c r="C16">
        <v>0</v>
      </c>
      <c r="D16">
        <v>382</v>
      </c>
      <c r="E16">
        <v>581</v>
      </c>
      <c r="F16">
        <v>478</v>
      </c>
      <c r="G16">
        <v>0</v>
      </c>
      <c r="H16">
        <v>8859</v>
      </c>
      <c r="I16">
        <v>334</v>
      </c>
      <c r="J16">
        <v>5385</v>
      </c>
      <c r="K16">
        <v>574</v>
      </c>
      <c r="L16">
        <v>5720</v>
      </c>
      <c r="M16">
        <v>397</v>
      </c>
    </row>
    <row r="17" spans="1:14">
      <c r="B17">
        <f>B16+B15</f>
        <v>-0.38999999999987267</v>
      </c>
      <c r="C17">
        <f t="shared" ref="C17:M17" si="0">C16+C15</f>
        <v>0</v>
      </c>
      <c r="D17">
        <f t="shared" si="0"/>
        <v>-0.10000000000002274</v>
      </c>
      <c r="E17">
        <f t="shared" si="0"/>
        <v>0.37999999999999545</v>
      </c>
      <c r="F17">
        <f t="shared" si="0"/>
        <v>0.37999999999999545</v>
      </c>
      <c r="G17">
        <f t="shared" si="0"/>
        <v>0</v>
      </c>
      <c r="H17">
        <f t="shared" si="0"/>
        <v>-9.0000000000145519E-2</v>
      </c>
      <c r="I17">
        <f t="shared" si="0"/>
        <v>-0.32999999999998408</v>
      </c>
      <c r="J17">
        <f>J16-J15</f>
        <v>-5.0000000000181899E-2</v>
      </c>
      <c r="K17">
        <f t="shared" si="0"/>
        <v>-0.40999999999996817</v>
      </c>
      <c r="L17">
        <f t="shared" si="0"/>
        <v>0</v>
      </c>
      <c r="M17">
        <f t="shared" si="0"/>
        <v>0.39999999999997726</v>
      </c>
    </row>
    <row r="22" spans="1:14">
      <c r="A22" s="1" t="s">
        <v>77</v>
      </c>
      <c r="B22" s="92">
        <v>0.80549000000000004</v>
      </c>
      <c r="C22" s="92">
        <v>0.79437000000000002</v>
      </c>
      <c r="D22" s="93">
        <v>0.77312000000000003</v>
      </c>
      <c r="E22" s="92">
        <v>0.74848000000000003</v>
      </c>
      <c r="F22" s="92">
        <v>0.74348000000000003</v>
      </c>
      <c r="G22" s="92">
        <v>0.72924</v>
      </c>
      <c r="H22" s="92">
        <v>0.75575000000000003</v>
      </c>
      <c r="I22" s="92">
        <v>0.74082999999999999</v>
      </c>
      <c r="J22" s="92">
        <v>0.74399999999999999</v>
      </c>
      <c r="K22" s="92">
        <v>0.76107999999999998</v>
      </c>
      <c r="L22" s="92">
        <v>0.75609000000000004</v>
      </c>
      <c r="M22" s="94">
        <v>0.74321999999999999</v>
      </c>
    </row>
    <row r="23" spans="1:14">
      <c r="A23" s="1" t="s">
        <v>39</v>
      </c>
      <c r="B23" s="47">
        <f>B3/$B$22</f>
        <v>0</v>
      </c>
      <c r="C23" s="47">
        <f>C3/$C$22</f>
        <v>0</v>
      </c>
      <c r="D23" s="47">
        <f>D3/$D$22</f>
        <v>0</v>
      </c>
      <c r="E23" s="47">
        <f>E3/$E$22</f>
        <v>-329.05354852501068</v>
      </c>
      <c r="F23" s="47">
        <f>F3/$F$22</f>
        <v>0</v>
      </c>
      <c r="G23" s="47">
        <f>G3/$G$22</f>
        <v>0</v>
      </c>
      <c r="H23" s="47">
        <f>H3/$H$22</f>
        <v>0</v>
      </c>
      <c r="I23" s="47">
        <f>I3/$I$22</f>
        <v>0</v>
      </c>
      <c r="J23" s="47">
        <f>J3/$J$22</f>
        <v>0</v>
      </c>
      <c r="K23" s="47">
        <f>K3/$K$22</f>
        <v>0</v>
      </c>
      <c r="L23" s="47">
        <f>L3/$L$22</f>
        <v>0</v>
      </c>
      <c r="M23" s="47">
        <f>M3/$M$22</f>
        <v>0</v>
      </c>
      <c r="N23" s="47">
        <f>SUM(B23:M23)</f>
        <v>-329.05354852501068</v>
      </c>
    </row>
    <row r="24" spans="1:14">
      <c r="A24" s="1" t="s">
        <v>27</v>
      </c>
      <c r="B24" s="47">
        <f t="shared" ref="B24:B34" si="1">B4/$B$22</f>
        <v>-415.06412245962082</v>
      </c>
      <c r="C24" s="47">
        <f t="shared" ref="C24:C34" si="2">C4/$C$22</f>
        <v>0</v>
      </c>
      <c r="D24" s="47">
        <f t="shared" ref="D24:D34" si="3">D4/$D$22</f>
        <v>0</v>
      </c>
      <c r="E24" s="47">
        <f t="shared" ref="E24:E34" si="4">E4/$E$22</f>
        <v>0</v>
      </c>
      <c r="F24" s="47">
        <f t="shared" ref="F24:F34" si="5">F4/$F$22</f>
        <v>0</v>
      </c>
      <c r="G24" s="47">
        <f t="shared" ref="G24:G34" si="6">G4/$G$22</f>
        <v>0</v>
      </c>
      <c r="H24" s="47">
        <f t="shared" ref="H24:H34" si="7">H4/$H$22</f>
        <v>0</v>
      </c>
      <c r="I24" s="47">
        <f t="shared" ref="I24:I34" si="8">I4/$I$22</f>
        <v>0</v>
      </c>
      <c r="J24" s="47">
        <f t="shared" ref="J24:J34" si="9">J4/$J$22</f>
        <v>0</v>
      </c>
      <c r="K24" s="47">
        <f t="shared" ref="K24:K34" si="10">K4/$K$22</f>
        <v>0</v>
      </c>
      <c r="L24" s="47">
        <f t="shared" ref="L24:L34" si="11">L4/$L$22</f>
        <v>0</v>
      </c>
      <c r="M24" s="47">
        <f t="shared" ref="M24:M34" si="12">M4/$M$22</f>
        <v>0</v>
      </c>
      <c r="N24" s="47">
        <f t="shared" ref="N24:N34" si="13">SUM(B24:M24)</f>
        <v>-415.06412245962082</v>
      </c>
    </row>
    <row r="25" spans="1:14">
      <c r="A25" s="1" t="s">
        <v>57</v>
      </c>
      <c r="B25" s="47">
        <f t="shared" si="1"/>
        <v>0</v>
      </c>
      <c r="C25" s="47">
        <f t="shared" si="2"/>
        <v>0</v>
      </c>
      <c r="D25" s="47">
        <f t="shared" si="3"/>
        <v>0</v>
      </c>
      <c r="E25" s="47">
        <f t="shared" si="4"/>
        <v>0</v>
      </c>
      <c r="F25" s="47">
        <f t="shared" si="5"/>
        <v>0</v>
      </c>
      <c r="G25" s="47">
        <f t="shared" si="6"/>
        <v>0</v>
      </c>
      <c r="H25" s="47">
        <f t="shared" si="7"/>
        <v>-7568.6404234204429</v>
      </c>
      <c r="I25" s="47">
        <f t="shared" si="8"/>
        <v>0</v>
      </c>
      <c r="J25" s="47">
        <f t="shared" si="9"/>
        <v>7688.1720430107525</v>
      </c>
      <c r="K25" s="47">
        <f t="shared" si="10"/>
        <v>0</v>
      </c>
      <c r="L25" s="47">
        <f t="shared" si="11"/>
        <v>-7565.2369426920068</v>
      </c>
      <c r="M25" s="47">
        <f t="shared" si="12"/>
        <v>0</v>
      </c>
      <c r="N25" s="47">
        <f t="shared" si="13"/>
        <v>-7445.7053231016971</v>
      </c>
    </row>
    <row r="26" spans="1:14">
      <c r="A26" s="1" t="s">
        <v>28</v>
      </c>
      <c r="B26" s="47">
        <f t="shared" si="1"/>
        <v>0</v>
      </c>
      <c r="C26" s="47">
        <f t="shared" si="2"/>
        <v>0</v>
      </c>
      <c r="D26" s="47">
        <f t="shared" si="3"/>
        <v>0</v>
      </c>
      <c r="E26" s="47">
        <f t="shared" si="4"/>
        <v>0</v>
      </c>
      <c r="F26" s="47">
        <f t="shared" si="5"/>
        <v>0</v>
      </c>
      <c r="G26" s="47">
        <f t="shared" si="6"/>
        <v>0</v>
      </c>
      <c r="H26" s="47">
        <f t="shared" si="7"/>
        <v>0</v>
      </c>
      <c r="I26" s="47">
        <f t="shared" si="8"/>
        <v>-451.29111942010985</v>
      </c>
      <c r="J26" s="47">
        <f t="shared" si="9"/>
        <v>0</v>
      </c>
      <c r="K26" s="47">
        <f t="shared" si="10"/>
        <v>0</v>
      </c>
      <c r="L26" s="47">
        <f t="shared" si="11"/>
        <v>0</v>
      </c>
      <c r="M26" s="47">
        <f t="shared" si="12"/>
        <v>0</v>
      </c>
      <c r="N26" s="47">
        <f t="shared" si="13"/>
        <v>-451.29111942010985</v>
      </c>
    </row>
    <row r="27" spans="1:14">
      <c r="A27" s="1" t="s">
        <v>42</v>
      </c>
      <c r="B27" s="47">
        <f t="shared" si="1"/>
        <v>0</v>
      </c>
      <c r="C27" s="47">
        <f t="shared" si="2"/>
        <v>0</v>
      </c>
      <c r="D27" s="47">
        <f t="shared" si="3"/>
        <v>0</v>
      </c>
      <c r="E27" s="47">
        <f t="shared" si="4"/>
        <v>0</v>
      </c>
      <c r="F27" s="47">
        <f t="shared" si="5"/>
        <v>-642.41136278043791</v>
      </c>
      <c r="G27" s="47">
        <f t="shared" si="6"/>
        <v>0</v>
      </c>
      <c r="H27" s="47">
        <f t="shared" si="7"/>
        <v>0</v>
      </c>
      <c r="I27" s="47">
        <f t="shared" si="8"/>
        <v>0</v>
      </c>
      <c r="J27" s="47">
        <f t="shared" si="9"/>
        <v>0</v>
      </c>
      <c r="K27" s="47">
        <f t="shared" si="10"/>
        <v>0</v>
      </c>
      <c r="L27" s="47">
        <f t="shared" si="11"/>
        <v>0</v>
      </c>
      <c r="M27" s="47">
        <f t="shared" si="12"/>
        <v>0</v>
      </c>
      <c r="N27" s="47">
        <f t="shared" si="13"/>
        <v>-642.41136278043791</v>
      </c>
    </row>
    <row r="28" spans="1:14">
      <c r="A28" s="1" t="s">
        <v>21</v>
      </c>
      <c r="B28" s="47">
        <f t="shared" si="1"/>
        <v>0</v>
      </c>
      <c r="C28" s="47">
        <f t="shared" si="2"/>
        <v>0</v>
      </c>
      <c r="D28" s="47">
        <f t="shared" si="3"/>
        <v>0</v>
      </c>
      <c r="E28" s="47">
        <f t="shared" si="4"/>
        <v>0</v>
      </c>
      <c r="F28" s="47">
        <f t="shared" si="5"/>
        <v>0</v>
      </c>
      <c r="G28" s="47">
        <f t="shared" si="6"/>
        <v>0</v>
      </c>
      <c r="H28" s="47">
        <f t="shared" si="7"/>
        <v>-4153.6089976844196</v>
      </c>
      <c r="I28" s="47">
        <f t="shared" si="8"/>
        <v>0</v>
      </c>
      <c r="J28" s="47">
        <f t="shared" si="9"/>
        <v>0</v>
      </c>
      <c r="K28" s="47">
        <f t="shared" si="10"/>
        <v>0</v>
      </c>
      <c r="L28" s="47">
        <f t="shared" si="11"/>
        <v>0</v>
      </c>
      <c r="M28" s="47">
        <f t="shared" si="12"/>
        <v>0</v>
      </c>
      <c r="N28" s="47">
        <f t="shared" si="13"/>
        <v>-4153.6089976844196</v>
      </c>
    </row>
    <row r="29" spans="1:14">
      <c r="A29" s="1" t="s">
        <v>19</v>
      </c>
      <c r="B29" s="47">
        <f t="shared" si="1"/>
        <v>-1482.402016164074</v>
      </c>
      <c r="C29" s="47">
        <f t="shared" si="2"/>
        <v>0</v>
      </c>
      <c r="D29" s="47">
        <f t="shared" si="3"/>
        <v>0</v>
      </c>
      <c r="E29" s="47">
        <f t="shared" si="4"/>
        <v>0</v>
      </c>
      <c r="F29" s="47">
        <f t="shared" si="5"/>
        <v>0</v>
      </c>
      <c r="G29" s="47">
        <f t="shared" si="6"/>
        <v>0</v>
      </c>
      <c r="H29" s="47">
        <f t="shared" si="7"/>
        <v>0</v>
      </c>
      <c r="I29" s="47">
        <f t="shared" si="8"/>
        <v>0</v>
      </c>
      <c r="J29" s="47">
        <f t="shared" si="9"/>
        <v>0</v>
      </c>
      <c r="K29" s="47">
        <f t="shared" si="10"/>
        <v>0</v>
      </c>
      <c r="L29" s="47">
        <f t="shared" si="11"/>
        <v>0</v>
      </c>
      <c r="M29" s="47">
        <f t="shared" si="12"/>
        <v>0</v>
      </c>
      <c r="N29" s="47">
        <f t="shared" si="13"/>
        <v>-1482.402016164074</v>
      </c>
    </row>
    <row r="30" spans="1:14">
      <c r="A30" s="1" t="s">
        <v>37</v>
      </c>
      <c r="B30" s="47">
        <f t="shared" si="1"/>
        <v>0</v>
      </c>
      <c r="C30" s="47">
        <f t="shared" si="2"/>
        <v>0</v>
      </c>
      <c r="D30" s="47">
        <f t="shared" si="3"/>
        <v>0</v>
      </c>
      <c r="E30" s="47">
        <f t="shared" si="4"/>
        <v>0</v>
      </c>
      <c r="F30" s="47">
        <f t="shared" si="5"/>
        <v>0</v>
      </c>
      <c r="G30" s="47">
        <f t="shared" si="6"/>
        <v>0</v>
      </c>
      <c r="H30" s="47">
        <f t="shared" si="7"/>
        <v>0</v>
      </c>
      <c r="I30" s="47">
        <f t="shared" si="8"/>
        <v>0</v>
      </c>
      <c r="J30" s="47">
        <f t="shared" si="9"/>
        <v>-450.20161290322579</v>
      </c>
      <c r="K30" s="47">
        <f t="shared" si="10"/>
        <v>0</v>
      </c>
      <c r="L30" s="47">
        <f t="shared" si="11"/>
        <v>0</v>
      </c>
      <c r="M30" s="47">
        <f t="shared" si="12"/>
        <v>0</v>
      </c>
      <c r="N30" s="47">
        <f t="shared" si="13"/>
        <v>-450.20161290322579</v>
      </c>
    </row>
    <row r="31" spans="1:14">
      <c r="A31" s="1" t="s">
        <v>12</v>
      </c>
      <c r="B31" s="47">
        <f t="shared" si="1"/>
        <v>0</v>
      </c>
      <c r="C31" s="47">
        <f t="shared" si="2"/>
        <v>0</v>
      </c>
      <c r="D31" s="47">
        <f t="shared" si="3"/>
        <v>0</v>
      </c>
      <c r="E31" s="47">
        <f t="shared" si="4"/>
        <v>0</v>
      </c>
      <c r="F31" s="47">
        <f t="shared" si="5"/>
        <v>0</v>
      </c>
      <c r="G31" s="47">
        <f t="shared" si="6"/>
        <v>0</v>
      </c>
      <c r="H31" s="47">
        <f t="shared" si="7"/>
        <v>0</v>
      </c>
      <c r="I31" s="47">
        <f t="shared" si="8"/>
        <v>0</v>
      </c>
      <c r="J31" s="47">
        <f t="shared" si="9"/>
        <v>0</v>
      </c>
      <c r="K31" s="47">
        <f t="shared" si="10"/>
        <v>-754.73012035528461</v>
      </c>
      <c r="L31" s="47">
        <f t="shared" si="11"/>
        <v>0</v>
      </c>
      <c r="M31" s="47">
        <f t="shared" si="12"/>
        <v>0</v>
      </c>
      <c r="N31" s="47">
        <f t="shared" si="13"/>
        <v>-754.73012035528461</v>
      </c>
    </row>
    <row r="32" spans="1:14">
      <c r="A32" s="1" t="s">
        <v>30</v>
      </c>
      <c r="B32" s="47">
        <f t="shared" si="1"/>
        <v>0</v>
      </c>
      <c r="C32" s="47">
        <f t="shared" si="2"/>
        <v>0</v>
      </c>
      <c r="D32" s="47">
        <f t="shared" si="3"/>
        <v>0</v>
      </c>
      <c r="E32" s="47">
        <f t="shared" si="4"/>
        <v>0</v>
      </c>
      <c r="F32" s="47">
        <f t="shared" si="5"/>
        <v>0</v>
      </c>
      <c r="G32" s="47">
        <f t="shared" si="6"/>
        <v>0</v>
      </c>
      <c r="H32" s="47">
        <f t="shared" si="7"/>
        <v>0</v>
      </c>
      <c r="I32" s="47">
        <f t="shared" si="8"/>
        <v>0</v>
      </c>
      <c r="J32" s="47">
        <f t="shared" si="9"/>
        <v>0</v>
      </c>
      <c r="K32" s="47">
        <f t="shared" si="10"/>
        <v>0</v>
      </c>
      <c r="L32" s="47">
        <f t="shared" si="11"/>
        <v>0</v>
      </c>
      <c r="M32" s="47">
        <f t="shared" si="12"/>
        <v>-533.6239606038589</v>
      </c>
      <c r="N32" s="47">
        <f t="shared" si="13"/>
        <v>-533.6239606038589</v>
      </c>
    </row>
    <row r="33" spans="1:14">
      <c r="A33" s="1" t="s">
        <v>17</v>
      </c>
      <c r="B33" s="47">
        <f t="shared" si="1"/>
        <v>0</v>
      </c>
      <c r="C33" s="47">
        <f t="shared" si="2"/>
        <v>0</v>
      </c>
      <c r="D33" s="47">
        <f t="shared" si="3"/>
        <v>0</v>
      </c>
      <c r="E33" s="47">
        <f t="shared" si="4"/>
        <v>-446.67860196665237</v>
      </c>
      <c r="F33" s="47">
        <f t="shared" si="5"/>
        <v>0</v>
      </c>
      <c r="G33" s="47">
        <f t="shared" si="6"/>
        <v>0</v>
      </c>
      <c r="H33" s="47">
        <f t="shared" si="7"/>
        <v>0</v>
      </c>
      <c r="I33" s="47">
        <f t="shared" si="8"/>
        <v>0</v>
      </c>
      <c r="J33" s="47">
        <f t="shared" si="9"/>
        <v>0</v>
      </c>
      <c r="K33" s="47">
        <f t="shared" si="10"/>
        <v>0</v>
      </c>
      <c r="L33" s="47">
        <f t="shared" si="11"/>
        <v>0</v>
      </c>
      <c r="M33" s="47">
        <f t="shared" si="12"/>
        <v>0</v>
      </c>
      <c r="N33" s="47">
        <f t="shared" si="13"/>
        <v>-446.67860196665237</v>
      </c>
    </row>
    <row r="34" spans="1:14">
      <c r="A34" s="1" t="s">
        <v>41</v>
      </c>
      <c r="B34" s="47">
        <f t="shared" si="1"/>
        <v>0</v>
      </c>
      <c r="C34" s="47">
        <f t="shared" si="2"/>
        <v>0</v>
      </c>
      <c r="D34" s="47">
        <f t="shared" si="3"/>
        <v>-494.23116721854308</v>
      </c>
      <c r="E34" s="47">
        <f t="shared" si="4"/>
        <v>0</v>
      </c>
      <c r="F34" s="47">
        <f t="shared" si="5"/>
        <v>0</v>
      </c>
      <c r="G34" s="47">
        <f t="shared" si="6"/>
        <v>0</v>
      </c>
      <c r="H34" s="47">
        <f t="shared" si="7"/>
        <v>0</v>
      </c>
      <c r="I34" s="47">
        <f t="shared" si="8"/>
        <v>0</v>
      </c>
      <c r="J34" s="47">
        <f t="shared" si="9"/>
        <v>0</v>
      </c>
      <c r="K34" s="47">
        <f t="shared" si="10"/>
        <v>0</v>
      </c>
      <c r="L34" s="47">
        <f t="shared" si="11"/>
        <v>0</v>
      </c>
      <c r="M34" s="47">
        <f t="shared" si="12"/>
        <v>0</v>
      </c>
      <c r="N34" s="47">
        <f t="shared" si="13"/>
        <v>-494.23116721854308</v>
      </c>
    </row>
    <row r="36" spans="1:14">
      <c r="N36" s="95">
        <f>SUM(N23:N35)</f>
        <v>-17599.001953182935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852B3-B7AD-4E1D-B515-2C1C903D62E3}">
  <dimension ref="A1:Y240"/>
  <sheetViews>
    <sheetView topLeftCell="A195" workbookViewId="0">
      <selection activeCell="N240" sqref="N240"/>
    </sheetView>
  </sheetViews>
  <sheetFormatPr defaultRowHeight="14.45"/>
  <cols>
    <col min="1" max="1" width="30.140625" bestFit="1" customWidth="1"/>
    <col min="2" max="5" width="13.28515625" bestFit="1" customWidth="1"/>
    <col min="6" max="6" width="13.42578125" bestFit="1" customWidth="1"/>
    <col min="7" max="13" width="13.28515625" bestFit="1" customWidth="1"/>
    <col min="14" max="14" width="22.7109375" bestFit="1" customWidth="1"/>
  </cols>
  <sheetData>
    <row r="1" spans="1:25">
      <c r="A1" s="99" t="s">
        <v>78</v>
      </c>
      <c r="B1" s="99" t="s">
        <v>79</v>
      </c>
      <c r="C1" s="101" t="s">
        <v>2</v>
      </c>
      <c r="D1" s="99" t="s">
        <v>80</v>
      </c>
      <c r="E1" s="97" t="s">
        <v>81</v>
      </c>
      <c r="F1" s="97" t="s">
        <v>82</v>
      </c>
      <c r="G1" s="105" t="s">
        <v>83</v>
      </c>
      <c r="H1" s="105" t="s">
        <v>84</v>
      </c>
      <c r="I1" s="99" t="s">
        <v>85</v>
      </c>
      <c r="J1" s="97" t="s">
        <v>86</v>
      </c>
      <c r="K1" s="71">
        <v>45658</v>
      </c>
      <c r="L1" s="72">
        <v>45689</v>
      </c>
      <c r="M1" s="71">
        <v>45717</v>
      </c>
      <c r="N1" s="71">
        <v>45748</v>
      </c>
      <c r="O1" s="71">
        <v>45778</v>
      </c>
      <c r="P1" s="71">
        <v>45809</v>
      </c>
      <c r="Q1" s="71">
        <v>45839</v>
      </c>
      <c r="R1" s="71">
        <v>45870</v>
      </c>
      <c r="S1" s="71">
        <v>45901</v>
      </c>
      <c r="T1" s="71">
        <v>45931</v>
      </c>
      <c r="U1" s="71">
        <v>45962</v>
      </c>
      <c r="V1" s="71">
        <v>45992</v>
      </c>
      <c r="W1" s="103" t="s">
        <v>87</v>
      </c>
      <c r="X1" s="103" t="s">
        <v>88</v>
      </c>
      <c r="Y1" s="103" t="s">
        <v>89</v>
      </c>
    </row>
    <row r="2" spans="1:25" ht="15" thickBot="1">
      <c r="A2" s="100"/>
      <c r="B2" s="100"/>
      <c r="C2" s="102"/>
      <c r="D2" s="100"/>
      <c r="E2" s="98"/>
      <c r="F2" s="98"/>
      <c r="G2" s="106"/>
      <c r="H2" s="106"/>
      <c r="I2" s="100"/>
      <c r="J2" s="98"/>
      <c r="K2" s="73">
        <v>31</v>
      </c>
      <c r="L2" s="74">
        <v>29</v>
      </c>
      <c r="M2" s="73">
        <v>31</v>
      </c>
      <c r="N2" s="73">
        <v>30</v>
      </c>
      <c r="O2" s="73">
        <v>31</v>
      </c>
      <c r="P2" s="73">
        <v>30</v>
      </c>
      <c r="Q2" s="73">
        <v>31</v>
      </c>
      <c r="R2" s="73">
        <v>31</v>
      </c>
      <c r="S2" s="73">
        <v>30</v>
      </c>
      <c r="T2" s="73">
        <v>31</v>
      </c>
      <c r="U2" s="73">
        <v>30</v>
      </c>
      <c r="V2" s="75">
        <v>31</v>
      </c>
      <c r="W2" s="104"/>
      <c r="X2" s="104"/>
      <c r="Y2" s="104"/>
    </row>
    <row r="3" spans="1:25">
      <c r="A3" s="76" t="s">
        <v>90</v>
      </c>
      <c r="B3" s="76" t="s">
        <v>91</v>
      </c>
      <c r="C3" s="76" t="s">
        <v>27</v>
      </c>
      <c r="D3" s="77" t="s">
        <v>92</v>
      </c>
      <c r="E3" s="76" t="s">
        <v>93</v>
      </c>
      <c r="F3" s="78">
        <v>-5230.5</v>
      </c>
      <c r="G3" s="79">
        <v>45561</v>
      </c>
      <c r="H3" s="79">
        <v>45925</v>
      </c>
      <c r="I3" s="76">
        <v>364</v>
      </c>
      <c r="J3" s="78">
        <v>-3836.657967032967</v>
      </c>
      <c r="K3" s="78">
        <v>-445.45467032967031</v>
      </c>
      <c r="L3" s="78">
        <v>-416.71565934065933</v>
      </c>
      <c r="M3" s="78">
        <v>-445.45467032967031</v>
      </c>
      <c r="N3" s="78">
        <v>-431.08516483516485</v>
      </c>
      <c r="O3" s="78">
        <v>-445.45467032967031</v>
      </c>
      <c r="P3" s="78">
        <v>-431.08516483516485</v>
      </c>
      <c r="Q3" s="78">
        <v>-445.45467032967031</v>
      </c>
      <c r="R3" s="78">
        <v>-445.45467032967031</v>
      </c>
      <c r="S3" s="78">
        <v>-330.5</v>
      </c>
      <c r="T3" s="78"/>
      <c r="U3" s="78"/>
      <c r="V3" s="78"/>
      <c r="W3" s="78">
        <v>-3836.6593406593411</v>
      </c>
      <c r="X3" s="78"/>
      <c r="Y3" s="78"/>
    </row>
    <row r="4" spans="1:25">
      <c r="A4" s="76" t="s">
        <v>90</v>
      </c>
      <c r="B4" s="76" t="s">
        <v>91</v>
      </c>
      <c r="C4" s="76" t="s">
        <v>27</v>
      </c>
      <c r="D4" s="77" t="s">
        <v>94</v>
      </c>
      <c r="E4" s="76" t="s">
        <v>95</v>
      </c>
      <c r="F4" s="78">
        <v>-2270.3000000000002</v>
      </c>
      <c r="G4" s="79">
        <v>45323</v>
      </c>
      <c r="H4" s="79">
        <v>45688</v>
      </c>
      <c r="I4" s="76">
        <v>365</v>
      </c>
      <c r="J4" s="78">
        <v>-186.59999999999991</v>
      </c>
      <c r="K4" s="78">
        <v>-186.6</v>
      </c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>
        <v>-186.6</v>
      </c>
      <c r="X4" s="78"/>
      <c r="Y4" s="78"/>
    </row>
    <row r="5" spans="1:25">
      <c r="A5" s="76" t="s">
        <v>90</v>
      </c>
      <c r="B5" s="76" t="s">
        <v>91</v>
      </c>
      <c r="C5" s="76" t="s">
        <v>27</v>
      </c>
      <c r="D5" s="77" t="s">
        <v>96</v>
      </c>
      <c r="E5" s="76" t="s">
        <v>95</v>
      </c>
      <c r="F5" s="78">
        <v>-2004.12</v>
      </c>
      <c r="G5" s="79">
        <v>45689</v>
      </c>
      <c r="H5" s="79">
        <v>46053</v>
      </c>
      <c r="I5" s="76">
        <v>364</v>
      </c>
      <c r="J5" s="78">
        <v>-2004.12</v>
      </c>
      <c r="K5" s="78"/>
      <c r="L5" s="78">
        <v>-159.66890109890107</v>
      </c>
      <c r="M5" s="78">
        <v>-170.68054945054942</v>
      </c>
      <c r="N5" s="78">
        <v>-165.17472527472526</v>
      </c>
      <c r="O5" s="78">
        <v>-170.68054945054942</v>
      </c>
      <c r="P5" s="78">
        <v>-165.17472527472526</v>
      </c>
      <c r="Q5" s="78">
        <v>-170.68054945054942</v>
      </c>
      <c r="R5" s="78">
        <v>-170.68054945054942</v>
      </c>
      <c r="S5" s="78">
        <v>-165.17472527472526</v>
      </c>
      <c r="T5" s="78">
        <v>-170.68054945054942</v>
      </c>
      <c r="U5" s="78">
        <v>-165.17472527472526</v>
      </c>
      <c r="V5" s="78">
        <v>-170.68054945054942</v>
      </c>
      <c r="W5" s="78">
        <v>-1844.4510989010987</v>
      </c>
      <c r="X5" s="78"/>
      <c r="Y5" s="78"/>
    </row>
    <row r="6" spans="1:25">
      <c r="A6" s="76" t="s">
        <v>90</v>
      </c>
      <c r="B6" s="76" t="s">
        <v>91</v>
      </c>
      <c r="C6" s="76" t="s">
        <v>27</v>
      </c>
      <c r="D6" s="77" t="s">
        <v>97</v>
      </c>
      <c r="E6" s="76" t="s">
        <v>93</v>
      </c>
      <c r="F6" s="78">
        <v>-5486.25</v>
      </c>
      <c r="G6" s="79">
        <v>45926</v>
      </c>
      <c r="H6" s="79">
        <v>46290</v>
      </c>
      <c r="I6" s="76">
        <v>364</v>
      </c>
      <c r="J6" s="78"/>
      <c r="K6" s="78"/>
      <c r="L6" s="78"/>
      <c r="M6" s="78"/>
      <c r="N6" s="78"/>
      <c r="O6" s="78"/>
      <c r="P6" s="78"/>
      <c r="Q6" s="78"/>
      <c r="R6" s="78"/>
      <c r="S6" s="78">
        <v>-60.28846153846154</v>
      </c>
      <c r="T6" s="78">
        <v>-467.23557692307696</v>
      </c>
      <c r="U6" s="78">
        <v>-452.16346153846155</v>
      </c>
      <c r="V6" s="78">
        <v>-467.23557692307696</v>
      </c>
      <c r="W6" s="78">
        <v>-1446.9230769230769</v>
      </c>
      <c r="X6" s="78">
        <v>-5486.25</v>
      </c>
      <c r="Y6" s="78"/>
    </row>
    <row r="7" spans="1:25">
      <c r="A7" s="76" t="s">
        <v>90</v>
      </c>
      <c r="B7" s="76" t="s">
        <v>91</v>
      </c>
      <c r="C7" s="76" t="s">
        <v>22</v>
      </c>
      <c r="D7" s="76" t="s">
        <v>98</v>
      </c>
      <c r="E7" s="76" t="s">
        <v>93</v>
      </c>
      <c r="F7" s="78">
        <v>-2510.1799999999998</v>
      </c>
      <c r="G7" s="79">
        <v>45313</v>
      </c>
      <c r="H7" s="79">
        <v>45679</v>
      </c>
      <c r="I7" s="76">
        <v>366</v>
      </c>
      <c r="J7" s="78">
        <v>-150.88513661202251</v>
      </c>
      <c r="K7" s="78">
        <v>-150.88999999999999</v>
      </c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>
        <v>-150.88999999999999</v>
      </c>
      <c r="X7" s="78"/>
      <c r="Y7" s="78"/>
    </row>
    <row r="8" spans="1:25">
      <c r="A8" s="76" t="s">
        <v>90</v>
      </c>
      <c r="B8" s="76" t="s">
        <v>91</v>
      </c>
      <c r="C8" s="76" t="s">
        <v>22</v>
      </c>
      <c r="D8" s="76" t="s">
        <v>99</v>
      </c>
      <c r="E8" s="76" t="s">
        <v>93</v>
      </c>
      <c r="F8" s="78">
        <v>-2510.1799999999998</v>
      </c>
      <c r="G8" s="79">
        <v>45679</v>
      </c>
      <c r="H8" s="79">
        <v>46043</v>
      </c>
      <c r="I8" s="76">
        <v>364</v>
      </c>
      <c r="J8" s="78"/>
      <c r="K8" s="78">
        <v>-62.064890109890108</v>
      </c>
      <c r="L8" s="78">
        <v>-199.98686813186811</v>
      </c>
      <c r="M8" s="78">
        <v>-213.77906593406593</v>
      </c>
      <c r="N8" s="78">
        <v>-206.88296703296703</v>
      </c>
      <c r="O8" s="78">
        <v>-213.77906593406593</v>
      </c>
      <c r="P8" s="78">
        <v>-206.88296703296703</v>
      </c>
      <c r="Q8" s="78">
        <v>-213.77906593406593</v>
      </c>
      <c r="R8" s="78">
        <v>-213.77906593406593</v>
      </c>
      <c r="S8" s="78">
        <v>-206.88296703296703</v>
      </c>
      <c r="T8" s="78">
        <v>-213.77906593406593</v>
      </c>
      <c r="U8" s="78">
        <v>-206.88296703296703</v>
      </c>
      <c r="V8" s="78">
        <v>-213.77906593406593</v>
      </c>
      <c r="W8" s="78">
        <v>-2372.258021978022</v>
      </c>
      <c r="X8" s="78">
        <v>-2510.1799999999998</v>
      </c>
      <c r="Y8" s="78"/>
    </row>
    <row r="9" spans="1:25">
      <c r="A9" s="76" t="s">
        <v>100</v>
      </c>
      <c r="B9" s="76" t="s">
        <v>101</v>
      </c>
      <c r="C9" s="76" t="s">
        <v>29</v>
      </c>
      <c r="D9" s="77" t="s">
        <v>102</v>
      </c>
      <c r="E9" s="76" t="s">
        <v>103</v>
      </c>
      <c r="F9" s="78">
        <v>-12461.42</v>
      </c>
      <c r="G9" s="79">
        <v>45668</v>
      </c>
      <c r="H9" s="79">
        <v>46032</v>
      </c>
      <c r="I9" s="76">
        <v>364</v>
      </c>
      <c r="J9" s="78">
        <v>-12461.42</v>
      </c>
      <c r="K9" s="78">
        <v>-684.69340659340662</v>
      </c>
      <c r="L9" s="78">
        <v>-992.80543956043959</v>
      </c>
      <c r="M9" s="78">
        <v>-1061.2747802197803</v>
      </c>
      <c r="N9" s="78">
        <v>-1027.04010989011</v>
      </c>
      <c r="O9" s="78">
        <v>-1061.2747802197803</v>
      </c>
      <c r="P9" s="78">
        <v>-1027.04010989011</v>
      </c>
      <c r="Q9" s="78">
        <v>-1061.2747802197803</v>
      </c>
      <c r="R9" s="78">
        <v>-1061.2747802197803</v>
      </c>
      <c r="S9" s="78">
        <v>-1027.04010989011</v>
      </c>
      <c r="T9" s="78">
        <v>-1061.2747802197803</v>
      </c>
      <c r="U9" s="78">
        <v>-1027.04010989011</v>
      </c>
      <c r="V9" s="78">
        <v>-1061.2747802197803</v>
      </c>
      <c r="W9" s="78">
        <v>-12153.307967032968</v>
      </c>
      <c r="X9" s="78"/>
      <c r="Y9" s="78"/>
    </row>
    <row r="10" spans="1:25">
      <c r="A10" s="76" t="s">
        <v>100</v>
      </c>
      <c r="B10" s="76" t="s">
        <v>101</v>
      </c>
      <c r="C10" s="76" t="s">
        <v>29</v>
      </c>
      <c r="D10" s="77" t="s">
        <v>104</v>
      </c>
      <c r="E10" s="76" t="s">
        <v>103</v>
      </c>
      <c r="F10" s="78">
        <v>-9882.68</v>
      </c>
      <c r="G10" s="79">
        <v>45302</v>
      </c>
      <c r="H10" s="79">
        <v>45667</v>
      </c>
      <c r="I10" s="76">
        <v>365</v>
      </c>
      <c r="J10" s="78">
        <v>-270.75835616438235</v>
      </c>
      <c r="K10" s="78">
        <v>-270.76</v>
      </c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>
        <v>-270.76</v>
      </c>
      <c r="X10" s="78"/>
      <c r="Y10" s="78"/>
    </row>
    <row r="11" spans="1:25">
      <c r="A11" s="76" t="s">
        <v>100</v>
      </c>
      <c r="B11" s="76" t="s">
        <v>101</v>
      </c>
      <c r="C11" s="76" t="s">
        <v>29</v>
      </c>
      <c r="D11" s="77" t="s">
        <v>105</v>
      </c>
      <c r="E11" s="76" t="s">
        <v>106</v>
      </c>
      <c r="F11" s="78">
        <v>-1276.8</v>
      </c>
      <c r="G11" s="79">
        <v>45959</v>
      </c>
      <c r="H11" s="79">
        <v>46323</v>
      </c>
      <c r="I11" s="76">
        <v>364</v>
      </c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>
        <v>-112.24615384615385</v>
      </c>
      <c r="V11" s="78">
        <v>-108.73846153846154</v>
      </c>
      <c r="W11" s="78">
        <v>-220.98461538461538</v>
      </c>
      <c r="X11" s="78">
        <v>-1276.8</v>
      </c>
      <c r="Y11" s="78"/>
    </row>
    <row r="12" spans="1:25">
      <c r="A12" s="76" t="s">
        <v>100</v>
      </c>
      <c r="B12" s="76" t="s">
        <v>101</v>
      </c>
      <c r="C12" s="76" t="s">
        <v>29</v>
      </c>
      <c r="D12" s="77" t="s">
        <v>107</v>
      </c>
      <c r="E12" s="76" t="s">
        <v>106</v>
      </c>
      <c r="F12" s="78">
        <v>-500</v>
      </c>
      <c r="G12" s="79">
        <v>45980</v>
      </c>
      <c r="H12" s="80">
        <v>46344</v>
      </c>
      <c r="I12" s="76">
        <v>364</v>
      </c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>
        <v>-15.109890109890109</v>
      </c>
      <c r="V12" s="78">
        <v>-42.582417582417584</v>
      </c>
      <c r="W12" s="78">
        <v>-57.692307692307693</v>
      </c>
      <c r="X12" s="78">
        <v>-500</v>
      </c>
      <c r="Y12" s="78"/>
    </row>
    <row r="13" spans="1:25">
      <c r="A13" s="76" t="s">
        <v>100</v>
      </c>
      <c r="B13" s="76" t="s">
        <v>101</v>
      </c>
      <c r="C13" s="76" t="s">
        <v>29</v>
      </c>
      <c r="D13" s="77" t="s">
        <v>108</v>
      </c>
      <c r="E13" s="76" t="s">
        <v>103</v>
      </c>
      <c r="F13" s="78">
        <v>-13117.28</v>
      </c>
      <c r="G13" s="79">
        <v>46033</v>
      </c>
      <c r="H13" s="80">
        <v>46397</v>
      </c>
      <c r="I13" s="76">
        <v>364</v>
      </c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>
        <v>0</v>
      </c>
      <c r="X13" s="78">
        <v>-13117.28</v>
      </c>
      <c r="Y13" s="78"/>
    </row>
    <row r="14" spans="1:25">
      <c r="A14" s="76" t="s">
        <v>90</v>
      </c>
      <c r="B14" s="76" t="s">
        <v>91</v>
      </c>
      <c r="C14" s="76" t="s">
        <v>57</v>
      </c>
      <c r="D14" s="77" t="s">
        <v>109</v>
      </c>
      <c r="E14" s="76" t="s">
        <v>93</v>
      </c>
      <c r="F14" s="78">
        <v>-1188.01</v>
      </c>
      <c r="G14" s="79">
        <v>45869</v>
      </c>
      <c r="H14" s="79">
        <v>46233</v>
      </c>
      <c r="I14" s="76">
        <v>364</v>
      </c>
      <c r="J14" s="81"/>
      <c r="K14" s="81"/>
      <c r="L14" s="81"/>
      <c r="M14" s="81"/>
      <c r="N14" s="81"/>
      <c r="O14" s="81"/>
      <c r="P14" s="81"/>
      <c r="Q14" s="78">
        <v>-3.2637637362637362</v>
      </c>
      <c r="R14" s="78">
        <v>-101.17667582417582</v>
      </c>
      <c r="S14" s="78">
        <v>104.44</v>
      </c>
      <c r="T14" s="78"/>
      <c r="U14" s="78"/>
      <c r="V14" s="78"/>
      <c r="W14" s="78">
        <v>-4.3956043955972746E-4</v>
      </c>
      <c r="X14" s="78">
        <v>-1188.01</v>
      </c>
      <c r="Y14" s="78"/>
    </row>
    <row r="15" spans="1:25">
      <c r="A15" s="76" t="s">
        <v>100</v>
      </c>
      <c r="B15" s="76" t="s">
        <v>101</v>
      </c>
      <c r="C15" s="76" t="s">
        <v>18</v>
      </c>
      <c r="D15" s="82">
        <v>129170</v>
      </c>
      <c r="E15" s="76" t="s">
        <v>110</v>
      </c>
      <c r="F15" s="78">
        <v>-1835</v>
      </c>
      <c r="G15" s="79">
        <v>45474</v>
      </c>
      <c r="H15" s="79">
        <v>45838</v>
      </c>
      <c r="I15" s="76">
        <v>365</v>
      </c>
      <c r="J15" s="78">
        <v>-909.95890410958896</v>
      </c>
      <c r="K15" s="78">
        <v>-155.84931506849315</v>
      </c>
      <c r="L15" s="78">
        <v>-145.79452054794521</v>
      </c>
      <c r="M15" s="78">
        <v>-155.84931506849315</v>
      </c>
      <c r="N15" s="78">
        <v>-150.82191780821918</v>
      </c>
      <c r="O15" s="78">
        <v>-155.84931506849315</v>
      </c>
      <c r="P15" s="78">
        <v>-145.79</v>
      </c>
      <c r="Q15" s="78"/>
      <c r="R15" s="78"/>
      <c r="S15" s="78"/>
      <c r="T15" s="78"/>
      <c r="U15" s="78"/>
      <c r="V15" s="78"/>
      <c r="W15" s="78">
        <v>-909.95438356164379</v>
      </c>
      <c r="X15" s="78"/>
      <c r="Y15" s="78"/>
    </row>
    <row r="16" spans="1:25">
      <c r="A16" s="76" t="s">
        <v>90</v>
      </c>
      <c r="B16" s="76" t="s">
        <v>91</v>
      </c>
      <c r="C16" s="76" t="s">
        <v>40</v>
      </c>
      <c r="D16" s="77" t="s">
        <v>111</v>
      </c>
      <c r="E16" s="76" t="s">
        <v>112</v>
      </c>
      <c r="F16" s="78">
        <v>-812.24</v>
      </c>
      <c r="G16" s="79">
        <v>45340</v>
      </c>
      <c r="H16" s="79">
        <v>45705</v>
      </c>
      <c r="I16" s="76">
        <v>365</v>
      </c>
      <c r="J16" s="78">
        <v>-106.8151232876711</v>
      </c>
      <c r="K16" s="78">
        <v>-68.984767123287682</v>
      </c>
      <c r="L16" s="78">
        <v>-37.83</v>
      </c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>
        <v>-106.81476712328768</v>
      </c>
      <c r="X16" s="78"/>
      <c r="Y16" s="78"/>
    </row>
    <row r="17" spans="1:25">
      <c r="A17" s="76" t="s">
        <v>90</v>
      </c>
      <c r="B17" s="76" t="s">
        <v>91</v>
      </c>
      <c r="C17" s="76" t="s">
        <v>40</v>
      </c>
      <c r="D17" s="77" t="s">
        <v>113</v>
      </c>
      <c r="E17" s="76" t="s">
        <v>93</v>
      </c>
      <c r="F17" s="78">
        <v>-153</v>
      </c>
      <c r="G17" s="79">
        <v>45426</v>
      </c>
      <c r="H17" s="79">
        <v>45790</v>
      </c>
      <c r="I17" s="76">
        <v>364</v>
      </c>
      <c r="J17" s="78">
        <v>-56.324175824175839</v>
      </c>
      <c r="K17" s="78">
        <v>-13.030219780219781</v>
      </c>
      <c r="L17" s="78">
        <v>-12.18956043956044</v>
      </c>
      <c r="M17" s="78">
        <v>-13.030219780219781</v>
      </c>
      <c r="N17" s="78">
        <v>-12.609890109890109</v>
      </c>
      <c r="O17" s="78">
        <v>-5.46</v>
      </c>
      <c r="P17" s="78"/>
      <c r="Q17" s="78"/>
      <c r="R17" s="78"/>
      <c r="S17" s="78"/>
      <c r="T17" s="78"/>
      <c r="U17" s="78"/>
      <c r="V17" s="78"/>
      <c r="W17" s="78">
        <v>-56.31989010989011</v>
      </c>
      <c r="X17" s="78"/>
      <c r="Y17" s="78"/>
    </row>
    <row r="18" spans="1:25">
      <c r="A18" s="76" t="s">
        <v>90</v>
      </c>
      <c r="B18" s="76" t="s">
        <v>91</v>
      </c>
      <c r="C18" s="76" t="s">
        <v>40</v>
      </c>
      <c r="D18" s="77" t="s">
        <v>114</v>
      </c>
      <c r="E18" s="76" t="s">
        <v>93</v>
      </c>
      <c r="F18" s="78">
        <v>-58.58</v>
      </c>
      <c r="G18" s="79">
        <v>45791</v>
      </c>
      <c r="H18" s="79">
        <v>46155</v>
      </c>
      <c r="I18" s="76">
        <v>364</v>
      </c>
      <c r="J18" s="78"/>
      <c r="K18" s="78"/>
      <c r="L18" s="78"/>
      <c r="M18" s="78"/>
      <c r="N18" s="78"/>
      <c r="O18" s="78">
        <v>-2.7358791208791207</v>
      </c>
      <c r="P18" s="78">
        <v>-4.8280219780219777</v>
      </c>
      <c r="Q18" s="78">
        <v>-4.9889560439560432</v>
      </c>
      <c r="R18" s="78">
        <v>-4.9889560439560432</v>
      </c>
      <c r="S18" s="78">
        <v>-4.8280219780219777</v>
      </c>
      <c r="T18" s="78">
        <v>-4.9889560439560432</v>
      </c>
      <c r="U18" s="78">
        <v>-4.8280219780219777</v>
      </c>
      <c r="V18" s="78">
        <v>-4.9889560439560432</v>
      </c>
      <c r="W18" s="78">
        <v>-37.175769230769234</v>
      </c>
      <c r="X18" s="78">
        <v>-58.58</v>
      </c>
      <c r="Y18" s="78"/>
    </row>
    <row r="19" spans="1:25">
      <c r="A19" s="76" t="s">
        <v>90</v>
      </c>
      <c r="B19" s="76" t="s">
        <v>91</v>
      </c>
      <c r="C19" s="76" t="s">
        <v>40</v>
      </c>
      <c r="D19" s="77" t="s">
        <v>115</v>
      </c>
      <c r="E19" s="76" t="s">
        <v>112</v>
      </c>
      <c r="F19" s="78">
        <v>-918.55</v>
      </c>
      <c r="G19" s="79">
        <v>45706</v>
      </c>
      <c r="H19" s="79">
        <v>46070</v>
      </c>
      <c r="I19" s="76">
        <v>364</v>
      </c>
      <c r="J19" s="78"/>
      <c r="K19" s="78"/>
      <c r="L19" s="78"/>
      <c r="M19" s="78"/>
      <c r="N19" s="78"/>
      <c r="O19" s="78"/>
      <c r="P19" s="78">
        <v>-335.62403846153842</v>
      </c>
      <c r="Q19" s="78">
        <v>-78.228159340659332</v>
      </c>
      <c r="R19" s="78">
        <v>-78.228159340659332</v>
      </c>
      <c r="S19" s="78">
        <v>-75.704670329670321</v>
      </c>
      <c r="T19" s="78">
        <v>-78.228159340659332</v>
      </c>
      <c r="U19" s="78">
        <v>-75.704670329670321</v>
      </c>
      <c r="V19" s="78">
        <v>-78.228159340659332</v>
      </c>
      <c r="W19" s="78">
        <v>-799.94601648351636</v>
      </c>
      <c r="X19" s="78">
        <v>-918.55</v>
      </c>
      <c r="Y19" s="78"/>
    </row>
    <row r="20" spans="1:25">
      <c r="A20" s="76" t="s">
        <v>100</v>
      </c>
      <c r="B20" s="76" t="s">
        <v>101</v>
      </c>
      <c r="C20" s="76" t="s">
        <v>46</v>
      </c>
      <c r="D20" s="77" t="s">
        <v>116</v>
      </c>
      <c r="E20" s="76" t="s">
        <v>103</v>
      </c>
      <c r="F20" s="78">
        <v>-7129.73</v>
      </c>
      <c r="G20" s="79">
        <v>45668</v>
      </c>
      <c r="H20" s="79">
        <v>46032</v>
      </c>
      <c r="I20" s="76">
        <v>364</v>
      </c>
      <c r="J20" s="78">
        <v>-7129.74</v>
      </c>
      <c r="K20" s="78">
        <v>-391.74340659340658</v>
      </c>
      <c r="L20" s="78">
        <v>-568.02793956043956</v>
      </c>
      <c r="M20" s="78">
        <v>-607.20228021978016</v>
      </c>
      <c r="N20" s="78">
        <v>-587.61510989010981</v>
      </c>
      <c r="O20" s="78">
        <v>-607.20228021978016</v>
      </c>
      <c r="P20" s="78">
        <v>-587.61510989010981</v>
      </c>
      <c r="Q20" s="78">
        <v>-607.20228021978016</v>
      </c>
      <c r="R20" s="78">
        <v>-607.20228021978016</v>
      </c>
      <c r="S20" s="78">
        <v>-587.61510989010981</v>
      </c>
      <c r="T20" s="78">
        <v>-607.20228021978016</v>
      </c>
      <c r="U20" s="78">
        <v>-587.61510989010981</v>
      </c>
      <c r="V20" s="78">
        <v>-607.20228021978016</v>
      </c>
      <c r="W20" s="78">
        <v>-6953.445467032966</v>
      </c>
      <c r="X20" s="78"/>
      <c r="Y20" s="78"/>
    </row>
    <row r="21" spans="1:25">
      <c r="A21" s="76" t="s">
        <v>100</v>
      </c>
      <c r="B21" s="76" t="s">
        <v>101</v>
      </c>
      <c r="C21" s="76" t="s">
        <v>46</v>
      </c>
      <c r="D21" s="77" t="s">
        <v>117</v>
      </c>
      <c r="E21" s="76" t="s">
        <v>103</v>
      </c>
      <c r="F21" s="78">
        <v>-5986.94</v>
      </c>
      <c r="G21" s="79">
        <v>45302</v>
      </c>
      <c r="H21" s="79">
        <v>45667</v>
      </c>
      <c r="I21" s="76">
        <v>365</v>
      </c>
      <c r="J21" s="78">
        <v>-164.02575342465752</v>
      </c>
      <c r="K21" s="78">
        <v>-164.03</v>
      </c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>
        <v>-164.03</v>
      </c>
      <c r="X21" s="78"/>
      <c r="Y21" s="78"/>
    </row>
    <row r="22" spans="1:25">
      <c r="A22" s="76" t="s">
        <v>100</v>
      </c>
      <c r="B22" s="76" t="s">
        <v>101</v>
      </c>
      <c r="C22" s="76" t="s">
        <v>46</v>
      </c>
      <c r="D22" s="77" t="s">
        <v>118</v>
      </c>
      <c r="E22" s="76" t="s">
        <v>103</v>
      </c>
      <c r="F22" s="78">
        <v>-7504.99</v>
      </c>
      <c r="G22" s="79">
        <v>46033</v>
      </c>
      <c r="H22" s="79">
        <v>46397</v>
      </c>
      <c r="I22" s="76">
        <v>364</v>
      </c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>
        <v>0</v>
      </c>
      <c r="X22" s="78">
        <v>-7504.99</v>
      </c>
      <c r="Y22" s="78"/>
    </row>
    <row r="23" spans="1:25">
      <c r="A23" s="76" t="s">
        <v>100</v>
      </c>
      <c r="B23" s="76" t="s">
        <v>101</v>
      </c>
      <c r="C23" s="76" t="s">
        <v>45</v>
      </c>
      <c r="D23" s="77" t="s">
        <v>119</v>
      </c>
      <c r="E23" s="76" t="s">
        <v>106</v>
      </c>
      <c r="F23" s="78">
        <v>-1388.8</v>
      </c>
      <c r="G23" s="79">
        <v>45933</v>
      </c>
      <c r="H23" s="79">
        <v>46268</v>
      </c>
      <c r="I23" s="76">
        <v>335</v>
      </c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>
        <v>-116.07880597014925</v>
      </c>
      <c r="U23" s="78">
        <v>-124.37014925373133</v>
      </c>
      <c r="V23" s="78">
        <v>-128.51582089552238</v>
      </c>
      <c r="W23" s="78">
        <v>-368.96477611940293</v>
      </c>
      <c r="X23" s="78">
        <v>-1388.8</v>
      </c>
      <c r="Y23" s="78"/>
    </row>
    <row r="24" spans="1:25">
      <c r="A24" s="76" t="s">
        <v>100</v>
      </c>
      <c r="B24" s="76" t="s">
        <v>101</v>
      </c>
      <c r="C24" s="76" t="s">
        <v>34</v>
      </c>
      <c r="D24" s="77" t="s">
        <v>120</v>
      </c>
      <c r="E24" s="76" t="s">
        <v>103</v>
      </c>
      <c r="F24" s="78">
        <v>-4576.5</v>
      </c>
      <c r="G24" s="79">
        <v>45303</v>
      </c>
      <c r="H24" s="79">
        <v>45668</v>
      </c>
      <c r="I24" s="76">
        <v>365</v>
      </c>
      <c r="J24" s="78">
        <v>-137.9219178082185</v>
      </c>
      <c r="K24" s="78">
        <v>-137.91999999999999</v>
      </c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>
        <v>-137.91999999999999</v>
      </c>
      <c r="X24" s="78"/>
      <c r="Y24" s="78"/>
    </row>
    <row r="25" spans="1:25">
      <c r="A25" s="76" t="s">
        <v>100</v>
      </c>
      <c r="B25" s="76" t="s">
        <v>101</v>
      </c>
      <c r="C25" s="76" t="s">
        <v>34</v>
      </c>
      <c r="D25" s="77" t="s">
        <v>121</v>
      </c>
      <c r="E25" s="76" t="s">
        <v>103</v>
      </c>
      <c r="F25" s="78">
        <v>-5501.25</v>
      </c>
      <c r="G25" s="79">
        <v>45669</v>
      </c>
      <c r="H25" s="79">
        <v>46033</v>
      </c>
      <c r="I25" s="76">
        <v>364</v>
      </c>
      <c r="J25" s="78"/>
      <c r="K25" s="78">
        <v>-287.15315934065933</v>
      </c>
      <c r="L25" s="78">
        <v>-438.28640109890108</v>
      </c>
      <c r="M25" s="78">
        <v>-468.51304945054943</v>
      </c>
      <c r="N25" s="78">
        <v>-453.39972527472526</v>
      </c>
      <c r="O25" s="78">
        <v>-468.51304945054943</v>
      </c>
      <c r="P25" s="78">
        <v>-453.39972527472526</v>
      </c>
      <c r="Q25" s="78">
        <v>-468.51304945054943</v>
      </c>
      <c r="R25" s="78">
        <v>-468.51304945054943</v>
      </c>
      <c r="S25" s="78">
        <v>-453.39972527472526</v>
      </c>
      <c r="T25" s="78">
        <v>-468.51304945054943</v>
      </c>
      <c r="U25" s="78">
        <v>-453.39972527472526</v>
      </c>
      <c r="V25" s="78">
        <v>-468.51304945054943</v>
      </c>
      <c r="W25" s="78">
        <v>-5350.1167582417575</v>
      </c>
      <c r="X25" s="78">
        <v>-5501.25</v>
      </c>
      <c r="Y25" s="78"/>
    </row>
    <row r="26" spans="1:25">
      <c r="A26" s="76" t="s">
        <v>100</v>
      </c>
      <c r="B26" s="76" t="s">
        <v>101</v>
      </c>
      <c r="C26" s="76" t="s">
        <v>36</v>
      </c>
      <c r="D26" s="77" t="s">
        <v>122</v>
      </c>
      <c r="E26" s="76" t="s">
        <v>123</v>
      </c>
      <c r="F26" s="78">
        <v>-2355.0100000000002</v>
      </c>
      <c r="G26" s="79">
        <v>45668</v>
      </c>
      <c r="H26" s="79">
        <v>46032</v>
      </c>
      <c r="I26" s="76">
        <v>364</v>
      </c>
      <c r="J26" s="78">
        <v>-2355.0100000000002</v>
      </c>
      <c r="K26" s="78">
        <v>-129.39615384615388</v>
      </c>
      <c r="L26" s="78">
        <v>-187.62442307692311</v>
      </c>
      <c r="M26" s="78">
        <v>-200.5640384615385</v>
      </c>
      <c r="N26" s="78">
        <v>-194.09423076923079</v>
      </c>
      <c r="O26" s="78">
        <v>-200.5640384615385</v>
      </c>
      <c r="P26" s="78">
        <v>-194.09423076923079</v>
      </c>
      <c r="Q26" s="78">
        <v>-200.5640384615385</v>
      </c>
      <c r="R26" s="78">
        <v>-200.5640384615385</v>
      </c>
      <c r="S26" s="78">
        <v>-194.09423076923079</v>
      </c>
      <c r="T26" s="78">
        <v>-200.5640384615385</v>
      </c>
      <c r="U26" s="78">
        <v>-194.09423076923079</v>
      </c>
      <c r="V26" s="78">
        <v>-200.5640384615385</v>
      </c>
      <c r="W26" s="78">
        <v>-2296.7817307692312</v>
      </c>
      <c r="X26" s="78"/>
      <c r="Y26" s="78"/>
    </row>
    <row r="27" spans="1:25">
      <c r="A27" s="76" t="s">
        <v>100</v>
      </c>
      <c r="B27" s="76" t="s">
        <v>101</v>
      </c>
      <c r="C27" s="76" t="s">
        <v>36</v>
      </c>
      <c r="D27" s="77" t="s">
        <v>124</v>
      </c>
      <c r="E27" s="76" t="s">
        <v>123</v>
      </c>
      <c r="F27" s="78">
        <v>-1977.53</v>
      </c>
      <c r="G27" s="79">
        <v>45302</v>
      </c>
      <c r="H27" s="79">
        <v>45667</v>
      </c>
      <c r="I27" s="76">
        <v>365</v>
      </c>
      <c r="J27" s="78">
        <v>-54.178904109589212</v>
      </c>
      <c r="K27" s="78">
        <v>-54.18</v>
      </c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>
        <v>-54.18</v>
      </c>
      <c r="X27" s="78"/>
      <c r="Y27" s="78"/>
    </row>
    <row r="28" spans="1:25">
      <c r="A28" s="76" t="s">
        <v>100</v>
      </c>
      <c r="B28" s="76" t="s">
        <v>101</v>
      </c>
      <c r="C28" s="76" t="s">
        <v>36</v>
      </c>
      <c r="D28" s="77">
        <v>607269</v>
      </c>
      <c r="E28" s="76" t="s">
        <v>125</v>
      </c>
      <c r="F28" s="78">
        <v>-155.44999999999999</v>
      </c>
      <c r="G28" s="79">
        <v>45505</v>
      </c>
      <c r="H28" s="79">
        <v>45869</v>
      </c>
      <c r="I28" s="76">
        <v>364</v>
      </c>
      <c r="J28" s="78">
        <v>-90.109752747252728</v>
      </c>
      <c r="K28" s="78">
        <v>-13.238873626373627</v>
      </c>
      <c r="L28" s="78">
        <v>-12.384752747252747</v>
      </c>
      <c r="M28" s="78">
        <v>-13.238873626373627</v>
      </c>
      <c r="N28" s="78">
        <v>-12.811813186813186</v>
      </c>
      <c r="O28" s="78">
        <v>-13.238873626373627</v>
      </c>
      <c r="P28" s="78">
        <v>-12.811813186813186</v>
      </c>
      <c r="Q28" s="78">
        <v>-12.38</v>
      </c>
      <c r="R28" s="78"/>
      <c r="S28" s="78"/>
      <c r="T28" s="78"/>
      <c r="U28" s="78"/>
      <c r="V28" s="78"/>
      <c r="W28" s="78">
        <v>-90.10499999999999</v>
      </c>
      <c r="X28" s="78"/>
      <c r="Y28" s="78"/>
    </row>
    <row r="29" spans="1:25">
      <c r="A29" s="76" t="s">
        <v>100</v>
      </c>
      <c r="B29" s="76" t="s">
        <v>101</v>
      </c>
      <c r="C29" s="76" t="s">
        <v>36</v>
      </c>
      <c r="D29" s="77">
        <v>608410</v>
      </c>
      <c r="E29" s="76" t="s">
        <v>125</v>
      </c>
      <c r="F29" s="78">
        <v>-118.54</v>
      </c>
      <c r="G29" s="79">
        <v>45969</v>
      </c>
      <c r="H29" s="79">
        <v>46333</v>
      </c>
      <c r="I29" s="76">
        <v>364</v>
      </c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>
        <v>-7.1645054945054945</v>
      </c>
      <c r="V29" s="78">
        <v>-10.09543956043956</v>
      </c>
      <c r="W29" s="78">
        <v>-17.259945054945057</v>
      </c>
      <c r="X29" s="78">
        <v>-118.54</v>
      </c>
      <c r="Y29" s="78"/>
    </row>
    <row r="30" spans="1:25">
      <c r="A30" s="76" t="s">
        <v>100</v>
      </c>
      <c r="B30" s="76" t="s">
        <v>101</v>
      </c>
      <c r="C30" s="76" t="s">
        <v>36</v>
      </c>
      <c r="D30" s="77" t="s">
        <v>126</v>
      </c>
      <c r="E30" s="76" t="s">
        <v>123</v>
      </c>
      <c r="F30" s="78">
        <v>-2478.96</v>
      </c>
      <c r="G30" s="79">
        <v>46033</v>
      </c>
      <c r="H30" s="79">
        <v>46397</v>
      </c>
      <c r="I30" s="76">
        <v>364</v>
      </c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>
        <v>0</v>
      </c>
      <c r="X30" s="78">
        <v>-2478.96</v>
      </c>
      <c r="Y30" s="78"/>
    </row>
    <row r="31" spans="1:25">
      <c r="A31" s="76" t="s">
        <v>100</v>
      </c>
      <c r="B31" s="76" t="s">
        <v>101</v>
      </c>
      <c r="C31" s="76" t="s">
        <v>16</v>
      </c>
      <c r="D31" s="76" t="s">
        <v>127</v>
      </c>
      <c r="E31" s="76" t="s">
        <v>103</v>
      </c>
      <c r="F31" s="78">
        <v>-6885.45</v>
      </c>
      <c r="G31" s="79">
        <v>45668</v>
      </c>
      <c r="H31" s="79">
        <v>46032</v>
      </c>
      <c r="I31" s="76">
        <v>364</v>
      </c>
      <c r="J31" s="78">
        <v>-6885.46</v>
      </c>
      <c r="K31" s="78">
        <v>-378.32142857142856</v>
      </c>
      <c r="L31" s="78">
        <v>-548.56607142857138</v>
      </c>
      <c r="M31" s="78">
        <v>-586.39821428571429</v>
      </c>
      <c r="N31" s="78">
        <v>-567.48214285714289</v>
      </c>
      <c r="O31" s="78">
        <v>-586.39821428571429</v>
      </c>
      <c r="P31" s="78">
        <v>-567.48214285714289</v>
      </c>
      <c r="Q31" s="78">
        <v>-586.39821428571429</v>
      </c>
      <c r="R31" s="78">
        <v>-586.39821428571429</v>
      </c>
      <c r="S31" s="78">
        <v>-567.48214285714289</v>
      </c>
      <c r="T31" s="78">
        <v>-586.39821428571429</v>
      </c>
      <c r="U31" s="78">
        <v>-567.48214285714289</v>
      </c>
      <c r="V31" s="78">
        <v>-586.39821428571429</v>
      </c>
      <c r="W31" s="78">
        <v>-6715.2053571428569</v>
      </c>
      <c r="X31" s="78"/>
      <c r="Y31" s="78"/>
    </row>
    <row r="32" spans="1:25">
      <c r="A32" s="76" t="s">
        <v>100</v>
      </c>
      <c r="B32" s="76" t="s">
        <v>101</v>
      </c>
      <c r="C32" s="76" t="s">
        <v>16</v>
      </c>
      <c r="D32" s="76" t="s">
        <v>104</v>
      </c>
      <c r="E32" s="76" t="s">
        <v>103</v>
      </c>
      <c r="F32" s="78">
        <v>-6000.7</v>
      </c>
      <c r="G32" s="79">
        <v>45302</v>
      </c>
      <c r="H32" s="79">
        <v>45667</v>
      </c>
      <c r="I32" s="76">
        <v>365</v>
      </c>
      <c r="J32" s="78">
        <v>-164.4027397260279</v>
      </c>
      <c r="K32" s="78">
        <v>-164.4</v>
      </c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>
        <v>-164.4</v>
      </c>
      <c r="X32" s="78"/>
      <c r="Y32" s="78"/>
    </row>
    <row r="33" spans="1:25">
      <c r="A33" s="76" t="s">
        <v>100</v>
      </c>
      <c r="B33" s="76" t="s">
        <v>101</v>
      </c>
      <c r="C33" s="76" t="s">
        <v>16</v>
      </c>
      <c r="D33" s="76" t="s">
        <v>128</v>
      </c>
      <c r="E33" s="76" t="s">
        <v>129</v>
      </c>
      <c r="F33" s="78">
        <v>-376.23</v>
      </c>
      <c r="G33" s="79">
        <v>45505</v>
      </c>
      <c r="H33" s="79">
        <v>45869</v>
      </c>
      <c r="I33" s="76">
        <v>364</v>
      </c>
      <c r="J33" s="78">
        <v>-218.08936813186816</v>
      </c>
      <c r="K33" s="78">
        <v>-32.041565934065936</v>
      </c>
      <c r="L33" s="78">
        <v>-29.974368131868133</v>
      </c>
      <c r="M33" s="78">
        <v>-32.041565934065936</v>
      </c>
      <c r="N33" s="78">
        <v>-31.007967032967031</v>
      </c>
      <c r="O33" s="78">
        <v>-32.041565934065936</v>
      </c>
      <c r="P33" s="78">
        <v>-31.007967032967031</v>
      </c>
      <c r="Q33" s="78">
        <v>-29.97</v>
      </c>
      <c r="R33" s="78"/>
      <c r="S33" s="78"/>
      <c r="T33" s="78"/>
      <c r="U33" s="78"/>
      <c r="V33" s="78"/>
      <c r="W33" s="78">
        <v>-218.08500000000001</v>
      </c>
      <c r="X33" s="78"/>
      <c r="Y33" s="78"/>
    </row>
    <row r="34" spans="1:25">
      <c r="A34" s="76" t="s">
        <v>100</v>
      </c>
      <c r="B34" s="76" t="s">
        <v>101</v>
      </c>
      <c r="C34" s="76" t="s">
        <v>16</v>
      </c>
      <c r="D34" s="76" t="s">
        <v>130</v>
      </c>
      <c r="E34" s="76" t="s">
        <v>129</v>
      </c>
      <c r="F34" s="78">
        <v>-362.45</v>
      </c>
      <c r="G34" s="79">
        <v>45657</v>
      </c>
      <c r="H34" s="79">
        <v>46021</v>
      </c>
      <c r="I34" s="76">
        <v>364</v>
      </c>
      <c r="J34" s="78">
        <v>-361.47420329670331</v>
      </c>
      <c r="K34" s="78">
        <v>-30.867994505494504</v>
      </c>
      <c r="L34" s="78">
        <v>-28.876510989010988</v>
      </c>
      <c r="M34" s="78">
        <v>-30.867994505494504</v>
      </c>
      <c r="N34" s="78">
        <v>-29.872252747252748</v>
      </c>
      <c r="O34" s="78">
        <v>-30.867994505494504</v>
      </c>
      <c r="P34" s="78">
        <v>-29.872252747252748</v>
      </c>
      <c r="Q34" s="78">
        <v>-30.867994505494504</v>
      </c>
      <c r="R34" s="78">
        <v>-30.867994505494504</v>
      </c>
      <c r="S34" s="78">
        <v>-29.872252747252748</v>
      </c>
      <c r="T34" s="78">
        <v>-30.867994505494504</v>
      </c>
      <c r="U34" s="78">
        <v>-29.872252747252748</v>
      </c>
      <c r="V34" s="78">
        <v>-27.9</v>
      </c>
      <c r="W34" s="78">
        <v>-361.47348901098894</v>
      </c>
      <c r="X34" s="78"/>
      <c r="Y34" s="78"/>
    </row>
    <row r="35" spans="1:25">
      <c r="A35" s="76" t="s">
        <v>100</v>
      </c>
      <c r="B35" s="76" t="s">
        <v>101</v>
      </c>
      <c r="C35" s="76" t="s">
        <v>16</v>
      </c>
      <c r="D35" s="76" t="s">
        <v>131</v>
      </c>
      <c r="E35" s="76" t="s">
        <v>129</v>
      </c>
      <c r="F35" s="78">
        <v>-359.97</v>
      </c>
      <c r="G35" s="79">
        <v>45657</v>
      </c>
      <c r="H35" s="79">
        <v>46021</v>
      </c>
      <c r="I35" s="76">
        <v>364</v>
      </c>
      <c r="J35" s="78">
        <v>-358.98107142857145</v>
      </c>
      <c r="K35" s="78">
        <v>-30.656785714285718</v>
      </c>
      <c r="L35" s="78">
        <v>-28.678928571428575</v>
      </c>
      <c r="M35" s="78">
        <v>-30.656785714285718</v>
      </c>
      <c r="N35" s="78">
        <v>-29.667857142857144</v>
      </c>
      <c r="O35" s="78">
        <v>-30.656785714285718</v>
      </c>
      <c r="P35" s="78">
        <v>-29.667857142857144</v>
      </c>
      <c r="Q35" s="78">
        <v>-30.656785714285718</v>
      </c>
      <c r="R35" s="78">
        <v>-30.656785714285718</v>
      </c>
      <c r="S35" s="78">
        <v>-29.667857142857144</v>
      </c>
      <c r="T35" s="78">
        <v>-30.656785714285718</v>
      </c>
      <c r="U35" s="78">
        <v>-29.667857142857144</v>
      </c>
      <c r="V35" s="78">
        <v>-27.69</v>
      </c>
      <c r="W35" s="78">
        <v>-358.98107142857145</v>
      </c>
      <c r="X35" s="78"/>
      <c r="Y35" s="78"/>
    </row>
    <row r="36" spans="1:25">
      <c r="A36" s="76" t="s">
        <v>100</v>
      </c>
      <c r="B36" s="76" t="s">
        <v>101</v>
      </c>
      <c r="C36" s="76" t="s">
        <v>16</v>
      </c>
      <c r="D36" s="77">
        <v>601577</v>
      </c>
      <c r="E36" s="76" t="s">
        <v>125</v>
      </c>
      <c r="F36" s="78">
        <v>-126.37</v>
      </c>
      <c r="G36" s="79">
        <v>45413</v>
      </c>
      <c r="H36" s="79">
        <v>45777</v>
      </c>
      <c r="I36" s="76">
        <v>364</v>
      </c>
      <c r="J36" s="78">
        <v>-41.313269230769237</v>
      </c>
      <c r="K36" s="78">
        <v>-10.762280219780219</v>
      </c>
      <c r="L36" s="78">
        <v>-10.067939560439561</v>
      </c>
      <c r="M36" s="78">
        <v>-10.762280219780219</v>
      </c>
      <c r="N36" s="78">
        <v>-9.7200000000000006</v>
      </c>
      <c r="O36" s="78"/>
      <c r="P36" s="78"/>
      <c r="Q36" s="78"/>
      <c r="R36" s="78"/>
      <c r="S36" s="78"/>
      <c r="T36" s="78"/>
      <c r="U36" s="78"/>
      <c r="V36" s="78"/>
      <c r="W36" s="78">
        <v>-41.3125</v>
      </c>
      <c r="X36" s="78"/>
      <c r="Y36" s="78"/>
    </row>
    <row r="37" spans="1:25">
      <c r="A37" s="76" t="s">
        <v>100</v>
      </c>
      <c r="B37" s="76" t="s">
        <v>101</v>
      </c>
      <c r="C37" s="76" t="s">
        <v>16</v>
      </c>
      <c r="D37" s="77">
        <v>607762</v>
      </c>
      <c r="E37" s="76" t="s">
        <v>125</v>
      </c>
      <c r="F37" s="78">
        <v>-126.61</v>
      </c>
      <c r="G37" s="79">
        <v>45759</v>
      </c>
      <c r="H37" s="79">
        <v>46123</v>
      </c>
      <c r="I37" s="76">
        <v>364</v>
      </c>
      <c r="J37" s="78"/>
      <c r="K37" s="78"/>
      <c r="L37" s="78"/>
      <c r="M37" s="78"/>
      <c r="N37" s="78">
        <v>-6.260934065934066</v>
      </c>
      <c r="O37" s="78">
        <v>-10.782719780219781</v>
      </c>
      <c r="P37" s="78">
        <v>-10.434890109890111</v>
      </c>
      <c r="Q37" s="78">
        <v>-10.782719780219781</v>
      </c>
      <c r="R37" s="78">
        <v>-10.782719780219781</v>
      </c>
      <c r="S37" s="78">
        <v>-10.434890109890111</v>
      </c>
      <c r="T37" s="78">
        <v>-10.782719780219781</v>
      </c>
      <c r="U37" s="78">
        <v>-10.434890109890111</v>
      </c>
      <c r="V37" s="78">
        <v>-10.782719780219781</v>
      </c>
      <c r="W37" s="78">
        <v>-91.47920329670329</v>
      </c>
      <c r="X37" s="78">
        <v>-126.61</v>
      </c>
      <c r="Y37" s="78"/>
    </row>
    <row r="38" spans="1:25">
      <c r="A38" s="76" t="s">
        <v>100</v>
      </c>
      <c r="B38" s="76" t="s">
        <v>101</v>
      </c>
      <c r="C38" s="76" t="s">
        <v>16</v>
      </c>
      <c r="D38" s="77" t="s">
        <v>132</v>
      </c>
      <c r="E38" s="76" t="s">
        <v>129</v>
      </c>
      <c r="F38" s="78">
        <v>-395.04</v>
      </c>
      <c r="G38" s="79">
        <v>45931</v>
      </c>
      <c r="H38" s="79">
        <v>46295</v>
      </c>
      <c r="I38" s="76">
        <v>364</v>
      </c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>
        <v>-33.643516483516485</v>
      </c>
      <c r="U38" s="78">
        <v>-32.558241758241756</v>
      </c>
      <c r="V38" s="78">
        <v>-33.643516483516485</v>
      </c>
      <c r="W38" s="78">
        <v>-99.84527472527472</v>
      </c>
      <c r="X38" s="78">
        <v>-395.04</v>
      </c>
      <c r="Y38" s="78"/>
    </row>
    <row r="39" spans="1:25">
      <c r="A39" s="76" t="s">
        <v>100</v>
      </c>
      <c r="B39" s="76" t="s">
        <v>101</v>
      </c>
      <c r="C39" s="76" t="s">
        <v>16</v>
      </c>
      <c r="D39" s="77" t="s">
        <v>133</v>
      </c>
      <c r="E39" s="76" t="s">
        <v>103</v>
      </c>
      <c r="F39" s="78">
        <v>-7623.63</v>
      </c>
      <c r="G39" s="79">
        <v>46033</v>
      </c>
      <c r="H39" s="79">
        <v>46397</v>
      </c>
      <c r="I39" s="76">
        <v>364</v>
      </c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>
        <v>0</v>
      </c>
      <c r="X39" s="78">
        <v>-7623.63</v>
      </c>
      <c r="Y39" s="78"/>
    </row>
    <row r="40" spans="1:25">
      <c r="A40" s="76" t="s">
        <v>90</v>
      </c>
      <c r="B40" s="76" t="s">
        <v>91</v>
      </c>
      <c r="C40" s="76" t="s">
        <v>43</v>
      </c>
      <c r="D40" s="76" t="s">
        <v>113</v>
      </c>
      <c r="E40" s="76" t="s">
        <v>93</v>
      </c>
      <c r="F40" s="78">
        <v>-787.5</v>
      </c>
      <c r="G40" s="79">
        <v>45431</v>
      </c>
      <c r="H40" s="79">
        <v>45795</v>
      </c>
      <c r="I40" s="76">
        <v>364</v>
      </c>
      <c r="J40" s="78">
        <v>-298.55769230769238</v>
      </c>
      <c r="K40" s="78">
        <v>-67.067307692307693</v>
      </c>
      <c r="L40" s="78">
        <v>-62.740384615384613</v>
      </c>
      <c r="M40" s="78">
        <v>-67.067307692307693</v>
      </c>
      <c r="N40" s="78">
        <v>-64.903846153846146</v>
      </c>
      <c r="O40" s="78">
        <v>-36.78</v>
      </c>
      <c r="P40" s="78"/>
      <c r="Q40" s="78"/>
      <c r="R40" s="78"/>
      <c r="S40" s="78"/>
      <c r="T40" s="78"/>
      <c r="U40" s="78"/>
      <c r="V40" s="78"/>
      <c r="W40" s="78">
        <v>-298.55884615384616</v>
      </c>
      <c r="X40" s="78"/>
      <c r="Y40" s="78"/>
    </row>
    <row r="41" spans="1:25">
      <c r="A41" s="76" t="s">
        <v>90</v>
      </c>
      <c r="B41" s="76" t="s">
        <v>91</v>
      </c>
      <c r="C41" s="76" t="s">
        <v>43</v>
      </c>
      <c r="D41" s="76" t="s">
        <v>114</v>
      </c>
      <c r="E41" s="76" t="s">
        <v>93</v>
      </c>
      <c r="F41" s="78">
        <v>-907.5</v>
      </c>
      <c r="G41" s="79">
        <v>45796</v>
      </c>
      <c r="H41" s="79">
        <v>46160</v>
      </c>
      <c r="I41" s="76">
        <v>364</v>
      </c>
      <c r="J41" s="78"/>
      <c r="K41" s="78"/>
      <c r="L41" s="78"/>
      <c r="M41" s="78"/>
      <c r="N41" s="78"/>
      <c r="O41" s="78">
        <v>-29.917582417582416</v>
      </c>
      <c r="P41" s="78">
        <v>-74.793956043956044</v>
      </c>
      <c r="Q41" s="78">
        <v>-77.287087912087912</v>
      </c>
      <c r="R41" s="78">
        <v>-77.287087912087912</v>
      </c>
      <c r="S41" s="78">
        <v>-74.793956043956044</v>
      </c>
      <c r="T41" s="78">
        <v>-77.287087912087912</v>
      </c>
      <c r="U41" s="78">
        <v>-74.793956043956044</v>
      </c>
      <c r="V41" s="78">
        <v>-77.287087912087912</v>
      </c>
      <c r="W41" s="78">
        <v>-563.44780219780216</v>
      </c>
      <c r="X41" s="78">
        <v>-907.5</v>
      </c>
      <c r="Y41" s="78"/>
    </row>
    <row r="42" spans="1:25">
      <c r="A42" s="76" t="s">
        <v>90</v>
      </c>
      <c r="B42" s="76" t="s">
        <v>91</v>
      </c>
      <c r="C42" s="76" t="s">
        <v>13</v>
      </c>
      <c r="D42" s="76" t="s">
        <v>113</v>
      </c>
      <c r="E42" s="76" t="s">
        <v>93</v>
      </c>
      <c r="F42" s="78">
        <v>-8190</v>
      </c>
      <c r="G42" s="79">
        <v>45443</v>
      </c>
      <c r="H42" s="79">
        <v>45807</v>
      </c>
      <c r="I42" s="76">
        <v>364</v>
      </c>
      <c r="J42" s="78">
        <v>-3352.5</v>
      </c>
      <c r="K42" s="78">
        <v>-697.5</v>
      </c>
      <c r="L42" s="78">
        <v>-652.5</v>
      </c>
      <c r="M42" s="78">
        <v>-697.5</v>
      </c>
      <c r="N42" s="78">
        <v>-675</v>
      </c>
      <c r="O42" s="78">
        <v>-630</v>
      </c>
      <c r="P42" s="78"/>
      <c r="Q42" s="78"/>
      <c r="R42" s="78"/>
      <c r="S42" s="78"/>
      <c r="T42" s="78"/>
      <c r="U42" s="78"/>
      <c r="V42" s="78"/>
      <c r="W42" s="78">
        <v>-3352.5</v>
      </c>
      <c r="X42" s="78"/>
      <c r="Y42" s="78"/>
    </row>
    <row r="43" spans="1:25">
      <c r="A43" s="76" t="s">
        <v>90</v>
      </c>
      <c r="B43" s="76" t="s">
        <v>91</v>
      </c>
      <c r="C43" s="76" t="s">
        <v>13</v>
      </c>
      <c r="D43" s="76" t="s">
        <v>134</v>
      </c>
      <c r="E43" s="76" t="s">
        <v>135</v>
      </c>
      <c r="F43" s="78">
        <v>-110.38</v>
      </c>
      <c r="G43" s="79">
        <v>45576</v>
      </c>
      <c r="H43" s="79">
        <v>45807</v>
      </c>
      <c r="I43" s="76">
        <v>231</v>
      </c>
      <c r="J43" s="78">
        <v>-71.372294372294363</v>
      </c>
      <c r="K43" s="78">
        <v>-14.812900432900433</v>
      </c>
      <c r="L43" s="78">
        <v>-13.857229437229437</v>
      </c>
      <c r="M43" s="78">
        <v>-14.812900432900433</v>
      </c>
      <c r="N43" s="78">
        <v>-14.335064935064935</v>
      </c>
      <c r="O43" s="78">
        <v>-13.55</v>
      </c>
      <c r="P43" s="78"/>
      <c r="Q43" s="78"/>
      <c r="R43" s="78"/>
      <c r="S43" s="78"/>
      <c r="T43" s="78"/>
      <c r="U43" s="78"/>
      <c r="V43" s="78"/>
      <c r="W43" s="78">
        <v>-71.368095238095236</v>
      </c>
      <c r="X43" s="78"/>
      <c r="Y43" s="78"/>
    </row>
    <row r="44" spans="1:25">
      <c r="A44" s="76" t="s">
        <v>90</v>
      </c>
      <c r="B44" s="76" t="s">
        <v>91</v>
      </c>
      <c r="C44" s="76" t="s">
        <v>13</v>
      </c>
      <c r="D44" s="76" t="s">
        <v>114</v>
      </c>
      <c r="E44" s="76" t="s">
        <v>93</v>
      </c>
      <c r="F44" s="78">
        <v>-9627.75</v>
      </c>
      <c r="G44" s="79">
        <v>45808</v>
      </c>
      <c r="H44" s="79">
        <v>46172</v>
      </c>
      <c r="I44" s="76">
        <v>364</v>
      </c>
      <c r="J44" s="78"/>
      <c r="K44" s="78"/>
      <c r="L44" s="78"/>
      <c r="M44" s="78"/>
      <c r="N44" s="78"/>
      <c r="O44" s="78">
        <v>-26.449862637362639</v>
      </c>
      <c r="P44" s="78">
        <v>-793.49587912087918</v>
      </c>
      <c r="Q44" s="78">
        <v>-819.94574175824175</v>
      </c>
      <c r="R44" s="78">
        <v>-819.94574175824175</v>
      </c>
      <c r="S44" s="78">
        <v>-793.49587912087918</v>
      </c>
      <c r="T44" s="78">
        <v>-819.94574175824175</v>
      </c>
      <c r="U44" s="78">
        <v>-793.49587912087918</v>
      </c>
      <c r="V44" s="78">
        <v>-819.94574175824175</v>
      </c>
      <c r="W44" s="78">
        <v>-5686.7204670329666</v>
      </c>
      <c r="X44" s="78">
        <v>-9627.75</v>
      </c>
      <c r="Y44" s="78"/>
    </row>
    <row r="45" spans="1:25">
      <c r="A45" s="76" t="s">
        <v>100</v>
      </c>
      <c r="B45" s="76" t="s">
        <v>101</v>
      </c>
      <c r="C45" s="76" t="s">
        <v>15</v>
      </c>
      <c r="D45" s="76" t="s">
        <v>136</v>
      </c>
      <c r="E45" s="76" t="s">
        <v>103</v>
      </c>
      <c r="F45" s="78">
        <v>-48607.43</v>
      </c>
      <c r="G45" s="79">
        <v>45405</v>
      </c>
      <c r="H45" s="79">
        <v>45769</v>
      </c>
      <c r="I45" s="76">
        <v>364</v>
      </c>
      <c r="J45" s="78">
        <v>-14956.132307692307</v>
      </c>
      <c r="K45" s="78">
        <v>-4139.6437637362633</v>
      </c>
      <c r="L45" s="78">
        <v>-3872.5699725274721</v>
      </c>
      <c r="M45" s="78">
        <v>-4139.6437637362633</v>
      </c>
      <c r="N45" s="78">
        <v>-2804.27</v>
      </c>
      <c r="O45" s="78"/>
      <c r="P45" s="78"/>
      <c r="Q45" s="78"/>
      <c r="R45" s="78"/>
      <c r="S45" s="78"/>
      <c r="T45" s="78"/>
      <c r="U45" s="78"/>
      <c r="V45" s="78"/>
      <c r="W45" s="78">
        <v>-14956.127499999999</v>
      </c>
      <c r="X45" s="78"/>
      <c r="Y45" s="78"/>
    </row>
    <row r="46" spans="1:25">
      <c r="A46" s="76" t="s">
        <v>137</v>
      </c>
      <c r="B46" s="76" t="s">
        <v>138</v>
      </c>
      <c r="C46" s="76" t="s">
        <v>35</v>
      </c>
      <c r="D46" s="77"/>
      <c r="E46" s="76" t="s">
        <v>93</v>
      </c>
      <c r="F46" s="78">
        <v>-1272</v>
      </c>
      <c r="G46" s="79">
        <v>45379</v>
      </c>
      <c r="H46" s="79">
        <v>45743</v>
      </c>
      <c r="I46" s="76">
        <v>364</v>
      </c>
      <c r="J46" s="78">
        <v>-300.52747252747258</v>
      </c>
      <c r="K46" s="78">
        <v>-108.32967032967034</v>
      </c>
      <c r="L46" s="78">
        <v>-101.34065934065934</v>
      </c>
      <c r="M46" s="78">
        <v>-90.86</v>
      </c>
      <c r="N46" s="78"/>
      <c r="O46" s="78"/>
      <c r="P46" s="78"/>
      <c r="Q46" s="78"/>
      <c r="R46" s="78"/>
      <c r="S46" s="78"/>
      <c r="T46" s="78"/>
      <c r="U46" s="78"/>
      <c r="V46" s="78"/>
      <c r="W46" s="78">
        <v>-300.53032967032971</v>
      </c>
      <c r="X46" s="78"/>
      <c r="Y46" s="78"/>
    </row>
    <row r="47" spans="1:25">
      <c r="A47" s="76" t="s">
        <v>137</v>
      </c>
      <c r="B47" s="76" t="s">
        <v>138</v>
      </c>
      <c r="C47" s="76" t="s">
        <v>35</v>
      </c>
      <c r="D47" s="77" t="s">
        <v>139</v>
      </c>
      <c r="E47" s="76" t="s">
        <v>140</v>
      </c>
      <c r="F47" s="78">
        <v>-378.64</v>
      </c>
      <c r="G47" s="79">
        <v>45383</v>
      </c>
      <c r="H47" s="79">
        <v>45747</v>
      </c>
      <c r="I47" s="76">
        <v>364</v>
      </c>
      <c r="J47" s="78">
        <v>-92.579560439560396</v>
      </c>
      <c r="K47" s="78">
        <v>-32.246813186813185</v>
      </c>
      <c r="L47" s="78">
        <v>-30.166373626373623</v>
      </c>
      <c r="M47" s="78">
        <v>-30.17</v>
      </c>
      <c r="N47" s="78"/>
      <c r="O47" s="78"/>
      <c r="P47" s="78"/>
      <c r="Q47" s="78"/>
      <c r="R47" s="78"/>
      <c r="S47" s="78"/>
      <c r="T47" s="78"/>
      <c r="U47" s="78"/>
      <c r="V47" s="78"/>
      <c r="W47" s="78">
        <v>-92.583186813186813</v>
      </c>
      <c r="X47" s="78"/>
      <c r="Y47" s="78"/>
    </row>
    <row r="48" spans="1:25">
      <c r="A48" s="76" t="s">
        <v>137</v>
      </c>
      <c r="B48" s="76" t="s">
        <v>138</v>
      </c>
      <c r="C48" s="76" t="s">
        <v>35</v>
      </c>
      <c r="D48" s="77" t="s">
        <v>141</v>
      </c>
      <c r="E48" s="76" t="s">
        <v>140</v>
      </c>
      <c r="F48" s="78">
        <v>-390</v>
      </c>
      <c r="G48" s="79">
        <v>45748</v>
      </c>
      <c r="H48" s="79">
        <v>46112</v>
      </c>
      <c r="I48" s="76">
        <v>364</v>
      </c>
      <c r="J48" s="78"/>
      <c r="K48" s="78"/>
      <c r="L48" s="78"/>
      <c r="M48" s="78"/>
      <c r="N48" s="78">
        <v>-32.142857142857139</v>
      </c>
      <c r="O48" s="78">
        <v>-33.214285714285715</v>
      </c>
      <c r="P48" s="78">
        <v>-32.142857142857139</v>
      </c>
      <c r="Q48" s="78">
        <v>-33.214285714285715</v>
      </c>
      <c r="R48" s="78">
        <v>-33.214285714285715</v>
      </c>
      <c r="S48" s="78">
        <v>-32.142857142857139</v>
      </c>
      <c r="T48" s="78">
        <v>-33.214285714285715</v>
      </c>
      <c r="U48" s="78">
        <v>-32.142857142857139</v>
      </c>
      <c r="V48" s="78">
        <v>-33.214285714285715</v>
      </c>
      <c r="W48" s="78">
        <v>-294.64285714285717</v>
      </c>
      <c r="X48" s="78">
        <v>-390</v>
      </c>
      <c r="Y48" s="78"/>
    </row>
    <row r="49" spans="1:25">
      <c r="A49" s="76" t="s">
        <v>137</v>
      </c>
      <c r="B49" s="76" t="s">
        <v>138</v>
      </c>
      <c r="C49" s="76" t="s">
        <v>35</v>
      </c>
      <c r="D49" s="77" t="s">
        <v>142</v>
      </c>
      <c r="E49" s="76" t="s">
        <v>93</v>
      </c>
      <c r="F49" s="78">
        <v>-1467.68</v>
      </c>
      <c r="G49" s="79">
        <v>45744</v>
      </c>
      <c r="H49" s="79">
        <v>46108</v>
      </c>
      <c r="I49" s="76">
        <v>364</v>
      </c>
      <c r="J49" s="78"/>
      <c r="K49" s="78"/>
      <c r="L49" s="78"/>
      <c r="M49" s="78">
        <v>-12.096263736263737</v>
      </c>
      <c r="N49" s="78">
        <v>-120.96263736263738</v>
      </c>
      <c r="O49" s="78">
        <v>-124.99472527472528</v>
      </c>
      <c r="P49" s="78">
        <v>-120.96263736263738</v>
      </c>
      <c r="Q49" s="78">
        <v>-124.99472527472528</v>
      </c>
      <c r="R49" s="78">
        <v>-124.99472527472528</v>
      </c>
      <c r="S49" s="78">
        <v>-120.96263736263738</v>
      </c>
      <c r="T49" s="78">
        <v>-124.99472527472528</v>
      </c>
      <c r="U49" s="78">
        <v>-120.96263736263738</v>
      </c>
      <c r="V49" s="78">
        <v>-124.99472527472528</v>
      </c>
      <c r="W49" s="78">
        <v>-1120.9204395604397</v>
      </c>
      <c r="X49" s="78">
        <v>-1467.68</v>
      </c>
      <c r="Y49" s="78"/>
    </row>
    <row r="50" spans="1:25">
      <c r="A50" s="76" t="s">
        <v>137</v>
      </c>
      <c r="B50" s="76" t="s">
        <v>138</v>
      </c>
      <c r="C50" s="76" t="s">
        <v>32</v>
      </c>
      <c r="D50" s="77" t="s">
        <v>143</v>
      </c>
      <c r="E50" s="76" t="s">
        <v>93</v>
      </c>
      <c r="F50" s="78">
        <v>-798</v>
      </c>
      <c r="G50" s="79">
        <v>45413</v>
      </c>
      <c r="H50" s="79">
        <v>45777</v>
      </c>
      <c r="I50" s="76">
        <v>364</v>
      </c>
      <c r="J50" s="78">
        <v>-260.88461538461536</v>
      </c>
      <c r="K50" s="78">
        <v>-67.961538461538467</v>
      </c>
      <c r="L50" s="78">
        <v>-63.57692307692308</v>
      </c>
      <c r="M50" s="78">
        <v>-67.961538461538467</v>
      </c>
      <c r="N50" s="78">
        <v>-61.38</v>
      </c>
      <c r="O50" s="78"/>
      <c r="P50" s="78"/>
      <c r="Q50" s="78"/>
      <c r="R50" s="78"/>
      <c r="S50" s="78"/>
      <c r="T50" s="78"/>
      <c r="U50" s="78"/>
      <c r="V50" s="78"/>
      <c r="W50" s="78">
        <v>-260.88</v>
      </c>
      <c r="X50" s="78"/>
      <c r="Y50" s="78"/>
    </row>
    <row r="51" spans="1:25">
      <c r="A51" s="76" t="s">
        <v>137</v>
      </c>
      <c r="B51" s="76" t="s">
        <v>138</v>
      </c>
      <c r="C51" s="76" t="s">
        <v>32</v>
      </c>
      <c r="D51" s="77" t="s">
        <v>144</v>
      </c>
      <c r="E51" s="76" t="s">
        <v>93</v>
      </c>
      <c r="F51" s="78">
        <v>-922.35</v>
      </c>
      <c r="G51" s="79">
        <v>45770</v>
      </c>
      <c r="H51" s="79">
        <v>46134</v>
      </c>
      <c r="I51" s="76">
        <v>364</v>
      </c>
      <c r="J51" s="78"/>
      <c r="K51" s="78"/>
      <c r="L51" s="78"/>
      <c r="M51" s="78"/>
      <c r="N51" s="78">
        <v>-17.737500000000001</v>
      </c>
      <c r="O51" s="78">
        <v>-78.551785714285714</v>
      </c>
      <c r="P51" s="78">
        <v>-76.017857142857139</v>
      </c>
      <c r="Q51" s="78">
        <v>-78.551785714285714</v>
      </c>
      <c r="R51" s="78">
        <v>-78.551785714285714</v>
      </c>
      <c r="S51" s="78">
        <v>-76.017857142857139</v>
      </c>
      <c r="T51" s="78">
        <v>-78.551785714285714</v>
      </c>
      <c r="U51" s="78">
        <v>-76.017857142857139</v>
      </c>
      <c r="V51" s="78">
        <v>-78.551785714285714</v>
      </c>
      <c r="W51" s="78">
        <v>-638.55000000000007</v>
      </c>
      <c r="X51" s="78">
        <v>-922.35</v>
      </c>
      <c r="Y51" s="78"/>
    </row>
    <row r="52" spans="1:25">
      <c r="A52" s="76" t="s">
        <v>137</v>
      </c>
      <c r="B52" s="76" t="s">
        <v>138</v>
      </c>
      <c r="C52" s="76" t="s">
        <v>28</v>
      </c>
      <c r="D52" s="76" t="s">
        <v>98</v>
      </c>
      <c r="E52" s="76" t="s">
        <v>93</v>
      </c>
      <c r="F52" s="78">
        <v>-2044.5</v>
      </c>
      <c r="G52" s="79">
        <v>45305</v>
      </c>
      <c r="H52" s="79">
        <v>45670</v>
      </c>
      <c r="I52" s="76">
        <v>365</v>
      </c>
      <c r="J52" s="78">
        <v>-72.817808219178005</v>
      </c>
      <c r="K52" s="78">
        <v>-72.819999999999993</v>
      </c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>
        <v>-72.819999999999993</v>
      </c>
      <c r="X52" s="78"/>
      <c r="Y52" s="78"/>
    </row>
    <row r="53" spans="1:25">
      <c r="A53" s="76" t="s">
        <v>137</v>
      </c>
      <c r="B53" s="76" t="s">
        <v>138</v>
      </c>
      <c r="C53" s="76" t="s">
        <v>28</v>
      </c>
      <c r="D53" s="76" t="s">
        <v>145</v>
      </c>
      <c r="E53" s="76" t="s">
        <v>95</v>
      </c>
      <c r="F53" s="78">
        <v>-1211.3</v>
      </c>
      <c r="G53" s="79">
        <v>45510</v>
      </c>
      <c r="H53" s="79">
        <v>45874</v>
      </c>
      <c r="I53" s="76">
        <v>364</v>
      </c>
      <c r="J53" s="78">
        <v>-699.82788461538462</v>
      </c>
      <c r="K53" s="78">
        <v>-103.16016483516482</v>
      </c>
      <c r="L53" s="78">
        <v>-96.504670329670319</v>
      </c>
      <c r="M53" s="78">
        <v>-103.16016483516482</v>
      </c>
      <c r="N53" s="78">
        <v>-99.832417582417577</v>
      </c>
      <c r="O53" s="78">
        <v>-103.16016483516482</v>
      </c>
      <c r="P53" s="78">
        <v>-99.832417582417577</v>
      </c>
      <c r="Q53" s="78">
        <v>-103.16016483516482</v>
      </c>
      <c r="R53" s="78">
        <v>8.98</v>
      </c>
      <c r="S53" s="78"/>
      <c r="T53" s="78"/>
      <c r="U53" s="78"/>
      <c r="V53" s="78"/>
      <c r="W53" s="78">
        <v>-699.83016483516474</v>
      </c>
      <c r="X53" s="78"/>
      <c r="Y53" s="78"/>
    </row>
    <row r="54" spans="1:25">
      <c r="A54" s="76" t="s">
        <v>137</v>
      </c>
      <c r="B54" s="76" t="s">
        <v>138</v>
      </c>
      <c r="C54" s="76" t="s">
        <v>28</v>
      </c>
      <c r="D54" s="76" t="s">
        <v>113</v>
      </c>
      <c r="E54" s="76" t="s">
        <v>93</v>
      </c>
      <c r="F54" s="78">
        <v>-609</v>
      </c>
      <c r="G54" s="79">
        <v>45434</v>
      </c>
      <c r="H54" s="79">
        <v>45798</v>
      </c>
      <c r="I54" s="76">
        <v>364</v>
      </c>
      <c r="J54" s="78">
        <v>-235.90384615384613</v>
      </c>
      <c r="K54" s="78">
        <v>-51.86538461538462</v>
      </c>
      <c r="L54" s="78">
        <v>-48.519230769230774</v>
      </c>
      <c r="M54" s="78">
        <v>-51.86538461538462</v>
      </c>
      <c r="N54" s="78">
        <v>-50.192307692307693</v>
      </c>
      <c r="O54" s="78">
        <v>-33.46</v>
      </c>
      <c r="P54" s="78"/>
      <c r="Q54" s="78"/>
      <c r="R54" s="78"/>
      <c r="S54" s="78"/>
      <c r="T54" s="78"/>
      <c r="U54" s="78"/>
      <c r="V54" s="78"/>
      <c r="W54" s="78">
        <v>-235.90230769230769</v>
      </c>
      <c r="X54" s="78"/>
      <c r="Y54" s="78"/>
    </row>
    <row r="55" spans="1:25">
      <c r="A55" s="76" t="s">
        <v>137</v>
      </c>
      <c r="B55" s="76" t="s">
        <v>138</v>
      </c>
      <c r="C55" s="76" t="s">
        <v>28</v>
      </c>
      <c r="D55" s="76"/>
      <c r="E55" s="76" t="s">
        <v>93</v>
      </c>
      <c r="F55" s="78">
        <v>-2248.9499999999998</v>
      </c>
      <c r="G55" s="79">
        <v>45671</v>
      </c>
      <c r="H55" s="79">
        <v>46035</v>
      </c>
      <c r="I55" s="76">
        <v>364</v>
      </c>
      <c r="J55" s="78"/>
      <c r="K55" s="78">
        <v>-105.03337912087912</v>
      </c>
      <c r="L55" s="78">
        <v>-179.1745879120879</v>
      </c>
      <c r="M55" s="78">
        <v>-191.53145604395604</v>
      </c>
      <c r="N55" s="78">
        <v>-185.35302197802196</v>
      </c>
      <c r="O55" s="78">
        <v>-191.53145604395604</v>
      </c>
      <c r="P55" s="78">
        <v>-185.35302197802196</v>
      </c>
      <c r="Q55" s="78">
        <v>-191.53145604395604</v>
      </c>
      <c r="R55" s="78">
        <v>-191.53145604395604</v>
      </c>
      <c r="S55" s="78">
        <v>-185.35302197802196</v>
      </c>
      <c r="T55" s="78">
        <v>-191.53145604395604</v>
      </c>
      <c r="U55" s="78">
        <v>-185.35302197802196</v>
      </c>
      <c r="V55" s="78">
        <v>-191.53145604395604</v>
      </c>
      <c r="W55" s="78">
        <v>-2174.8087912087908</v>
      </c>
      <c r="X55" s="78">
        <v>-2248.9499999999998</v>
      </c>
      <c r="Y55" s="78"/>
    </row>
    <row r="56" spans="1:25">
      <c r="A56" s="76" t="s">
        <v>137</v>
      </c>
      <c r="B56" s="76" t="s">
        <v>138</v>
      </c>
      <c r="C56" s="76" t="s">
        <v>28</v>
      </c>
      <c r="D56" s="76"/>
      <c r="E56" s="76" t="s">
        <v>93</v>
      </c>
      <c r="F56" s="78">
        <v>-706.2</v>
      </c>
      <c r="G56" s="79">
        <v>45799</v>
      </c>
      <c r="H56" s="79">
        <v>46163</v>
      </c>
      <c r="I56" s="76">
        <v>364</v>
      </c>
      <c r="J56" s="78"/>
      <c r="K56" s="78"/>
      <c r="L56" s="78"/>
      <c r="M56" s="78"/>
      <c r="N56" s="78"/>
      <c r="O56" s="78">
        <v>-17.460989010989014</v>
      </c>
      <c r="P56" s="78">
        <v>-58.203296703296708</v>
      </c>
      <c r="Q56" s="78">
        <v>-60.143406593406603</v>
      </c>
      <c r="R56" s="78">
        <v>-60.143406593406603</v>
      </c>
      <c r="S56" s="78">
        <v>-58.203296703296708</v>
      </c>
      <c r="T56" s="78">
        <v>-60.143406593406603</v>
      </c>
      <c r="U56" s="78">
        <v>-58.203296703296708</v>
      </c>
      <c r="V56" s="78">
        <v>-60.143406593406603</v>
      </c>
      <c r="W56" s="78">
        <v>-432.64450549450555</v>
      </c>
      <c r="X56" s="78">
        <v>-706.2</v>
      </c>
      <c r="Y56" s="78"/>
    </row>
    <row r="57" spans="1:25">
      <c r="A57" s="76" t="s">
        <v>137</v>
      </c>
      <c r="B57" s="76" t="s">
        <v>138</v>
      </c>
      <c r="C57" s="76" t="s">
        <v>28</v>
      </c>
      <c r="D57" s="76" t="s">
        <v>146</v>
      </c>
      <c r="E57" s="76" t="s">
        <v>95</v>
      </c>
      <c r="F57" s="78">
        <v>-1247.6300000000001</v>
      </c>
      <c r="G57" s="79">
        <v>45875</v>
      </c>
      <c r="H57" s="79">
        <v>46239</v>
      </c>
      <c r="I57" s="76">
        <v>364</v>
      </c>
      <c r="J57" s="78"/>
      <c r="K57" s="78"/>
      <c r="L57" s="78"/>
      <c r="M57" s="78"/>
      <c r="N57" s="78"/>
      <c r="O57" s="78"/>
      <c r="P57" s="78"/>
      <c r="Q57" s="78"/>
      <c r="R57" s="78">
        <v>-85.688873626373635</v>
      </c>
      <c r="S57" s="78">
        <v>-102.82664835164836</v>
      </c>
      <c r="T57" s="78">
        <v>-106.2542032967033</v>
      </c>
      <c r="U57" s="78">
        <v>-102.82664835164836</v>
      </c>
      <c r="V57" s="78">
        <v>-106.2542032967033</v>
      </c>
      <c r="W57" s="78">
        <v>-503.85057692307691</v>
      </c>
      <c r="X57" s="78">
        <v>-1247.6300000000001</v>
      </c>
      <c r="Y57" s="78"/>
    </row>
    <row r="58" spans="1:25">
      <c r="A58" s="76" t="s">
        <v>137</v>
      </c>
      <c r="B58" s="76" t="s">
        <v>138</v>
      </c>
      <c r="C58" s="77" t="s">
        <v>50</v>
      </c>
      <c r="D58" s="77" t="s">
        <v>147</v>
      </c>
      <c r="E58" s="76" t="s">
        <v>95</v>
      </c>
      <c r="F58" s="78">
        <v>-502.5</v>
      </c>
      <c r="G58" s="79"/>
      <c r="H58" s="79"/>
      <c r="I58" s="76">
        <v>0</v>
      </c>
      <c r="J58" s="78">
        <v>-502.49657534246575</v>
      </c>
      <c r="K58" s="78"/>
      <c r="L58" s="78">
        <v>-502.5</v>
      </c>
      <c r="M58" s="78"/>
      <c r="N58" s="78"/>
      <c r="O58" s="78"/>
      <c r="P58" s="78"/>
      <c r="Q58" s="78"/>
      <c r="R58" s="83"/>
      <c r="S58" s="78"/>
      <c r="T58" s="78"/>
      <c r="U58" s="78"/>
      <c r="V58" s="78"/>
      <c r="W58" s="78">
        <v>-502.5</v>
      </c>
      <c r="X58" s="78"/>
      <c r="Y58" s="78"/>
    </row>
    <row r="59" spans="1:25">
      <c r="A59" s="76" t="s">
        <v>137</v>
      </c>
      <c r="B59" s="76" t="s">
        <v>138</v>
      </c>
      <c r="C59" s="77" t="s">
        <v>50</v>
      </c>
      <c r="D59" s="77">
        <v>21681</v>
      </c>
      <c r="E59" s="76" t="s">
        <v>148</v>
      </c>
      <c r="F59" s="78">
        <v>780.72</v>
      </c>
      <c r="G59" s="79">
        <v>45344</v>
      </c>
      <c r="H59" s="79">
        <v>45709</v>
      </c>
      <c r="I59" s="76">
        <v>365</v>
      </c>
      <c r="J59" s="78">
        <v>111.22586301369859</v>
      </c>
      <c r="K59" s="78">
        <v>66.307726027397266</v>
      </c>
      <c r="L59" s="78">
        <v>44.92</v>
      </c>
      <c r="M59" s="78"/>
      <c r="N59" s="78"/>
      <c r="O59" s="78"/>
      <c r="P59" s="78"/>
      <c r="Q59" s="78"/>
      <c r="R59" s="83"/>
      <c r="S59" s="78"/>
      <c r="T59" s="78"/>
      <c r="U59" s="78"/>
      <c r="V59" s="78"/>
      <c r="W59" s="78">
        <v>111.22772602739727</v>
      </c>
      <c r="X59" s="78"/>
      <c r="Y59" s="78"/>
    </row>
    <row r="60" spans="1:25">
      <c r="A60" s="76" t="s">
        <v>137</v>
      </c>
      <c r="B60" s="76" t="s">
        <v>138</v>
      </c>
      <c r="C60" s="77" t="s">
        <v>26</v>
      </c>
      <c r="D60" s="77" t="s">
        <v>149</v>
      </c>
      <c r="E60" s="76" t="s">
        <v>93</v>
      </c>
      <c r="F60" s="78">
        <v>-1052.7</v>
      </c>
      <c r="G60" s="79">
        <v>45643</v>
      </c>
      <c r="H60" s="79">
        <v>46007</v>
      </c>
      <c r="I60" s="76">
        <v>364</v>
      </c>
      <c r="J60" s="78">
        <v>-1012.2115384615386</v>
      </c>
      <c r="K60" s="78">
        <v>-89.653021978021982</v>
      </c>
      <c r="L60" s="78">
        <v>-83.868956043956047</v>
      </c>
      <c r="M60" s="78">
        <v>-89.653021978021982</v>
      </c>
      <c r="N60" s="78">
        <v>-86.760989010989007</v>
      </c>
      <c r="O60" s="78">
        <v>-89.653021978021982</v>
      </c>
      <c r="P60" s="78">
        <v>-86.760989010989007</v>
      </c>
      <c r="Q60" s="78">
        <v>-89.653021978021982</v>
      </c>
      <c r="R60" s="78">
        <v>-89.653021978021982</v>
      </c>
      <c r="S60" s="78">
        <v>-86.760989010989007</v>
      </c>
      <c r="T60" s="78">
        <v>-89.653021978021982</v>
      </c>
      <c r="U60" s="78">
        <v>-86.760989010989007</v>
      </c>
      <c r="V60" s="78">
        <v>-43.38</v>
      </c>
      <c r="W60" s="78">
        <v>-1012.211043956044</v>
      </c>
      <c r="X60" s="78"/>
      <c r="Y60" s="78"/>
    </row>
    <row r="61" spans="1:25">
      <c r="A61" s="76" t="s">
        <v>137</v>
      </c>
      <c r="B61" s="76" t="s">
        <v>138</v>
      </c>
      <c r="C61" s="77" t="s">
        <v>26</v>
      </c>
      <c r="D61" s="77" t="s">
        <v>150</v>
      </c>
      <c r="E61" s="76" t="s">
        <v>93</v>
      </c>
      <c r="F61" s="78">
        <v>-1108.8</v>
      </c>
      <c r="G61" s="79">
        <v>46008</v>
      </c>
      <c r="H61" s="79">
        <v>46372</v>
      </c>
      <c r="I61" s="76">
        <v>364</v>
      </c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>
        <v>-42.646153846153844</v>
      </c>
      <c r="W61" s="78">
        <v>-42.646153846153844</v>
      </c>
      <c r="X61" s="78">
        <v>-1108.8</v>
      </c>
      <c r="Y61" s="78"/>
    </row>
    <row r="62" spans="1:25">
      <c r="A62" s="76" t="s">
        <v>137</v>
      </c>
      <c r="B62" s="76" t="s">
        <v>138</v>
      </c>
      <c r="C62" s="76" t="s">
        <v>42</v>
      </c>
      <c r="D62" s="77" t="s">
        <v>151</v>
      </c>
      <c r="E62" s="76" t="s">
        <v>93</v>
      </c>
      <c r="F62" s="78">
        <v>-1032</v>
      </c>
      <c r="G62" s="79">
        <v>45396</v>
      </c>
      <c r="H62" s="79">
        <v>45760</v>
      </c>
      <c r="I62" s="76">
        <v>364</v>
      </c>
      <c r="J62" s="78">
        <v>-292.02197802197804</v>
      </c>
      <c r="K62" s="78">
        <v>-87.890109890109898</v>
      </c>
      <c r="L62" s="78">
        <v>-82.219780219780219</v>
      </c>
      <c r="M62" s="78">
        <v>-87.890109890109898</v>
      </c>
      <c r="N62" s="78">
        <v>-34.020000000000003</v>
      </c>
      <c r="O62" s="78"/>
      <c r="P62" s="78"/>
      <c r="Q62" s="78"/>
      <c r="R62" s="78"/>
      <c r="S62" s="78"/>
      <c r="T62" s="78"/>
      <c r="U62" s="78"/>
      <c r="V62" s="78"/>
      <c r="W62" s="78">
        <v>-292.02</v>
      </c>
      <c r="X62" s="78"/>
      <c r="Y62" s="78"/>
    </row>
    <row r="63" spans="1:25">
      <c r="A63" s="76" t="s">
        <v>137</v>
      </c>
      <c r="B63" s="76" t="s">
        <v>138</v>
      </c>
      <c r="C63" s="76" t="s">
        <v>42</v>
      </c>
      <c r="D63" s="77" t="s">
        <v>152</v>
      </c>
      <c r="E63" s="76" t="s">
        <v>95</v>
      </c>
      <c r="F63" s="78">
        <v>-573.03</v>
      </c>
      <c r="G63" s="79">
        <v>45413</v>
      </c>
      <c r="H63" s="79">
        <v>45777</v>
      </c>
      <c r="I63" s="76">
        <v>364</v>
      </c>
      <c r="J63" s="78">
        <v>-187.33673076923083</v>
      </c>
      <c r="K63" s="78">
        <v>-48.802005494505487</v>
      </c>
      <c r="L63" s="78">
        <v>-45.653489010989006</v>
      </c>
      <c r="M63" s="78">
        <v>-48.802005494505487</v>
      </c>
      <c r="N63" s="78">
        <v>-44.08</v>
      </c>
      <c r="O63" s="78"/>
      <c r="P63" s="78"/>
      <c r="Q63" s="78"/>
      <c r="R63" s="78"/>
      <c r="S63" s="78"/>
      <c r="T63" s="78"/>
      <c r="U63" s="78"/>
      <c r="V63" s="78"/>
      <c r="W63" s="78">
        <v>-187.33749999999998</v>
      </c>
      <c r="X63" s="78"/>
      <c r="Y63" s="78"/>
    </row>
    <row r="64" spans="1:25">
      <c r="A64" s="76" t="s">
        <v>137</v>
      </c>
      <c r="B64" s="76" t="s">
        <v>138</v>
      </c>
      <c r="C64" s="76" t="s">
        <v>42</v>
      </c>
      <c r="D64" s="77" t="s">
        <v>153</v>
      </c>
      <c r="E64" s="76" t="s">
        <v>95</v>
      </c>
      <c r="F64" s="78">
        <v>-40.950000000000003</v>
      </c>
      <c r="G64" s="79">
        <v>45777</v>
      </c>
      <c r="H64" s="79">
        <v>46141</v>
      </c>
      <c r="I64" s="76">
        <v>364</v>
      </c>
      <c r="J64" s="78"/>
      <c r="K64" s="78"/>
      <c r="L64" s="78"/>
      <c r="M64" s="78"/>
      <c r="N64" s="78">
        <v>-0.1125</v>
      </c>
      <c r="O64" s="78">
        <v>-3.4875000000000003</v>
      </c>
      <c r="P64" s="78">
        <v>-3.375</v>
      </c>
      <c r="Q64" s="78">
        <v>-3.4875000000000003</v>
      </c>
      <c r="R64" s="78">
        <v>-3.4875000000000003</v>
      </c>
      <c r="S64" s="78">
        <v>-3.375</v>
      </c>
      <c r="T64" s="78">
        <v>-3.4875000000000003</v>
      </c>
      <c r="U64" s="78">
        <v>-3.375</v>
      </c>
      <c r="V64" s="78">
        <v>-3.4875000000000003</v>
      </c>
      <c r="W64" s="78">
        <v>-27.675000000000004</v>
      </c>
      <c r="X64" s="78">
        <v>-40.950000000000003</v>
      </c>
      <c r="Y64" s="78"/>
    </row>
    <row r="65" spans="1:25">
      <c r="A65" s="76" t="s">
        <v>137</v>
      </c>
      <c r="B65" s="76" t="s">
        <v>138</v>
      </c>
      <c r="C65" s="76" t="s">
        <v>42</v>
      </c>
      <c r="D65" s="77"/>
      <c r="E65" s="76" t="s">
        <v>95</v>
      </c>
      <c r="F65" s="78">
        <v>-549.24</v>
      </c>
      <c r="G65" s="79">
        <v>45778</v>
      </c>
      <c r="H65" s="79">
        <v>46142</v>
      </c>
      <c r="I65" s="76">
        <v>364</v>
      </c>
      <c r="J65" s="78"/>
      <c r="K65" s="78"/>
      <c r="L65" s="78"/>
      <c r="M65" s="78"/>
      <c r="N65" s="78"/>
      <c r="O65" s="78">
        <v>-46.775934065934067</v>
      </c>
      <c r="P65" s="78">
        <v>-45.267032967032968</v>
      </c>
      <c r="Q65" s="78">
        <v>-46.775934065934067</v>
      </c>
      <c r="R65" s="78">
        <v>-46.775934065934067</v>
      </c>
      <c r="S65" s="78">
        <v>-45.267032967032968</v>
      </c>
      <c r="T65" s="78">
        <v>-46.775934065934067</v>
      </c>
      <c r="U65" s="78">
        <v>-45.267032967032968</v>
      </c>
      <c r="V65" s="78">
        <v>-46.775934065934067</v>
      </c>
      <c r="W65" s="78">
        <v>-369.68076923076922</v>
      </c>
      <c r="X65" s="78">
        <v>-549.24</v>
      </c>
      <c r="Y65" s="78"/>
    </row>
    <row r="66" spans="1:25">
      <c r="A66" s="76" t="s">
        <v>137</v>
      </c>
      <c r="B66" s="76" t="s">
        <v>138</v>
      </c>
      <c r="C66" s="76" t="s">
        <v>42</v>
      </c>
      <c r="D66" s="77" t="s">
        <v>144</v>
      </c>
      <c r="E66" s="76" t="s">
        <v>93</v>
      </c>
      <c r="F66" s="78">
        <v>-1188.01</v>
      </c>
      <c r="G66" s="79">
        <v>45761</v>
      </c>
      <c r="H66" s="79">
        <v>46125</v>
      </c>
      <c r="I66" s="76">
        <v>364</v>
      </c>
      <c r="J66" s="78"/>
      <c r="K66" s="78"/>
      <c r="L66" s="78"/>
      <c r="M66" s="78"/>
      <c r="N66" s="78">
        <v>-52.220219780219779</v>
      </c>
      <c r="O66" s="78">
        <v>-101.17667582417582</v>
      </c>
      <c r="P66" s="78">
        <v>-97.91291208791209</v>
      </c>
      <c r="Q66" s="78">
        <v>-101.17667582417582</v>
      </c>
      <c r="R66" s="78">
        <v>-101.17667582417582</v>
      </c>
      <c r="S66" s="78">
        <v>-97.91291208791209</v>
      </c>
      <c r="T66" s="78">
        <v>-101.17667582417582</v>
      </c>
      <c r="U66" s="78">
        <v>-97.91291208791209</v>
      </c>
      <c r="V66" s="78">
        <v>-101.17667582417582</v>
      </c>
      <c r="W66" s="78">
        <v>-851.84233516483528</v>
      </c>
      <c r="X66" s="78">
        <v>-1188.01</v>
      </c>
      <c r="Y66" s="78"/>
    </row>
    <row r="67" spans="1:25">
      <c r="A67" s="76" t="s">
        <v>137</v>
      </c>
      <c r="B67" s="76" t="s">
        <v>154</v>
      </c>
      <c r="C67" s="76" t="s">
        <v>21</v>
      </c>
      <c r="D67" s="18" t="s">
        <v>155</v>
      </c>
      <c r="E67" s="76" t="s">
        <v>93</v>
      </c>
      <c r="F67" s="78">
        <v>-7644</v>
      </c>
      <c r="G67" s="79">
        <v>45471</v>
      </c>
      <c r="H67" s="79">
        <v>45835</v>
      </c>
      <c r="I67" s="76">
        <v>364</v>
      </c>
      <c r="J67" s="78">
        <v>-3738</v>
      </c>
      <c r="K67" s="78">
        <v>-651</v>
      </c>
      <c r="L67" s="78">
        <v>-609</v>
      </c>
      <c r="M67" s="78">
        <v>-651</v>
      </c>
      <c r="N67" s="78">
        <v>-630</v>
      </c>
      <c r="O67" s="78">
        <v>-651</v>
      </c>
      <c r="P67" s="78">
        <v>-546</v>
      </c>
      <c r="Q67" s="78"/>
      <c r="R67" s="78"/>
      <c r="S67" s="78"/>
      <c r="T67" s="78"/>
      <c r="U67" s="78"/>
      <c r="V67" s="78"/>
      <c r="W67" s="78">
        <v>-3738</v>
      </c>
      <c r="X67" s="78"/>
      <c r="Y67" s="78"/>
    </row>
    <row r="68" spans="1:25">
      <c r="A68" s="76" t="s">
        <v>137</v>
      </c>
      <c r="B68" s="76" t="s">
        <v>154</v>
      </c>
      <c r="C68" s="76" t="s">
        <v>21</v>
      </c>
      <c r="D68" s="76" t="s">
        <v>156</v>
      </c>
      <c r="E68" s="76" t="s">
        <v>95</v>
      </c>
      <c r="F68" s="78">
        <v>-2326.84</v>
      </c>
      <c r="G68" s="79">
        <v>45474</v>
      </c>
      <c r="H68" s="79">
        <v>45838</v>
      </c>
      <c r="I68" s="76">
        <v>364</v>
      </c>
      <c r="J68" s="78">
        <v>-1150.6450549450551</v>
      </c>
      <c r="K68" s="78">
        <v>-198.16494505494506</v>
      </c>
      <c r="L68" s="78">
        <v>-185.38010989010991</v>
      </c>
      <c r="M68" s="78">
        <v>-198.16494505494506</v>
      </c>
      <c r="N68" s="78">
        <v>-191.77252747252749</v>
      </c>
      <c r="O68" s="78">
        <v>-198.16494505494506</v>
      </c>
      <c r="P68" s="78">
        <v>-179</v>
      </c>
      <c r="Q68" s="78"/>
      <c r="R68" s="78"/>
      <c r="S68" s="78"/>
      <c r="T68" s="78"/>
      <c r="U68" s="78"/>
      <c r="V68" s="78"/>
      <c r="W68" s="78">
        <v>-1150.6474725274725</v>
      </c>
      <c r="X68" s="78"/>
      <c r="Y68" s="78"/>
    </row>
    <row r="69" spans="1:25">
      <c r="A69" s="76" t="s">
        <v>137</v>
      </c>
      <c r="B69" s="76" t="s">
        <v>154</v>
      </c>
      <c r="C69" s="76" t="s">
        <v>21</v>
      </c>
      <c r="D69" s="18" t="s">
        <v>157</v>
      </c>
      <c r="E69" s="76" t="s">
        <v>93</v>
      </c>
      <c r="F69" s="78">
        <v>-831.6</v>
      </c>
      <c r="G69" s="79">
        <v>45611</v>
      </c>
      <c r="H69" s="79">
        <v>45975</v>
      </c>
      <c r="I69" s="76">
        <v>364</v>
      </c>
      <c r="J69" s="78">
        <v>-726.50769230769231</v>
      </c>
      <c r="K69" s="78">
        <v>-70.823076923076925</v>
      </c>
      <c r="L69" s="78">
        <v>-66.253846153846155</v>
      </c>
      <c r="M69" s="78">
        <v>-70.823076923076925</v>
      </c>
      <c r="N69" s="78">
        <v>-68.538461538461533</v>
      </c>
      <c r="O69" s="78">
        <v>-70.823076923076925</v>
      </c>
      <c r="P69" s="78">
        <v>-68.538461538461533</v>
      </c>
      <c r="Q69" s="78">
        <v>-70.823076923076925</v>
      </c>
      <c r="R69" s="78">
        <v>-70.823076923076925</v>
      </c>
      <c r="S69" s="78">
        <v>-68.538461538461533</v>
      </c>
      <c r="T69" s="78">
        <v>-70.823076923076925</v>
      </c>
      <c r="U69" s="78">
        <v>-29.7</v>
      </c>
      <c r="V69" s="78"/>
      <c r="W69" s="78">
        <v>-726.50769230769242</v>
      </c>
      <c r="X69" s="78"/>
      <c r="Y69" s="78"/>
    </row>
    <row r="70" spans="1:25">
      <c r="A70" s="76" t="s">
        <v>137</v>
      </c>
      <c r="B70" s="76" t="s">
        <v>154</v>
      </c>
      <c r="C70" s="76" t="s">
        <v>21</v>
      </c>
      <c r="D70" s="76" t="s">
        <v>158</v>
      </c>
      <c r="E70" s="76" t="s">
        <v>95</v>
      </c>
      <c r="F70" s="78">
        <v>-586.79</v>
      </c>
      <c r="G70" s="79">
        <v>45474</v>
      </c>
      <c r="H70" s="79">
        <v>45838</v>
      </c>
      <c r="I70" s="76">
        <v>364</v>
      </c>
      <c r="J70" s="78">
        <v>-290.17087912087914</v>
      </c>
      <c r="K70" s="78">
        <v>-49.973873626373624</v>
      </c>
      <c r="L70" s="78">
        <v>-46.749752747252742</v>
      </c>
      <c r="M70" s="78">
        <v>-49.973873626373624</v>
      </c>
      <c r="N70" s="78">
        <v>-48.36181318681318</v>
      </c>
      <c r="O70" s="78">
        <v>-49.973873626373624</v>
      </c>
      <c r="P70" s="78">
        <v>-45.14</v>
      </c>
      <c r="Q70" s="78"/>
      <c r="R70" s="78"/>
      <c r="S70" s="78"/>
      <c r="T70" s="78"/>
      <c r="U70" s="78"/>
      <c r="V70" s="78"/>
      <c r="W70" s="78">
        <v>-290.17318681318682</v>
      </c>
      <c r="X70" s="78"/>
      <c r="Y70" s="78"/>
    </row>
    <row r="71" spans="1:25">
      <c r="A71" s="76" t="s">
        <v>137</v>
      </c>
      <c r="B71" s="76" t="s">
        <v>154</v>
      </c>
      <c r="C71" s="76" t="s">
        <v>21</v>
      </c>
      <c r="D71" s="18" t="s">
        <v>159</v>
      </c>
      <c r="E71" s="76" t="s">
        <v>93</v>
      </c>
      <c r="F71" s="78">
        <v>-85.81</v>
      </c>
      <c r="G71" s="79">
        <v>45589</v>
      </c>
      <c r="H71" s="79">
        <v>45835</v>
      </c>
      <c r="I71" s="76">
        <v>246</v>
      </c>
      <c r="J71" s="78">
        <v>-62.097398373983737</v>
      </c>
      <c r="K71" s="78">
        <v>-10.813455284552845</v>
      </c>
      <c r="L71" s="78">
        <v>-10.115813008130081</v>
      </c>
      <c r="M71" s="78">
        <v>-10.813455284552845</v>
      </c>
      <c r="N71" s="78">
        <v>-10.464634146341464</v>
      </c>
      <c r="O71" s="78">
        <v>-10.813455284552845</v>
      </c>
      <c r="P71" s="78">
        <v>-9.08</v>
      </c>
      <c r="Q71" s="78"/>
      <c r="R71" s="78"/>
      <c r="S71" s="78"/>
      <c r="T71" s="78"/>
      <c r="U71" s="78"/>
      <c r="V71" s="78"/>
      <c r="W71" s="78">
        <v>-62.100813008130075</v>
      </c>
      <c r="X71" s="78"/>
      <c r="Y71" s="78"/>
    </row>
    <row r="72" spans="1:25">
      <c r="A72" s="76" t="s">
        <v>137</v>
      </c>
      <c r="B72" s="76" t="s">
        <v>154</v>
      </c>
      <c r="C72" s="76" t="s">
        <v>21</v>
      </c>
      <c r="D72" s="18" t="s">
        <v>160</v>
      </c>
      <c r="E72" s="76" t="s">
        <v>95</v>
      </c>
      <c r="F72" s="78">
        <v>-604.4</v>
      </c>
      <c r="G72" s="79">
        <v>45839</v>
      </c>
      <c r="H72" s="79">
        <v>46203</v>
      </c>
      <c r="I72" s="76">
        <v>364</v>
      </c>
      <c r="J72" s="78"/>
      <c r="K72" s="78"/>
      <c r="L72" s="78"/>
      <c r="M72" s="78"/>
      <c r="N72" s="78"/>
      <c r="O72" s="78"/>
      <c r="P72" s="78"/>
      <c r="Q72" s="78">
        <v>-51.473626373626367</v>
      </c>
      <c r="R72" s="78">
        <v>-51.473626373626367</v>
      </c>
      <c r="S72" s="78">
        <v>-49.81318681318681</v>
      </c>
      <c r="T72" s="78">
        <v>-51.473626373626367</v>
      </c>
      <c r="U72" s="78">
        <v>-49.81318681318681</v>
      </c>
      <c r="V72" s="78">
        <v>-51.473626373626367</v>
      </c>
      <c r="W72" s="78">
        <v>-305.5208791208791</v>
      </c>
      <c r="X72" s="78">
        <v>-604.4</v>
      </c>
      <c r="Y72" s="78"/>
    </row>
    <row r="73" spans="1:25">
      <c r="A73" s="76" t="s">
        <v>137</v>
      </c>
      <c r="B73" s="76" t="s">
        <v>154</v>
      </c>
      <c r="C73" s="76" t="s">
        <v>21</v>
      </c>
      <c r="D73" s="18" t="s">
        <v>161</v>
      </c>
      <c r="E73" s="76" t="s">
        <v>95</v>
      </c>
      <c r="F73" s="78">
        <v>-2396.6799999999998</v>
      </c>
      <c r="G73" s="79">
        <v>45839</v>
      </c>
      <c r="H73" s="79">
        <v>46203</v>
      </c>
      <c r="I73" s="76">
        <v>364</v>
      </c>
      <c r="J73" s="78"/>
      <c r="K73" s="78"/>
      <c r="L73" s="78"/>
      <c r="M73" s="78"/>
      <c r="N73" s="78"/>
      <c r="O73" s="78"/>
      <c r="P73" s="78"/>
      <c r="Q73" s="78">
        <v>-204.11285714285711</v>
      </c>
      <c r="R73" s="78">
        <v>-204.11285714285711</v>
      </c>
      <c r="S73" s="78">
        <v>-197.52857142857141</v>
      </c>
      <c r="T73" s="78">
        <v>-204.11285714285711</v>
      </c>
      <c r="U73" s="78">
        <v>-197.52857142857141</v>
      </c>
      <c r="V73" s="78">
        <v>-204.11285714285711</v>
      </c>
      <c r="W73" s="78">
        <v>-1211.5085714285713</v>
      </c>
      <c r="X73" s="78">
        <v>-2396.6799999999998</v>
      </c>
      <c r="Y73" s="78"/>
    </row>
    <row r="74" spans="1:25">
      <c r="A74" s="76" t="s">
        <v>137</v>
      </c>
      <c r="B74" s="76" t="s">
        <v>154</v>
      </c>
      <c r="C74" s="76" t="s">
        <v>21</v>
      </c>
      <c r="D74" s="18" t="s">
        <v>162</v>
      </c>
      <c r="E74" s="76" t="s">
        <v>93</v>
      </c>
      <c r="F74" s="78">
        <v>-8934.76</v>
      </c>
      <c r="G74" s="79">
        <v>45836</v>
      </c>
      <c r="H74" s="79">
        <v>46200</v>
      </c>
      <c r="I74" s="76">
        <v>364</v>
      </c>
      <c r="J74" s="78"/>
      <c r="K74" s="78"/>
      <c r="L74" s="78"/>
      <c r="M74" s="78"/>
      <c r="N74" s="78"/>
      <c r="O74" s="78"/>
      <c r="P74" s="78"/>
      <c r="Q74" s="78">
        <v>-810.01945054945054</v>
      </c>
      <c r="R74" s="78">
        <v>-760.92736263736265</v>
      </c>
      <c r="S74" s="78">
        <v>-736.3813186813187</v>
      </c>
      <c r="T74" s="78">
        <v>-760.92736263736265</v>
      </c>
      <c r="U74" s="78">
        <v>-736.3813186813187</v>
      </c>
      <c r="V74" s="78">
        <v>-760.92736263736265</v>
      </c>
      <c r="W74" s="78">
        <v>-4565.5641758241754</v>
      </c>
      <c r="X74" s="78">
        <v>-8934.76</v>
      </c>
      <c r="Y74" s="78"/>
    </row>
    <row r="75" spans="1:25">
      <c r="A75" s="76" t="s">
        <v>137</v>
      </c>
      <c r="B75" s="76" t="s">
        <v>154</v>
      </c>
      <c r="C75" s="76" t="s">
        <v>21</v>
      </c>
      <c r="D75" s="18" t="s">
        <v>163</v>
      </c>
      <c r="E75" s="76" t="s">
        <v>93</v>
      </c>
      <c r="F75" s="78">
        <v>-874.5</v>
      </c>
      <c r="G75" s="79">
        <v>45976</v>
      </c>
      <c r="H75" s="79">
        <v>46340</v>
      </c>
      <c r="I75" s="76">
        <v>364</v>
      </c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>
        <v>-36.037087912087912</v>
      </c>
      <c r="V75" s="78">
        <v>-74.47664835164835</v>
      </c>
      <c r="W75" s="78">
        <v>-110.51373626373626</v>
      </c>
      <c r="X75" s="78">
        <v>-874.5</v>
      </c>
      <c r="Y75" s="78"/>
    </row>
    <row r="76" spans="1:25">
      <c r="A76" s="76" t="s">
        <v>137</v>
      </c>
      <c r="B76" s="76" t="s">
        <v>154</v>
      </c>
      <c r="C76" s="76" t="s">
        <v>21</v>
      </c>
      <c r="D76" s="18" t="s">
        <v>164</v>
      </c>
      <c r="E76" s="76" t="s">
        <v>93</v>
      </c>
      <c r="F76" s="78">
        <v>-522.58000000000004</v>
      </c>
      <c r="G76" s="79">
        <v>45988</v>
      </c>
      <c r="H76" s="79">
        <v>46340</v>
      </c>
      <c r="I76" s="76">
        <v>352</v>
      </c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>
        <v>-50.476477272727273</v>
      </c>
      <c r="W76" s="78">
        <v>-50.476477272727273</v>
      </c>
      <c r="X76" s="78">
        <v>-522.58000000000004</v>
      </c>
      <c r="Y76" s="78"/>
    </row>
    <row r="77" spans="1:25">
      <c r="A77" s="76" t="s">
        <v>137</v>
      </c>
      <c r="B77" s="76" t="s">
        <v>138</v>
      </c>
      <c r="C77" s="76" t="s">
        <v>19</v>
      </c>
      <c r="D77" s="77" t="s">
        <v>165</v>
      </c>
      <c r="E77" s="76" t="s">
        <v>95</v>
      </c>
      <c r="F77" s="78">
        <v>-5595.01</v>
      </c>
      <c r="G77" s="79">
        <v>45658</v>
      </c>
      <c r="H77" s="79">
        <v>46022</v>
      </c>
      <c r="I77" s="76">
        <v>364</v>
      </c>
      <c r="J77" s="78">
        <v>-5595.01</v>
      </c>
      <c r="K77" s="78">
        <v>-476.49810439560446</v>
      </c>
      <c r="L77" s="78">
        <v>-445.75629120879125</v>
      </c>
      <c r="M77" s="78">
        <v>-476.49810439560446</v>
      </c>
      <c r="N77" s="78">
        <v>-461.12719780219783</v>
      </c>
      <c r="O77" s="78">
        <v>-476.49810439560446</v>
      </c>
      <c r="P77" s="78">
        <v>-461.12719780219783</v>
      </c>
      <c r="Q77" s="78">
        <v>-476.49810439560446</v>
      </c>
      <c r="R77" s="78">
        <v>-476.49810439560446</v>
      </c>
      <c r="S77" s="78">
        <v>-461.12719780219783</v>
      </c>
      <c r="T77" s="78">
        <v>-476.49810439560446</v>
      </c>
      <c r="U77" s="78">
        <v>-461.12719780219783</v>
      </c>
      <c r="V77" s="78">
        <v>-445.76</v>
      </c>
      <c r="W77" s="78">
        <v>-5595.013708791209</v>
      </c>
      <c r="X77" s="78"/>
      <c r="Y77" s="78"/>
    </row>
    <row r="78" spans="1:25">
      <c r="A78" s="76" t="s">
        <v>137</v>
      </c>
      <c r="B78" s="76" t="s">
        <v>138</v>
      </c>
      <c r="C78" s="76" t="s">
        <v>19</v>
      </c>
      <c r="D78" s="77" t="s">
        <v>92</v>
      </c>
      <c r="E78" s="76" t="s">
        <v>93</v>
      </c>
      <c r="F78" s="78">
        <v>-2706</v>
      </c>
      <c r="G78" s="79">
        <v>45545</v>
      </c>
      <c r="H78" s="79">
        <v>45909</v>
      </c>
      <c r="I78" s="76">
        <v>364</v>
      </c>
      <c r="J78" s="78">
        <v>-1873.3846153846152</v>
      </c>
      <c r="K78" s="78">
        <v>-230.45604395604397</v>
      </c>
      <c r="L78" s="78">
        <v>-215.58791208791209</v>
      </c>
      <c r="M78" s="78">
        <v>-230.45604395604397</v>
      </c>
      <c r="N78" s="78">
        <v>-223.02197802197804</v>
      </c>
      <c r="O78" s="78">
        <v>-230.45604395604397</v>
      </c>
      <c r="P78" s="78">
        <v>-223.02197802197804</v>
      </c>
      <c r="Q78" s="78">
        <v>-230.45604395604397</v>
      </c>
      <c r="R78" s="78">
        <v>-230.45604395604397</v>
      </c>
      <c r="S78" s="78">
        <v>-59.47</v>
      </c>
      <c r="T78" s="78"/>
      <c r="U78" s="78"/>
      <c r="V78" s="78"/>
      <c r="W78" s="78">
        <v>-1873.3820879120879</v>
      </c>
      <c r="X78" s="78"/>
      <c r="Y78" s="78"/>
    </row>
    <row r="79" spans="1:25">
      <c r="A79" s="76" t="s">
        <v>137</v>
      </c>
      <c r="B79" s="76" t="s">
        <v>138</v>
      </c>
      <c r="C79" s="76" t="s">
        <v>19</v>
      </c>
      <c r="D79" s="77"/>
      <c r="E79" s="76" t="s">
        <v>93</v>
      </c>
      <c r="F79" s="78">
        <v>-718.83</v>
      </c>
      <c r="G79" s="79">
        <v>45490</v>
      </c>
      <c r="H79" s="79">
        <v>45854</v>
      </c>
      <c r="I79" s="76">
        <v>364</v>
      </c>
      <c r="J79" s="78">
        <v>-389.03711538461539</v>
      </c>
      <c r="K79" s="78">
        <v>-61.219038461538467</v>
      </c>
      <c r="L79" s="78">
        <v>-57.269423076923083</v>
      </c>
      <c r="M79" s="78">
        <v>-61.219038461538467</v>
      </c>
      <c r="N79" s="78">
        <v>-59.244230769230775</v>
      </c>
      <c r="O79" s="78">
        <v>-61.219038461538467</v>
      </c>
      <c r="P79" s="78">
        <v>-59.244230769230775</v>
      </c>
      <c r="Q79" s="78">
        <v>-29.62</v>
      </c>
      <c r="R79" s="78"/>
      <c r="S79" s="78"/>
      <c r="T79" s="78"/>
      <c r="U79" s="78"/>
      <c r="V79" s="78"/>
      <c r="W79" s="78">
        <v>-389.03500000000003</v>
      </c>
      <c r="X79" s="78"/>
      <c r="Y79" s="78"/>
    </row>
    <row r="80" spans="1:25">
      <c r="A80" s="76" t="s">
        <v>137</v>
      </c>
      <c r="B80" s="76" t="s">
        <v>138</v>
      </c>
      <c r="C80" s="76" t="s">
        <v>19</v>
      </c>
      <c r="D80" s="77" t="s">
        <v>166</v>
      </c>
      <c r="E80" s="76" t="s">
        <v>93</v>
      </c>
      <c r="F80" s="78">
        <v>-790.71</v>
      </c>
      <c r="G80" s="79">
        <v>45868</v>
      </c>
      <c r="H80" s="79">
        <v>46232</v>
      </c>
      <c r="I80" s="76">
        <v>364</v>
      </c>
      <c r="J80" s="78"/>
      <c r="K80" s="78"/>
      <c r="L80" s="78"/>
      <c r="M80" s="78"/>
      <c r="N80" s="78"/>
      <c r="O80" s="78"/>
      <c r="P80" s="78"/>
      <c r="Q80" s="78">
        <v>-2.17228021978022</v>
      </c>
      <c r="R80" s="78">
        <v>-67.340686813186821</v>
      </c>
      <c r="S80" s="78">
        <v>-65.168406593406601</v>
      </c>
      <c r="T80" s="78">
        <v>-67.340686813186821</v>
      </c>
      <c r="U80" s="78">
        <v>-65.168406593406601</v>
      </c>
      <c r="V80" s="78">
        <v>-67.340686813186821</v>
      </c>
      <c r="W80" s="78">
        <v>-334.53115384615387</v>
      </c>
      <c r="X80" s="78">
        <v>-790.71</v>
      </c>
      <c r="Y80" s="78"/>
    </row>
    <row r="81" spans="1:25">
      <c r="A81" s="76" t="s">
        <v>137</v>
      </c>
      <c r="B81" s="76" t="s">
        <v>138</v>
      </c>
      <c r="C81" s="76" t="s">
        <v>19</v>
      </c>
      <c r="D81" s="77" t="s">
        <v>97</v>
      </c>
      <c r="E81" s="76" t="s">
        <v>93</v>
      </c>
      <c r="F81" s="78">
        <v>-2828.1</v>
      </c>
      <c r="G81" s="79">
        <v>45910</v>
      </c>
      <c r="H81" s="79">
        <v>46274</v>
      </c>
      <c r="I81" s="76">
        <v>364</v>
      </c>
      <c r="J81" s="78"/>
      <c r="K81" s="78"/>
      <c r="L81" s="78"/>
      <c r="M81" s="78"/>
      <c r="N81" s="78"/>
      <c r="O81" s="78"/>
      <c r="P81" s="78"/>
      <c r="Q81" s="78"/>
      <c r="R81" s="78"/>
      <c r="S81" s="78">
        <v>-155.39010989010987</v>
      </c>
      <c r="T81" s="78">
        <v>-240.85467032967031</v>
      </c>
      <c r="U81" s="78">
        <v>-233.08516483516482</v>
      </c>
      <c r="V81" s="78">
        <v>-240.85467032967031</v>
      </c>
      <c r="W81" s="78">
        <v>-870.18461538461531</v>
      </c>
      <c r="X81" s="78">
        <v>-2828.1</v>
      </c>
      <c r="Y81" s="78"/>
    </row>
    <row r="82" spans="1:25">
      <c r="A82" s="76" t="s">
        <v>137</v>
      </c>
      <c r="B82" s="76" t="s">
        <v>138</v>
      </c>
      <c r="C82" s="76" t="s">
        <v>19</v>
      </c>
      <c r="D82" s="77" t="s">
        <v>167</v>
      </c>
      <c r="E82" s="76" t="s">
        <v>95</v>
      </c>
      <c r="F82" s="78">
        <v>-5762.89</v>
      </c>
      <c r="G82" s="79">
        <v>46023</v>
      </c>
      <c r="H82" s="79">
        <v>46387</v>
      </c>
      <c r="I82" s="76">
        <v>364</v>
      </c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>
        <v>0</v>
      </c>
      <c r="X82" s="78">
        <v>-5762.89</v>
      </c>
      <c r="Y82" s="78"/>
    </row>
    <row r="83" spans="1:25">
      <c r="A83" s="76" t="s">
        <v>137</v>
      </c>
      <c r="B83" s="76" t="s">
        <v>138</v>
      </c>
      <c r="C83" s="76" t="s">
        <v>24</v>
      </c>
      <c r="D83" s="76"/>
      <c r="E83" s="76" t="s">
        <v>93</v>
      </c>
      <c r="F83" s="78">
        <v>-7402.5</v>
      </c>
      <c r="G83" s="79">
        <v>45496</v>
      </c>
      <c r="H83" s="79">
        <v>45860</v>
      </c>
      <c r="I83" s="76">
        <v>364</v>
      </c>
      <c r="J83" s="78">
        <v>-4128.3173076923076</v>
      </c>
      <c r="K83" s="78">
        <v>-630.43269230769226</v>
      </c>
      <c r="L83" s="78">
        <v>-589.75961538461536</v>
      </c>
      <c r="M83" s="78">
        <v>-630.43269230769226</v>
      </c>
      <c r="N83" s="78">
        <v>-610.09615384615381</v>
      </c>
      <c r="O83" s="78">
        <v>-630.43269230769226</v>
      </c>
      <c r="P83" s="78">
        <v>-610.09615384615381</v>
      </c>
      <c r="Q83" s="78">
        <v>-427.07</v>
      </c>
      <c r="R83" s="78"/>
      <c r="S83" s="78"/>
      <c r="T83" s="78"/>
      <c r="U83" s="78"/>
      <c r="V83" s="78"/>
      <c r="W83" s="78">
        <v>-4128.32</v>
      </c>
      <c r="X83" s="78"/>
      <c r="Y83" s="78"/>
    </row>
    <row r="84" spans="1:25">
      <c r="A84" s="76" t="s">
        <v>137</v>
      </c>
      <c r="B84" s="76" t="s">
        <v>138</v>
      </c>
      <c r="C84" s="76" t="s">
        <v>24</v>
      </c>
      <c r="D84" s="76" t="s">
        <v>166</v>
      </c>
      <c r="E84" s="76" t="s">
        <v>93</v>
      </c>
      <c r="F84" s="78">
        <v>-8530.5</v>
      </c>
      <c r="G84" s="79">
        <v>45861</v>
      </c>
      <c r="H84" s="79">
        <v>46225</v>
      </c>
      <c r="I84" s="76">
        <v>364</v>
      </c>
      <c r="J84" s="78"/>
      <c r="K84" s="78"/>
      <c r="L84" s="78"/>
      <c r="M84" s="78"/>
      <c r="N84" s="78"/>
      <c r="O84" s="78"/>
      <c r="P84" s="78"/>
      <c r="Q84" s="78">
        <v>-187.4835164835165</v>
      </c>
      <c r="R84" s="78">
        <v>-726.49862637362639</v>
      </c>
      <c r="S84" s="78">
        <v>-703.0631868131868</v>
      </c>
      <c r="T84" s="78">
        <v>-726.49862637362639</v>
      </c>
      <c r="U84" s="78">
        <v>-703.0631868131868</v>
      </c>
      <c r="V84" s="78">
        <v>-726.49862637362639</v>
      </c>
      <c r="W84" s="78">
        <v>-3773.1057692307695</v>
      </c>
      <c r="X84" s="78">
        <v>-8530.5</v>
      </c>
      <c r="Y84" s="78"/>
    </row>
    <row r="85" spans="1:25">
      <c r="A85" s="76" t="s">
        <v>137</v>
      </c>
      <c r="B85" s="76" t="s">
        <v>138</v>
      </c>
      <c r="C85" s="76" t="s">
        <v>23</v>
      </c>
      <c r="D85" s="76"/>
      <c r="E85" s="76" t="s">
        <v>93</v>
      </c>
      <c r="F85" s="78">
        <v>-4660.5</v>
      </c>
      <c r="G85" s="79">
        <v>45490</v>
      </c>
      <c r="H85" s="79">
        <v>45854</v>
      </c>
      <c r="I85" s="76">
        <v>364</v>
      </c>
      <c r="J85" s="78">
        <v>-2522.3035714285716</v>
      </c>
      <c r="K85" s="78">
        <v>-396.91071428571428</v>
      </c>
      <c r="L85" s="78">
        <v>-371.30357142857144</v>
      </c>
      <c r="M85" s="78">
        <v>-396.91071428571428</v>
      </c>
      <c r="N85" s="78">
        <v>-384.10714285714289</v>
      </c>
      <c r="O85" s="78">
        <v>-396.91071428571428</v>
      </c>
      <c r="P85" s="78">
        <v>-384.10714285714289</v>
      </c>
      <c r="Q85" s="78">
        <v>-192.05</v>
      </c>
      <c r="R85" s="78"/>
      <c r="S85" s="78"/>
      <c r="T85" s="78"/>
      <c r="U85" s="78"/>
      <c r="V85" s="78"/>
      <c r="W85" s="78">
        <v>-2522.3000000000002</v>
      </c>
      <c r="X85" s="78"/>
      <c r="Y85" s="78"/>
    </row>
    <row r="86" spans="1:25">
      <c r="A86" s="76" t="s">
        <v>137</v>
      </c>
      <c r="B86" s="76" t="s">
        <v>138</v>
      </c>
      <c r="C86" s="76" t="s">
        <v>23</v>
      </c>
      <c r="D86" s="76" t="s">
        <v>168</v>
      </c>
      <c r="E86" s="76" t="s">
        <v>169</v>
      </c>
      <c r="F86" s="78">
        <v>-3291.34</v>
      </c>
      <c r="G86" s="79">
        <v>45505</v>
      </c>
      <c r="H86" s="79">
        <v>45869</v>
      </c>
      <c r="I86" s="76">
        <v>364</v>
      </c>
      <c r="J86" s="78">
        <v>-1907.892142857143</v>
      </c>
      <c r="K86" s="78">
        <v>-280.30642857142863</v>
      </c>
      <c r="L86" s="78">
        <v>-262.2221428571429</v>
      </c>
      <c r="M86" s="78">
        <v>-280.30642857142863</v>
      </c>
      <c r="N86" s="78">
        <v>-271.26428571428573</v>
      </c>
      <c r="O86" s="78">
        <v>-280.30642857142863</v>
      </c>
      <c r="P86" s="78">
        <v>-271.26428571428573</v>
      </c>
      <c r="Q86" s="78">
        <v>-262.22000000000003</v>
      </c>
      <c r="R86" s="78"/>
      <c r="S86" s="78"/>
      <c r="T86" s="78"/>
      <c r="U86" s="78"/>
      <c r="V86" s="78"/>
      <c r="W86" s="78">
        <v>-1907.89</v>
      </c>
      <c r="X86" s="78"/>
      <c r="Y86" s="78"/>
    </row>
    <row r="87" spans="1:25">
      <c r="A87" s="76" t="s">
        <v>137</v>
      </c>
      <c r="B87" s="76" t="s">
        <v>138</v>
      </c>
      <c r="C87" s="76" t="s">
        <v>23</v>
      </c>
      <c r="D87" s="76" t="s">
        <v>170</v>
      </c>
      <c r="E87" s="76" t="s">
        <v>169</v>
      </c>
      <c r="F87" s="78">
        <v>-370.88</v>
      </c>
      <c r="G87" s="79">
        <v>45490</v>
      </c>
      <c r="H87" s="79">
        <v>45854</v>
      </c>
      <c r="I87" s="76">
        <v>364</v>
      </c>
      <c r="J87" s="78">
        <v>-200.72351648351648</v>
      </c>
      <c r="K87" s="78">
        <v>-31.585934065934065</v>
      </c>
      <c r="L87" s="78">
        <v>-29.548131868131868</v>
      </c>
      <c r="M87" s="78">
        <v>-31.585934065934065</v>
      </c>
      <c r="N87" s="78">
        <v>-30.567032967032969</v>
      </c>
      <c r="O87" s="78">
        <v>-31.585934065934065</v>
      </c>
      <c r="P87" s="78">
        <v>-30.567032967032969</v>
      </c>
      <c r="Q87" s="78">
        <v>-15.28</v>
      </c>
      <c r="R87" s="78"/>
      <c r="S87" s="78"/>
      <c r="T87" s="78"/>
      <c r="U87" s="78"/>
      <c r="V87" s="78"/>
      <c r="W87" s="78">
        <v>-200.72</v>
      </c>
      <c r="X87" s="78"/>
      <c r="Y87" s="78"/>
    </row>
    <row r="88" spans="1:25">
      <c r="A88" s="76" t="s">
        <v>137</v>
      </c>
      <c r="B88" s="76" t="s">
        <v>138</v>
      </c>
      <c r="C88" s="76" t="s">
        <v>23</v>
      </c>
      <c r="D88" s="76"/>
      <c r="E88" s="76" t="s">
        <v>169</v>
      </c>
      <c r="F88" s="78">
        <v>-382.01</v>
      </c>
      <c r="G88" s="79">
        <v>45855</v>
      </c>
      <c r="H88" s="79">
        <v>46219</v>
      </c>
      <c r="I88" s="76">
        <v>364</v>
      </c>
      <c r="J88" s="78"/>
      <c r="K88" s="78"/>
      <c r="L88" s="78"/>
      <c r="M88" s="78"/>
      <c r="N88" s="78"/>
      <c r="O88" s="78"/>
      <c r="P88" s="78"/>
      <c r="Q88" s="78">
        <v>-14.692692307692308</v>
      </c>
      <c r="R88" s="78">
        <v>-32.533818681318678</v>
      </c>
      <c r="S88" s="78">
        <v>-31.48434065934066</v>
      </c>
      <c r="T88" s="78">
        <v>-32.533818681318678</v>
      </c>
      <c r="U88" s="78">
        <v>-31.48434065934066</v>
      </c>
      <c r="V88" s="78">
        <v>-32.533818681318678</v>
      </c>
      <c r="W88" s="78">
        <v>-175.26282967032967</v>
      </c>
      <c r="X88" s="78">
        <v>-382.01</v>
      </c>
      <c r="Y88" s="78"/>
    </row>
    <row r="89" spans="1:25">
      <c r="A89" s="76" t="s">
        <v>137</v>
      </c>
      <c r="B89" s="76" t="s">
        <v>138</v>
      </c>
      <c r="C89" s="76" t="s">
        <v>23</v>
      </c>
      <c r="D89" s="76" t="s">
        <v>171</v>
      </c>
      <c r="E89" s="76" t="s">
        <v>169</v>
      </c>
      <c r="F89" s="78">
        <v>-3390.1</v>
      </c>
      <c r="G89" s="79">
        <v>45870</v>
      </c>
      <c r="H89" s="79">
        <v>46234</v>
      </c>
      <c r="I89" s="76">
        <v>364</v>
      </c>
      <c r="J89" s="78"/>
      <c r="K89" s="78"/>
      <c r="L89" s="78"/>
      <c r="M89" s="78"/>
      <c r="N89" s="78"/>
      <c r="O89" s="78"/>
      <c r="P89" s="78"/>
      <c r="Q89" s="78"/>
      <c r="R89" s="78">
        <v>-288.71730769230771</v>
      </c>
      <c r="S89" s="78">
        <v>-279.40384615384619</v>
      </c>
      <c r="T89" s="78">
        <v>-288.71730769230771</v>
      </c>
      <c r="U89" s="78">
        <v>-279.40384615384619</v>
      </c>
      <c r="V89" s="78">
        <v>-288.71730769230771</v>
      </c>
      <c r="W89" s="78">
        <v>-1424.9596153846155</v>
      </c>
      <c r="X89" s="78">
        <v>-3390.1</v>
      </c>
      <c r="Y89" s="78"/>
    </row>
    <row r="90" spans="1:25">
      <c r="A90" s="76" t="s">
        <v>137</v>
      </c>
      <c r="B90" s="76" t="s">
        <v>138</v>
      </c>
      <c r="C90" s="76" t="s">
        <v>23</v>
      </c>
      <c r="D90" s="76" t="s">
        <v>166</v>
      </c>
      <c r="E90" s="76" t="s">
        <v>93</v>
      </c>
      <c r="F90" s="78">
        <v>-5370.75</v>
      </c>
      <c r="G90" s="79">
        <v>45855</v>
      </c>
      <c r="H90" s="79">
        <v>46219</v>
      </c>
      <c r="I90" s="76">
        <v>364</v>
      </c>
      <c r="J90" s="78"/>
      <c r="K90" s="78"/>
      <c r="L90" s="78"/>
      <c r="M90" s="78"/>
      <c r="N90" s="78"/>
      <c r="O90" s="78"/>
      <c r="P90" s="78"/>
      <c r="Q90" s="78">
        <v>-206.56730769230768</v>
      </c>
      <c r="R90" s="78">
        <v>-457.39903846153845</v>
      </c>
      <c r="S90" s="78">
        <v>-442.64423076923077</v>
      </c>
      <c r="T90" s="78">
        <v>-457.39903846153845</v>
      </c>
      <c r="U90" s="78">
        <v>-442.64423076923077</v>
      </c>
      <c r="V90" s="78">
        <v>-457.39903846153845</v>
      </c>
      <c r="W90" s="78">
        <v>-2464.0528846153843</v>
      </c>
      <c r="X90" s="78">
        <v>-5370.75</v>
      </c>
      <c r="Y90" s="78"/>
    </row>
    <row r="91" spans="1:25">
      <c r="A91" s="76" t="s">
        <v>137</v>
      </c>
      <c r="B91" s="76" t="s">
        <v>138</v>
      </c>
      <c r="C91" s="76" t="s">
        <v>23</v>
      </c>
      <c r="D91" s="76"/>
      <c r="E91" s="76" t="s">
        <v>169</v>
      </c>
      <c r="F91" s="78">
        <v>-382.01</v>
      </c>
      <c r="G91" s="79">
        <v>45933</v>
      </c>
      <c r="H91" s="79">
        <v>46297</v>
      </c>
      <c r="I91" s="76">
        <v>364</v>
      </c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>
        <v>-29.385384615384616</v>
      </c>
      <c r="U91" s="78">
        <v>-31.48434065934066</v>
      </c>
      <c r="V91" s="78">
        <v>-32.533818681318678</v>
      </c>
      <c r="W91" s="78">
        <v>-93.403543956043961</v>
      </c>
      <c r="X91" s="78">
        <v>-382.01</v>
      </c>
      <c r="Y91" s="78"/>
    </row>
    <row r="92" spans="1:25">
      <c r="A92" s="76" t="s">
        <v>137</v>
      </c>
      <c r="B92" s="76" t="s">
        <v>138</v>
      </c>
      <c r="C92" s="76" t="s">
        <v>33</v>
      </c>
      <c r="D92" s="76" t="s">
        <v>172</v>
      </c>
      <c r="E92" s="76" t="s">
        <v>95</v>
      </c>
      <c r="F92" s="78">
        <v>-2848.56</v>
      </c>
      <c r="G92" s="79">
        <v>45352</v>
      </c>
      <c r="H92" s="79">
        <v>45716</v>
      </c>
      <c r="I92" s="76">
        <v>364</v>
      </c>
      <c r="J92" s="78">
        <v>-453.89142857142861</v>
      </c>
      <c r="K92" s="78">
        <v>-242.59714285714284</v>
      </c>
      <c r="L92" s="78">
        <v>-211.38</v>
      </c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>
        <v>-453.97714285714284</v>
      </c>
      <c r="X92" s="78"/>
      <c r="Y92" s="78"/>
    </row>
    <row r="93" spans="1:25">
      <c r="A93" s="76" t="s">
        <v>137</v>
      </c>
      <c r="B93" s="76" t="s">
        <v>138</v>
      </c>
      <c r="C93" s="76" t="s">
        <v>33</v>
      </c>
      <c r="D93" s="76" t="s">
        <v>173</v>
      </c>
      <c r="E93" s="76" t="s">
        <v>93</v>
      </c>
      <c r="F93" s="78">
        <v>-4932</v>
      </c>
      <c r="G93" s="79">
        <v>45352</v>
      </c>
      <c r="H93" s="79">
        <v>45716</v>
      </c>
      <c r="I93" s="76">
        <v>364</v>
      </c>
      <c r="J93" s="78">
        <v>-785.86813186813197</v>
      </c>
      <c r="K93" s="78">
        <v>-420.03296703296701</v>
      </c>
      <c r="L93" s="78">
        <v>-365.84</v>
      </c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>
        <v>-785.87296703296693</v>
      </c>
      <c r="X93" s="78"/>
      <c r="Y93" s="78"/>
    </row>
    <row r="94" spans="1:25">
      <c r="A94" s="76" t="s">
        <v>137</v>
      </c>
      <c r="B94" s="76" t="s">
        <v>138</v>
      </c>
      <c r="C94" s="76" t="s">
        <v>33</v>
      </c>
      <c r="D94" s="76" t="s">
        <v>174</v>
      </c>
      <c r="E94" s="76" t="s">
        <v>95</v>
      </c>
      <c r="F94" s="78">
        <v>-3089.38</v>
      </c>
      <c r="G94" s="79">
        <v>45352</v>
      </c>
      <c r="H94" s="79">
        <v>45716</v>
      </c>
      <c r="I94" s="76">
        <v>364</v>
      </c>
      <c r="J94" s="78">
        <v>-492.26384615384586</v>
      </c>
      <c r="K94" s="78">
        <v>-263.10653846153849</v>
      </c>
      <c r="L94" s="78">
        <v>-229.16</v>
      </c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>
        <v>-492.26653846153852</v>
      </c>
      <c r="X94" s="78"/>
      <c r="Y94" s="78"/>
    </row>
    <row r="95" spans="1:25">
      <c r="A95" s="76" t="s">
        <v>137</v>
      </c>
      <c r="B95" s="76" t="s">
        <v>138</v>
      </c>
      <c r="C95" s="76" t="s">
        <v>33</v>
      </c>
      <c r="D95" s="76" t="s">
        <v>175</v>
      </c>
      <c r="E95" s="76" t="s">
        <v>95</v>
      </c>
      <c r="F95" s="78">
        <v>-802.74000000000024</v>
      </c>
      <c r="G95" s="79">
        <v>45352</v>
      </c>
      <c r="H95" s="79">
        <v>45716</v>
      </c>
      <c r="I95" s="76">
        <v>364</v>
      </c>
      <c r="J95" s="78">
        <v>-127.90912087912068</v>
      </c>
      <c r="K95" s="78">
        <v>-68.365219780219803</v>
      </c>
      <c r="L95" s="78">
        <v>-59.54</v>
      </c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>
        <v>-127.9052197802198</v>
      </c>
      <c r="X95" s="78"/>
      <c r="Y95" s="78"/>
    </row>
    <row r="96" spans="1:25">
      <c r="A96" s="76" t="s">
        <v>137</v>
      </c>
      <c r="B96" s="76" t="s">
        <v>138</v>
      </c>
      <c r="C96" s="76" t="s">
        <v>33</v>
      </c>
      <c r="D96" s="76" t="s">
        <v>176</v>
      </c>
      <c r="E96" s="76" t="s">
        <v>93</v>
      </c>
      <c r="F96" s="78">
        <v>-181.5</v>
      </c>
      <c r="G96" s="79">
        <v>45697</v>
      </c>
      <c r="H96" s="79">
        <v>46061</v>
      </c>
      <c r="I96" s="76">
        <v>364</v>
      </c>
      <c r="J96" s="78"/>
      <c r="K96" s="78"/>
      <c r="L96" s="78">
        <v>-9.4739010989010985</v>
      </c>
      <c r="M96" s="78">
        <v>-15.457417582417582</v>
      </c>
      <c r="N96" s="78">
        <v>-14.958791208791208</v>
      </c>
      <c r="O96" s="78">
        <v>-15.457417582417582</v>
      </c>
      <c r="P96" s="78">
        <v>-14.958791208791208</v>
      </c>
      <c r="Q96" s="78">
        <v>-15.457417582417582</v>
      </c>
      <c r="R96" s="78">
        <v>-15.457417582417582</v>
      </c>
      <c r="S96" s="78">
        <v>-14.958791208791208</v>
      </c>
      <c r="T96" s="78">
        <v>-15.457417582417582</v>
      </c>
      <c r="U96" s="78">
        <v>-14.958791208791208</v>
      </c>
      <c r="V96" s="78">
        <v>-15.457417582417582</v>
      </c>
      <c r="W96" s="78">
        <v>-162.05357142857142</v>
      </c>
      <c r="X96" s="78">
        <v>-181.5</v>
      </c>
      <c r="Y96" s="78"/>
    </row>
    <row r="97" spans="1:25">
      <c r="A97" s="76" t="s">
        <v>137</v>
      </c>
      <c r="B97" s="76" t="s">
        <v>138</v>
      </c>
      <c r="C97" s="76" t="s">
        <v>33</v>
      </c>
      <c r="D97" s="76" t="s">
        <v>177</v>
      </c>
      <c r="E97" s="76" t="s">
        <v>93</v>
      </c>
      <c r="F97" s="78">
        <v>-5511</v>
      </c>
      <c r="G97" s="79">
        <v>45697</v>
      </c>
      <c r="H97" s="79">
        <v>46061</v>
      </c>
      <c r="I97" s="76">
        <v>364</v>
      </c>
      <c r="J97" s="78"/>
      <c r="K97" s="78"/>
      <c r="L97" s="78"/>
      <c r="M97" s="78">
        <v>-772.14560439560444</v>
      </c>
      <c r="N97" s="78">
        <v>-454.2032967032967</v>
      </c>
      <c r="O97" s="78">
        <v>-469.3434065934066</v>
      </c>
      <c r="P97" s="78">
        <v>-454.2032967032967</v>
      </c>
      <c r="Q97" s="78">
        <v>-469.3434065934066</v>
      </c>
      <c r="R97" s="78">
        <v>-469.3434065934066</v>
      </c>
      <c r="S97" s="78">
        <v>-454.2032967032967</v>
      </c>
      <c r="T97" s="78">
        <v>-469.3434065934066</v>
      </c>
      <c r="U97" s="78">
        <v>-454.2032967032967</v>
      </c>
      <c r="V97" s="78">
        <v>-469.3434065934066</v>
      </c>
      <c r="W97" s="78">
        <v>-4935.6758241758234</v>
      </c>
      <c r="X97" s="78">
        <v>-5511</v>
      </c>
      <c r="Y97" s="78"/>
    </row>
    <row r="98" spans="1:25">
      <c r="A98" s="76" t="s">
        <v>137</v>
      </c>
      <c r="B98" s="76" t="s">
        <v>138</v>
      </c>
      <c r="C98" s="77" t="s">
        <v>49</v>
      </c>
      <c r="D98" s="76" t="s">
        <v>113</v>
      </c>
      <c r="E98" s="76" t="s">
        <v>93</v>
      </c>
      <c r="F98" s="78">
        <v>-70.5</v>
      </c>
      <c r="G98" s="79">
        <v>45439</v>
      </c>
      <c r="H98" s="79">
        <v>45803</v>
      </c>
      <c r="I98" s="76">
        <v>364</v>
      </c>
      <c r="J98" s="78">
        <v>-28.277472527472526</v>
      </c>
      <c r="K98" s="78">
        <v>-6.0041208791208796</v>
      </c>
      <c r="L98" s="78">
        <v>-5.6167582417582418</v>
      </c>
      <c r="M98" s="78">
        <v>-6.0041208791208796</v>
      </c>
      <c r="N98" s="78">
        <v>-5.8104395604395602</v>
      </c>
      <c r="O98" s="78">
        <v>-4.84</v>
      </c>
      <c r="P98" s="78"/>
      <c r="Q98" s="78"/>
      <c r="R98" s="78"/>
      <c r="S98" s="78"/>
      <c r="T98" s="78"/>
      <c r="U98" s="78"/>
      <c r="V98" s="78"/>
      <c r="W98" s="78">
        <v>-28.275439560439562</v>
      </c>
      <c r="X98" s="78"/>
      <c r="Y98" s="78"/>
    </row>
    <row r="99" spans="1:25">
      <c r="A99" s="76" t="s">
        <v>137</v>
      </c>
      <c r="B99" s="76" t="s">
        <v>138</v>
      </c>
      <c r="C99" s="76" t="s">
        <v>37</v>
      </c>
      <c r="D99" s="77" t="s">
        <v>178</v>
      </c>
      <c r="E99" s="76" t="s">
        <v>93</v>
      </c>
      <c r="F99" s="78">
        <v>-2922.15</v>
      </c>
      <c r="G99" s="79">
        <v>45588</v>
      </c>
      <c r="H99" s="79">
        <v>45952</v>
      </c>
      <c r="I99" s="76">
        <v>364</v>
      </c>
      <c r="J99" s="78">
        <v>-2368.2259615384614</v>
      </c>
      <c r="K99" s="78">
        <v>-248.86442307692312</v>
      </c>
      <c r="L99" s="78">
        <v>-232.80865384615387</v>
      </c>
      <c r="M99" s="78">
        <v>-248.86442307692312</v>
      </c>
      <c r="N99" s="78">
        <v>-240.83653846153848</v>
      </c>
      <c r="O99" s="78">
        <v>-248.86442307692312</v>
      </c>
      <c r="P99" s="78">
        <v>-240.83653846153848</v>
      </c>
      <c r="Q99" s="78">
        <v>-248.86442307692312</v>
      </c>
      <c r="R99" s="78">
        <v>-248.86442307692312</v>
      </c>
      <c r="S99" s="78">
        <v>-240.83653846153848</v>
      </c>
      <c r="T99" s="78">
        <v>-168.59</v>
      </c>
      <c r="U99" s="78"/>
      <c r="V99" s="78"/>
      <c r="W99" s="78">
        <v>-2368.2303846153854</v>
      </c>
      <c r="X99" s="78"/>
      <c r="Y99" s="78"/>
    </row>
    <row r="100" spans="1:25">
      <c r="A100" s="76" t="s">
        <v>137</v>
      </c>
      <c r="B100" s="76" t="s">
        <v>138</v>
      </c>
      <c r="C100" s="76" t="s">
        <v>37</v>
      </c>
      <c r="D100" s="77" t="s">
        <v>179</v>
      </c>
      <c r="E100" s="76" t="s">
        <v>93</v>
      </c>
      <c r="F100" s="78">
        <v>-1234.1500000000001</v>
      </c>
      <c r="G100" s="79">
        <v>45552</v>
      </c>
      <c r="H100" s="79">
        <v>45916</v>
      </c>
      <c r="I100" s="76">
        <v>364</v>
      </c>
      <c r="J100" s="78">
        <v>-878.15230769230777</v>
      </c>
      <c r="K100" s="78">
        <v>-105.10618131868132</v>
      </c>
      <c r="L100" s="78">
        <v>-98.325137362637363</v>
      </c>
      <c r="M100" s="78">
        <v>-105.10618131868132</v>
      </c>
      <c r="N100" s="78">
        <v>-101.71565934065934</v>
      </c>
      <c r="O100" s="78">
        <v>-105.10618131868132</v>
      </c>
      <c r="P100" s="78">
        <v>-101.71565934065934</v>
      </c>
      <c r="Q100" s="78">
        <v>-105.10618131868132</v>
      </c>
      <c r="R100" s="78">
        <v>-105.10618131868132</v>
      </c>
      <c r="S100" s="78">
        <v>-50.86</v>
      </c>
      <c r="T100" s="78"/>
      <c r="U100" s="78"/>
      <c r="V100" s="78"/>
      <c r="W100" s="78">
        <v>-878.14736263736279</v>
      </c>
      <c r="X100" s="78"/>
      <c r="Y100" s="78"/>
    </row>
    <row r="101" spans="1:25">
      <c r="A101" s="76" t="s">
        <v>137</v>
      </c>
      <c r="B101" s="76" t="s">
        <v>138</v>
      </c>
      <c r="C101" s="76" t="s">
        <v>37</v>
      </c>
      <c r="D101" s="77" t="s">
        <v>180</v>
      </c>
      <c r="E101" s="76" t="s">
        <v>181</v>
      </c>
      <c r="F101" s="78">
        <v>-471.89</v>
      </c>
      <c r="G101" s="79">
        <v>45303</v>
      </c>
      <c r="H101" s="79">
        <v>45668</v>
      </c>
      <c r="I101" s="76">
        <v>365</v>
      </c>
      <c r="J101" s="78">
        <v>-14.22134246575331</v>
      </c>
      <c r="K101" s="78">
        <v>-14.22</v>
      </c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>
        <v>-14.22</v>
      </c>
      <c r="X101" s="78"/>
      <c r="Y101" s="78"/>
    </row>
    <row r="102" spans="1:25">
      <c r="A102" s="76" t="s">
        <v>137</v>
      </c>
      <c r="B102" s="76" t="s">
        <v>138</v>
      </c>
      <c r="C102" s="76" t="s">
        <v>37</v>
      </c>
      <c r="D102" s="77" t="s">
        <v>182</v>
      </c>
      <c r="E102" s="76" t="s">
        <v>181</v>
      </c>
      <c r="F102" s="78">
        <v>-453.23</v>
      </c>
      <c r="G102" s="79">
        <v>45627</v>
      </c>
      <c r="H102" s="79">
        <v>45991</v>
      </c>
      <c r="I102" s="76">
        <v>364</v>
      </c>
      <c r="J102" s="78"/>
      <c r="K102" s="78">
        <v>-77.198516483516485</v>
      </c>
      <c r="L102" s="78">
        <v>-36.108983516483519</v>
      </c>
      <c r="M102" s="78">
        <v>-38.599258241758243</v>
      </c>
      <c r="N102" s="78">
        <v>-37.354120879120885</v>
      </c>
      <c r="O102" s="78">
        <v>-38.599258241758243</v>
      </c>
      <c r="P102" s="78">
        <v>-37.354120879120885</v>
      </c>
      <c r="Q102" s="78">
        <v>-38.599258241758243</v>
      </c>
      <c r="R102" s="78">
        <v>-38.599258241758243</v>
      </c>
      <c r="S102" s="78">
        <v>-37.354120879120885</v>
      </c>
      <c r="T102" s="78">
        <v>-38.599258241758243</v>
      </c>
      <c r="U102" s="78">
        <v>-34.86</v>
      </c>
      <c r="V102" s="78"/>
      <c r="W102" s="78">
        <v>-453.22615384615392</v>
      </c>
      <c r="X102" s="78">
        <v>-453.23</v>
      </c>
      <c r="Y102" s="78"/>
    </row>
    <row r="103" spans="1:25">
      <c r="A103" s="76" t="s">
        <v>137</v>
      </c>
      <c r="B103" s="76" t="s">
        <v>138</v>
      </c>
      <c r="C103" s="76" t="s">
        <v>37</v>
      </c>
      <c r="D103" s="77" t="s">
        <v>183</v>
      </c>
      <c r="E103" s="76" t="s">
        <v>95</v>
      </c>
      <c r="F103" s="78">
        <v>-1271.2</v>
      </c>
      <c r="G103" s="79">
        <v>45917</v>
      </c>
      <c r="H103" s="79">
        <v>46281</v>
      </c>
      <c r="I103" s="76">
        <v>364</v>
      </c>
      <c r="J103" s="78"/>
      <c r="K103" s="78"/>
      <c r="L103" s="78"/>
      <c r="M103" s="78"/>
      <c r="N103" s="78"/>
      <c r="O103" s="78"/>
      <c r="P103" s="78"/>
      <c r="Q103" s="78"/>
      <c r="R103" s="78"/>
      <c r="S103" s="78">
        <v>-45.4</v>
      </c>
      <c r="T103" s="78">
        <v>-108.26153846153846</v>
      </c>
      <c r="U103" s="78">
        <v>-104.76923076923077</v>
      </c>
      <c r="V103" s="78">
        <v>-108.26153846153846</v>
      </c>
      <c r="W103" s="78">
        <v>-366.69230769230768</v>
      </c>
      <c r="X103" s="78">
        <v>-1271.2</v>
      </c>
      <c r="Y103" s="78"/>
    </row>
    <row r="104" spans="1:25">
      <c r="A104" s="76" t="s">
        <v>137</v>
      </c>
      <c r="B104" s="76" t="s">
        <v>138</v>
      </c>
      <c r="C104" s="76" t="s">
        <v>37</v>
      </c>
      <c r="D104" s="77" t="s">
        <v>184</v>
      </c>
      <c r="E104" s="76" t="s">
        <v>93</v>
      </c>
      <c r="F104" s="78">
        <v>-3067.35</v>
      </c>
      <c r="G104" s="79">
        <v>45953</v>
      </c>
      <c r="H104" s="79">
        <v>46317</v>
      </c>
      <c r="I104" s="76">
        <v>364</v>
      </c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>
        <v>-67.414285714285711</v>
      </c>
      <c r="U104" s="78">
        <v>-252.80357142857142</v>
      </c>
      <c r="V104" s="78">
        <v>-261.23035714285714</v>
      </c>
      <c r="W104" s="78">
        <v>-581.44821428571436</v>
      </c>
      <c r="X104" s="78">
        <v>-3067.35</v>
      </c>
      <c r="Y104" s="78"/>
    </row>
    <row r="105" spans="1:25">
      <c r="A105" s="76" t="s">
        <v>137</v>
      </c>
      <c r="B105" s="76" t="s">
        <v>138</v>
      </c>
      <c r="C105" s="76" t="s">
        <v>39</v>
      </c>
      <c r="D105" s="77" t="s">
        <v>185</v>
      </c>
      <c r="E105" s="76" t="s">
        <v>95</v>
      </c>
      <c r="F105" s="78">
        <v>-1582.09</v>
      </c>
      <c r="G105" s="79">
        <v>45411</v>
      </c>
      <c r="H105" s="79">
        <v>45775</v>
      </c>
      <c r="I105" s="76">
        <v>364</v>
      </c>
      <c r="J105" s="78">
        <v>-508.52892857142865</v>
      </c>
      <c r="K105" s="78">
        <v>-134.73843406593406</v>
      </c>
      <c r="L105" s="78">
        <v>-126.04563186813188</v>
      </c>
      <c r="M105" s="78">
        <v>-134.73843406593406</v>
      </c>
      <c r="N105" s="78">
        <v>-113.01</v>
      </c>
      <c r="O105" s="78"/>
      <c r="P105" s="78"/>
      <c r="Q105" s="78"/>
      <c r="R105" s="78"/>
      <c r="S105" s="78"/>
      <c r="T105" s="78"/>
      <c r="U105" s="78"/>
      <c r="V105" s="78"/>
      <c r="W105" s="78">
        <v>-508.53250000000003</v>
      </c>
      <c r="X105" s="78"/>
      <c r="Y105" s="78"/>
    </row>
    <row r="106" spans="1:25">
      <c r="A106" s="76" t="s">
        <v>137</v>
      </c>
      <c r="B106" s="76" t="s">
        <v>138</v>
      </c>
      <c r="C106" s="76" t="s">
        <v>39</v>
      </c>
      <c r="D106" s="77" t="s">
        <v>151</v>
      </c>
      <c r="E106" s="76" t="s">
        <v>93</v>
      </c>
      <c r="F106" s="78">
        <v>-675</v>
      </c>
      <c r="G106" s="79">
        <v>45390</v>
      </c>
      <c r="H106" s="79">
        <v>45754</v>
      </c>
      <c r="I106" s="76">
        <v>364</v>
      </c>
      <c r="J106" s="78">
        <v>-179.87637362637361</v>
      </c>
      <c r="K106" s="78">
        <v>-57.486263736263737</v>
      </c>
      <c r="L106" s="78">
        <v>-53.777472527472533</v>
      </c>
      <c r="M106" s="78">
        <v>-57.486263736263737</v>
      </c>
      <c r="N106" s="78">
        <v>-11.13</v>
      </c>
      <c r="O106" s="78"/>
      <c r="P106" s="78"/>
      <c r="Q106" s="78"/>
      <c r="R106" s="78"/>
      <c r="S106" s="78"/>
      <c r="T106" s="78"/>
      <c r="U106" s="78"/>
      <c r="V106" s="78"/>
      <c r="W106" s="78">
        <v>-179.88</v>
      </c>
      <c r="X106" s="78"/>
      <c r="Y106" s="78"/>
    </row>
    <row r="107" spans="1:25">
      <c r="A107" s="76" t="s">
        <v>137</v>
      </c>
      <c r="B107" s="76" t="s">
        <v>138</v>
      </c>
      <c r="C107" s="76" t="s">
        <v>39</v>
      </c>
      <c r="D107" s="77"/>
      <c r="E107" s="76" t="s">
        <v>95</v>
      </c>
      <c r="F107" s="78">
        <v>-1629.57</v>
      </c>
      <c r="G107" s="79">
        <v>45776</v>
      </c>
      <c r="H107" s="79">
        <v>46140</v>
      </c>
      <c r="I107" s="76">
        <v>364</v>
      </c>
      <c r="J107" s="78"/>
      <c r="K107" s="78"/>
      <c r="L107" s="78"/>
      <c r="M107" s="78"/>
      <c r="N107" s="78">
        <v>-4.4768406593406596</v>
      </c>
      <c r="O107" s="78">
        <v>-138.78206043956044</v>
      </c>
      <c r="P107" s="78">
        <v>-134.30521978021977</v>
      </c>
      <c r="Q107" s="78">
        <v>-138.78206043956044</v>
      </c>
      <c r="R107" s="78">
        <v>-138.78206043956044</v>
      </c>
      <c r="S107" s="78">
        <v>-134.30521978021977</v>
      </c>
      <c r="T107" s="78">
        <v>-138.78206043956044</v>
      </c>
      <c r="U107" s="78">
        <v>-134.30521978021977</v>
      </c>
      <c r="V107" s="78">
        <v>-138.78206043956044</v>
      </c>
      <c r="W107" s="78">
        <v>-1101.3028021978023</v>
      </c>
      <c r="X107" s="78">
        <v>-1629.57</v>
      </c>
      <c r="Y107" s="78"/>
    </row>
    <row r="108" spans="1:25">
      <c r="A108" s="76" t="s">
        <v>137</v>
      </c>
      <c r="B108" s="76" t="s">
        <v>138</v>
      </c>
      <c r="C108" s="76" t="s">
        <v>39</v>
      </c>
      <c r="D108" s="77" t="s">
        <v>144</v>
      </c>
      <c r="E108" s="76" t="s">
        <v>93</v>
      </c>
      <c r="F108" s="78">
        <v>-777.98</v>
      </c>
      <c r="G108" s="79">
        <v>45755</v>
      </c>
      <c r="H108" s="79">
        <v>46119</v>
      </c>
      <c r="I108" s="76">
        <v>364</v>
      </c>
      <c r="J108" s="78"/>
      <c r="K108" s="78"/>
      <c r="L108" s="78"/>
      <c r="M108" s="78"/>
      <c r="N108" s="78">
        <v>-47.020769230769233</v>
      </c>
      <c r="O108" s="78">
        <v>-66.256538461538469</v>
      </c>
      <c r="P108" s="78">
        <v>-64.119230769230768</v>
      </c>
      <c r="Q108" s="78">
        <v>-66.256538461538469</v>
      </c>
      <c r="R108" s="78">
        <v>-66.256538461538469</v>
      </c>
      <c r="S108" s="78">
        <v>-64.119230769230768</v>
      </c>
      <c r="T108" s="78">
        <v>-66.256538461538469</v>
      </c>
      <c r="U108" s="78">
        <v>-64.119230769230768</v>
      </c>
      <c r="V108" s="78">
        <v>-66.256538461538469</v>
      </c>
      <c r="W108" s="78">
        <v>-570.66115384615387</v>
      </c>
      <c r="X108" s="78">
        <v>-777.98</v>
      </c>
      <c r="Y108" s="78"/>
    </row>
    <row r="109" spans="1:25">
      <c r="A109" s="76" t="s">
        <v>137</v>
      </c>
      <c r="B109" s="76" t="s">
        <v>154</v>
      </c>
      <c r="C109" s="76" t="s">
        <v>12</v>
      </c>
      <c r="D109" s="76" t="s">
        <v>92</v>
      </c>
      <c r="E109" s="76" t="s">
        <v>93</v>
      </c>
      <c r="F109" s="78">
        <v>-35916.379999999997</v>
      </c>
      <c r="G109" s="79">
        <v>45542</v>
      </c>
      <c r="H109" s="79">
        <v>45906</v>
      </c>
      <c r="I109" s="76">
        <v>364</v>
      </c>
      <c r="J109" s="78">
        <v>-24569.172032967032</v>
      </c>
      <c r="K109" s="78">
        <v>-3058.8125824175822</v>
      </c>
      <c r="L109" s="78">
        <v>-2861.4698351648349</v>
      </c>
      <c r="M109" s="78">
        <v>-3058.8125824175822</v>
      </c>
      <c r="N109" s="78">
        <v>-2960.1412087912086</v>
      </c>
      <c r="O109" s="78">
        <v>-3058.8125824175822</v>
      </c>
      <c r="P109" s="78">
        <v>-2960.1412087912086</v>
      </c>
      <c r="Q109" s="78">
        <v>-3058.8125824175822</v>
      </c>
      <c r="R109" s="78">
        <v>-3058.8125824175822</v>
      </c>
      <c r="S109" s="78">
        <v>-493.36</v>
      </c>
      <c r="T109" s="78"/>
      <c r="U109" s="78"/>
      <c r="V109" s="78"/>
      <c r="W109" s="78">
        <v>-24569.175164835164</v>
      </c>
      <c r="X109" s="78"/>
      <c r="Y109" s="78"/>
    </row>
    <row r="110" spans="1:25">
      <c r="A110" s="76" t="s">
        <v>137</v>
      </c>
      <c r="B110" s="76" t="s">
        <v>154</v>
      </c>
      <c r="C110" s="76" t="s">
        <v>12</v>
      </c>
      <c r="D110" s="76" t="s">
        <v>186</v>
      </c>
      <c r="E110" s="76" t="s">
        <v>95</v>
      </c>
      <c r="F110" s="78">
        <v>-8231.68</v>
      </c>
      <c r="G110" s="79">
        <v>45566</v>
      </c>
      <c r="H110" s="79">
        <v>45930</v>
      </c>
      <c r="I110" s="76">
        <v>364</v>
      </c>
      <c r="J110" s="78">
        <v>-6151.1454945054948</v>
      </c>
      <c r="K110" s="78">
        <v>-701.04967032967033</v>
      </c>
      <c r="L110" s="78">
        <v>-655.82065934065929</v>
      </c>
      <c r="M110" s="78">
        <v>-701.04967032967033</v>
      </c>
      <c r="N110" s="78">
        <v>-678.43516483516487</v>
      </c>
      <c r="O110" s="78">
        <v>-701.04967032967033</v>
      </c>
      <c r="P110" s="78">
        <v>-678.43516483516487</v>
      </c>
      <c r="Q110" s="78">
        <v>-701.04967032967033</v>
      </c>
      <c r="R110" s="78">
        <v>-701.04967032967033</v>
      </c>
      <c r="S110" s="78">
        <v>-633.21</v>
      </c>
      <c r="T110" s="78"/>
      <c r="U110" s="78"/>
      <c r="V110" s="78"/>
      <c r="W110" s="78">
        <v>-6151.1493406593409</v>
      </c>
      <c r="X110" s="78"/>
      <c r="Y110" s="78"/>
    </row>
    <row r="111" spans="1:25">
      <c r="A111" s="76" t="s">
        <v>137</v>
      </c>
      <c r="B111" s="76" t="s">
        <v>154</v>
      </c>
      <c r="C111" s="76" t="s">
        <v>12</v>
      </c>
      <c r="D111" s="76" t="s">
        <v>157</v>
      </c>
      <c r="E111" s="76" t="s">
        <v>93</v>
      </c>
      <c r="F111" s="78">
        <v>-7882.98</v>
      </c>
      <c r="G111" s="79">
        <v>45627</v>
      </c>
      <c r="H111" s="79">
        <v>45991</v>
      </c>
      <c r="I111" s="76">
        <v>364</v>
      </c>
      <c r="J111" s="78">
        <v>-7211.6273076923071</v>
      </c>
      <c r="K111" s="78">
        <v>-671.35269230769222</v>
      </c>
      <c r="L111" s="78">
        <v>-628.03961538461533</v>
      </c>
      <c r="M111" s="78">
        <v>-671.35269230769222</v>
      </c>
      <c r="N111" s="78">
        <v>-649.69615384615383</v>
      </c>
      <c r="O111" s="78">
        <v>-671.35269230769222</v>
      </c>
      <c r="P111" s="78">
        <v>-649.69615384615383</v>
      </c>
      <c r="Q111" s="78">
        <v>-671.35269230769222</v>
      </c>
      <c r="R111" s="78">
        <v>-671.35269230769222</v>
      </c>
      <c r="S111" s="78">
        <v>-649.69615384615383</v>
      </c>
      <c r="T111" s="78">
        <v>-671.35269230769222</v>
      </c>
      <c r="U111" s="78">
        <v>-606.38</v>
      </c>
      <c r="V111" s="78"/>
      <c r="W111" s="78">
        <v>-7211.624230769231</v>
      </c>
      <c r="X111" s="78"/>
      <c r="Y111" s="78"/>
    </row>
    <row r="112" spans="1:25">
      <c r="A112" s="76" t="s">
        <v>137</v>
      </c>
      <c r="B112" s="76" t="s">
        <v>154</v>
      </c>
      <c r="C112" s="76" t="s">
        <v>12</v>
      </c>
      <c r="D112" s="76" t="s">
        <v>187</v>
      </c>
      <c r="E112" s="76" t="s">
        <v>188</v>
      </c>
      <c r="F112" s="78">
        <v>-639.91999999999996</v>
      </c>
      <c r="G112" s="79">
        <v>45597</v>
      </c>
      <c r="H112" s="79">
        <v>45961</v>
      </c>
      <c r="I112" s="76">
        <v>364</v>
      </c>
      <c r="J112" s="78">
        <v>-532.6806593406593</v>
      </c>
      <c r="K112" s="78">
        <v>-54.498681318681314</v>
      </c>
      <c r="L112" s="78">
        <v>-50.982637362637362</v>
      </c>
      <c r="M112" s="78">
        <v>-54.498681318681314</v>
      </c>
      <c r="N112" s="78">
        <v>-52.740659340659334</v>
      </c>
      <c r="O112" s="78">
        <v>-54.498681318681314</v>
      </c>
      <c r="P112" s="78">
        <v>-52.740659340659334</v>
      </c>
      <c r="Q112" s="78">
        <v>-54.498681318681314</v>
      </c>
      <c r="R112" s="78">
        <v>-54.498681318681314</v>
      </c>
      <c r="S112" s="78">
        <v>-52.740659340659334</v>
      </c>
      <c r="T112" s="78">
        <v>-50.98</v>
      </c>
      <c r="U112" s="78"/>
      <c r="V112" s="78"/>
      <c r="W112" s="78">
        <v>-532.67802197802189</v>
      </c>
      <c r="X112" s="78"/>
      <c r="Y112" s="78"/>
    </row>
    <row r="113" spans="1:25">
      <c r="A113" s="76" t="s">
        <v>137</v>
      </c>
      <c r="B113" s="76" t="s">
        <v>154</v>
      </c>
      <c r="C113" s="76" t="s">
        <v>12</v>
      </c>
      <c r="D113" s="76" t="s">
        <v>151</v>
      </c>
      <c r="E113" s="76" t="s">
        <v>93</v>
      </c>
      <c r="F113" s="78">
        <v>-178.13</v>
      </c>
      <c r="G113" s="79">
        <v>45405</v>
      </c>
      <c r="H113" s="79">
        <v>45770</v>
      </c>
      <c r="I113" s="76">
        <v>365</v>
      </c>
      <c r="J113" s="78">
        <v>-55.147095890410952</v>
      </c>
      <c r="K113" s="78">
        <v>-15.128849315068493</v>
      </c>
      <c r="L113" s="78">
        <v>-14.152794520547944</v>
      </c>
      <c r="M113" s="78">
        <v>-15.128849315068493</v>
      </c>
      <c r="N113" s="78">
        <v>-10.74</v>
      </c>
      <c r="O113" s="78"/>
      <c r="P113" s="78"/>
      <c r="Q113" s="78"/>
      <c r="R113" s="78"/>
      <c r="S113" s="78"/>
      <c r="T113" s="78"/>
      <c r="U113" s="78"/>
      <c r="V113" s="78"/>
      <c r="W113" s="78">
        <v>-55.15049315068493</v>
      </c>
      <c r="X113" s="78"/>
      <c r="Y113" s="78"/>
    </row>
    <row r="114" spans="1:25">
      <c r="A114" s="76" t="s">
        <v>137</v>
      </c>
      <c r="B114" s="76" t="s">
        <v>154</v>
      </c>
      <c r="C114" s="76" t="s">
        <v>12</v>
      </c>
      <c r="D114" s="76" t="s">
        <v>189</v>
      </c>
      <c r="E114" s="76" t="s">
        <v>95</v>
      </c>
      <c r="F114" s="78">
        <v>-6390.69</v>
      </c>
      <c r="G114" s="79">
        <v>45804</v>
      </c>
      <c r="H114" s="79">
        <v>46168</v>
      </c>
      <c r="I114" s="76">
        <v>364</v>
      </c>
      <c r="J114" s="78"/>
      <c r="K114" s="78"/>
      <c r="L114" s="78"/>
      <c r="M114" s="78"/>
      <c r="N114" s="78"/>
      <c r="O114" s="78">
        <v>-70.227362637362631</v>
      </c>
      <c r="P114" s="78">
        <v>-526.70521978021975</v>
      </c>
      <c r="Q114" s="78">
        <v>-544.2620604395604</v>
      </c>
      <c r="R114" s="78">
        <v>-544.2620604395604</v>
      </c>
      <c r="S114" s="78">
        <v>-526.70521978021975</v>
      </c>
      <c r="T114" s="78">
        <v>-544.2620604395604</v>
      </c>
      <c r="U114" s="78">
        <v>-526.70521978021975</v>
      </c>
      <c r="V114" s="78">
        <v>-544.2620604395604</v>
      </c>
      <c r="W114" s="78">
        <v>-3827.3912637362637</v>
      </c>
      <c r="X114" s="78">
        <v>-6390.69</v>
      </c>
      <c r="Y114" s="78"/>
    </row>
    <row r="115" spans="1:25">
      <c r="A115" s="76" t="s">
        <v>137</v>
      </c>
      <c r="B115" s="76" t="s">
        <v>154</v>
      </c>
      <c r="C115" s="76" t="s">
        <v>12</v>
      </c>
      <c r="D115" s="76" t="s">
        <v>144</v>
      </c>
      <c r="E115" s="76" t="s">
        <v>93</v>
      </c>
      <c r="F115" s="78">
        <v>-222.75</v>
      </c>
      <c r="G115" s="79">
        <v>45770</v>
      </c>
      <c r="H115" s="79">
        <v>46134</v>
      </c>
      <c r="I115" s="76">
        <v>364</v>
      </c>
      <c r="J115" s="78"/>
      <c r="K115" s="78"/>
      <c r="L115" s="78"/>
      <c r="M115" s="78"/>
      <c r="N115" s="78">
        <v>-4.2836538461538467</v>
      </c>
      <c r="O115" s="78">
        <v>-18.970467032967033</v>
      </c>
      <c r="P115" s="78">
        <v>-18.358516483516485</v>
      </c>
      <c r="Q115" s="78">
        <v>-18.970467032967033</v>
      </c>
      <c r="R115" s="78">
        <v>-18.970467032967033</v>
      </c>
      <c r="S115" s="78">
        <v>-18.358516483516485</v>
      </c>
      <c r="T115" s="78">
        <v>-18.970467032967033</v>
      </c>
      <c r="U115" s="78">
        <v>-18.358516483516485</v>
      </c>
      <c r="V115" s="78">
        <v>-18.970467032967033</v>
      </c>
      <c r="W115" s="78">
        <v>-154.21153846153848</v>
      </c>
      <c r="X115" s="78">
        <v>-222.75</v>
      </c>
      <c r="Y115" s="78"/>
    </row>
    <row r="116" spans="1:25">
      <c r="A116" s="76" t="s">
        <v>137</v>
      </c>
      <c r="B116" s="76" t="s">
        <v>154</v>
      </c>
      <c r="C116" s="76" t="s">
        <v>12</v>
      </c>
      <c r="D116" s="76" t="s">
        <v>97</v>
      </c>
      <c r="E116" s="76" t="s">
        <v>93</v>
      </c>
      <c r="F116" s="78">
        <v>-37632.379999999997</v>
      </c>
      <c r="G116" s="79">
        <v>45907</v>
      </c>
      <c r="H116" s="79">
        <v>46271</v>
      </c>
      <c r="I116" s="76">
        <v>364</v>
      </c>
      <c r="J116" s="78"/>
      <c r="K116" s="78"/>
      <c r="L116" s="78"/>
      <c r="M116" s="78"/>
      <c r="N116" s="78"/>
      <c r="O116" s="78"/>
      <c r="P116" s="78"/>
      <c r="Q116" s="78"/>
      <c r="R116" s="78"/>
      <c r="S116" s="78">
        <v>-2377.8701648351648</v>
      </c>
      <c r="T116" s="78">
        <v>-3204.9554395604391</v>
      </c>
      <c r="U116" s="78">
        <v>-3101.5697802197801</v>
      </c>
      <c r="V116" s="78">
        <v>-3204.9554395604391</v>
      </c>
      <c r="W116" s="78">
        <v>-11889.350824175825</v>
      </c>
      <c r="X116" s="78">
        <v>-37632.379999999997</v>
      </c>
      <c r="Y116" s="78"/>
    </row>
    <row r="117" spans="1:25">
      <c r="A117" s="76" t="s">
        <v>137</v>
      </c>
      <c r="B117" s="76" t="s">
        <v>154</v>
      </c>
      <c r="C117" s="76" t="s">
        <v>12</v>
      </c>
      <c r="D117" s="76" t="s">
        <v>190</v>
      </c>
      <c r="E117" s="76" t="s">
        <v>95</v>
      </c>
      <c r="F117" s="78">
        <v>-8478.67</v>
      </c>
      <c r="G117" s="79">
        <v>45931</v>
      </c>
      <c r="H117" s="79">
        <v>46295</v>
      </c>
      <c r="I117" s="76">
        <v>364</v>
      </c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>
        <v>-722.08453296703294</v>
      </c>
      <c r="U117" s="78">
        <v>-698.79148351648348</v>
      </c>
      <c r="V117" s="78">
        <v>-722.08453296703294</v>
      </c>
      <c r="W117" s="78">
        <v>-2142.9605494505495</v>
      </c>
      <c r="X117" s="78">
        <v>-8478.67</v>
      </c>
      <c r="Y117" s="78"/>
    </row>
    <row r="118" spans="1:25">
      <c r="A118" s="76" t="s">
        <v>137</v>
      </c>
      <c r="B118" s="76" t="s">
        <v>154</v>
      </c>
      <c r="C118" s="76" t="s">
        <v>12</v>
      </c>
      <c r="D118" s="76" t="s">
        <v>163</v>
      </c>
      <c r="E118" s="76" t="s">
        <v>93</v>
      </c>
      <c r="F118" s="78">
        <v>-7882.98</v>
      </c>
      <c r="G118" s="79">
        <v>45992</v>
      </c>
      <c r="H118" s="79">
        <v>46356</v>
      </c>
      <c r="I118" s="76">
        <v>364</v>
      </c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>
        <v>-671.35269230769222</v>
      </c>
      <c r="W118" s="78">
        <v>-671.35269230769222</v>
      </c>
      <c r="X118" s="78">
        <v>-7882.98</v>
      </c>
      <c r="Y118" s="78"/>
    </row>
    <row r="119" spans="1:25">
      <c r="A119" s="76" t="s">
        <v>137</v>
      </c>
      <c r="B119" s="76" t="s">
        <v>138</v>
      </c>
      <c r="C119" s="76" t="s">
        <v>30</v>
      </c>
      <c r="D119" s="77" t="s">
        <v>157</v>
      </c>
      <c r="E119" s="76" t="s">
        <v>93</v>
      </c>
      <c r="F119" s="78">
        <v>-1415.7</v>
      </c>
      <c r="G119" s="79">
        <v>45603</v>
      </c>
      <c r="H119" s="79">
        <v>45967</v>
      </c>
      <c r="I119" s="76">
        <v>364</v>
      </c>
      <c r="J119" s="78">
        <v>-1205.6785714285716</v>
      </c>
      <c r="K119" s="78">
        <v>-120.56785714285714</v>
      </c>
      <c r="L119" s="78">
        <v>-112.78928571428571</v>
      </c>
      <c r="M119" s="78">
        <v>-120.56785714285714</v>
      </c>
      <c r="N119" s="78">
        <v>-116.67857142857143</v>
      </c>
      <c r="O119" s="78">
        <v>-120.56785714285714</v>
      </c>
      <c r="P119" s="78">
        <v>-116.67857142857143</v>
      </c>
      <c r="Q119" s="78">
        <v>-120.56785714285714</v>
      </c>
      <c r="R119" s="78">
        <v>-120.56785714285714</v>
      </c>
      <c r="S119" s="78">
        <v>-116.67857142857143</v>
      </c>
      <c r="T119" s="78">
        <v>-120.56785714285714</v>
      </c>
      <c r="U119" s="78">
        <v>-19.45</v>
      </c>
      <c r="V119" s="78"/>
      <c r="W119" s="78">
        <v>-1205.6821428571429</v>
      </c>
      <c r="X119" s="78"/>
      <c r="Y119" s="78"/>
    </row>
    <row r="120" spans="1:25">
      <c r="A120" s="76" t="s">
        <v>137</v>
      </c>
      <c r="B120" s="76" t="s">
        <v>138</v>
      </c>
      <c r="C120" s="76" t="s">
        <v>30</v>
      </c>
      <c r="D120" s="77" t="s">
        <v>178</v>
      </c>
      <c r="E120" s="76" t="s">
        <v>93</v>
      </c>
      <c r="F120" s="78">
        <v>-432.3</v>
      </c>
      <c r="G120" s="79">
        <v>45584</v>
      </c>
      <c r="H120" s="79">
        <v>45948</v>
      </c>
      <c r="I120" s="76">
        <v>364</v>
      </c>
      <c r="J120" s="78">
        <v>-345.60247252747251</v>
      </c>
      <c r="K120" s="78">
        <v>-36.816758241758244</v>
      </c>
      <c r="L120" s="78">
        <v>-34.441483516483515</v>
      </c>
      <c r="M120" s="78">
        <v>-36.816758241758244</v>
      </c>
      <c r="N120" s="78">
        <v>-35.629120879120876</v>
      </c>
      <c r="O120" s="78">
        <v>-36.816758241758244</v>
      </c>
      <c r="P120" s="78">
        <v>-35.629120879120876</v>
      </c>
      <c r="Q120" s="78">
        <v>-36.816758241758244</v>
      </c>
      <c r="R120" s="78">
        <v>-36.816758241758244</v>
      </c>
      <c r="S120" s="78">
        <v>-35.629120879120876</v>
      </c>
      <c r="T120" s="78">
        <v>-20.190000000000001</v>
      </c>
      <c r="U120" s="78"/>
      <c r="V120" s="78"/>
      <c r="W120" s="78">
        <v>-345.60263736263732</v>
      </c>
      <c r="X120" s="78"/>
      <c r="Y120" s="78"/>
    </row>
    <row r="121" spans="1:25">
      <c r="A121" s="76" t="s">
        <v>137</v>
      </c>
      <c r="B121" s="76" t="s">
        <v>138</v>
      </c>
      <c r="C121" s="76" t="s">
        <v>30</v>
      </c>
      <c r="D121" s="77" t="s">
        <v>191</v>
      </c>
      <c r="E121" s="76" t="s">
        <v>95</v>
      </c>
      <c r="F121" s="78">
        <v>-217.11</v>
      </c>
      <c r="G121" s="79">
        <v>45627</v>
      </c>
      <c r="H121" s="79">
        <v>45991</v>
      </c>
      <c r="I121" s="76">
        <v>364</v>
      </c>
      <c r="J121" s="78">
        <v>-198.62901098901099</v>
      </c>
      <c r="K121" s="78">
        <v>-18.490137362637363</v>
      </c>
      <c r="L121" s="78">
        <v>-17.297225274725278</v>
      </c>
      <c r="M121" s="78">
        <v>-18.490137362637363</v>
      </c>
      <c r="N121" s="78">
        <v>-17.89368131868132</v>
      </c>
      <c r="O121" s="78">
        <v>-18.490137362637363</v>
      </c>
      <c r="P121" s="78">
        <v>-17.89368131868132</v>
      </c>
      <c r="Q121" s="78">
        <v>-18.490137362637363</v>
      </c>
      <c r="R121" s="78">
        <v>-18.490137362637363</v>
      </c>
      <c r="S121" s="78">
        <v>-17.89368131868132</v>
      </c>
      <c r="T121" s="78">
        <v>-18.490137362637363</v>
      </c>
      <c r="U121" s="78">
        <v>-16.71</v>
      </c>
      <c r="V121" s="78"/>
      <c r="W121" s="78">
        <v>-198.62909340659343</v>
      </c>
      <c r="X121" s="78"/>
      <c r="Y121" s="78"/>
    </row>
    <row r="122" spans="1:25">
      <c r="A122" s="76" t="s">
        <v>137</v>
      </c>
      <c r="B122" s="76" t="s">
        <v>138</v>
      </c>
      <c r="C122" s="76" t="s">
        <v>30</v>
      </c>
      <c r="D122" s="77" t="s">
        <v>184</v>
      </c>
      <c r="E122" s="76" t="s">
        <v>93</v>
      </c>
      <c r="F122" s="78">
        <v>-455.4</v>
      </c>
      <c r="G122" s="79">
        <v>45949</v>
      </c>
      <c r="H122" s="79">
        <v>46313</v>
      </c>
      <c r="I122" s="76">
        <v>364</v>
      </c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>
        <v>-15.013186813186813</v>
      </c>
      <c r="U122" s="78">
        <v>-37.532967032967036</v>
      </c>
      <c r="V122" s="78">
        <v>-38.784065934065936</v>
      </c>
      <c r="W122" s="78">
        <v>-91.330219780219778</v>
      </c>
      <c r="X122" s="78">
        <v>-455.4</v>
      </c>
      <c r="Y122" s="78"/>
    </row>
    <row r="123" spans="1:25">
      <c r="A123" s="76" t="s">
        <v>137</v>
      </c>
      <c r="B123" s="76" t="s">
        <v>138</v>
      </c>
      <c r="C123" s="76" t="s">
        <v>30</v>
      </c>
      <c r="D123" s="77" t="s">
        <v>192</v>
      </c>
      <c r="E123" s="76" t="s">
        <v>95</v>
      </c>
      <c r="F123" s="78">
        <v>-223.68</v>
      </c>
      <c r="G123" s="79">
        <v>45992</v>
      </c>
      <c r="H123" s="79">
        <v>46356</v>
      </c>
      <c r="I123" s="76">
        <v>364</v>
      </c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>
        <v>-19.049670329670331</v>
      </c>
      <c r="W123" s="78">
        <v>-19.049670329670331</v>
      </c>
      <c r="X123" s="78">
        <v>-223.68</v>
      </c>
      <c r="Y123" s="78"/>
    </row>
    <row r="124" spans="1:25">
      <c r="A124" s="76" t="s">
        <v>137</v>
      </c>
      <c r="B124" s="76" t="s">
        <v>138</v>
      </c>
      <c r="C124" s="76" t="s">
        <v>30</v>
      </c>
      <c r="D124" s="77" t="s">
        <v>163</v>
      </c>
      <c r="E124" s="76" t="s">
        <v>93</v>
      </c>
      <c r="F124" s="78">
        <v>-1480.88</v>
      </c>
      <c r="G124" s="79">
        <v>45968</v>
      </c>
      <c r="H124" s="79">
        <v>46332</v>
      </c>
      <c r="I124" s="76">
        <v>364</v>
      </c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>
        <v>-93.572087912087923</v>
      </c>
      <c r="V124" s="78">
        <v>-126.11890109890111</v>
      </c>
      <c r="W124" s="78">
        <v>-219.69098901098903</v>
      </c>
      <c r="X124" s="78">
        <v>-1480.88</v>
      </c>
      <c r="Y124" s="78"/>
    </row>
    <row r="125" spans="1:25">
      <c r="A125" s="76" t="s">
        <v>137</v>
      </c>
      <c r="B125" s="76" t="s">
        <v>138</v>
      </c>
      <c r="C125" s="76" t="s">
        <v>17</v>
      </c>
      <c r="D125" s="77"/>
      <c r="E125" s="76" t="s">
        <v>93</v>
      </c>
      <c r="F125" s="78">
        <v>-8583.75</v>
      </c>
      <c r="G125" s="79">
        <v>45371</v>
      </c>
      <c r="H125" s="79">
        <v>45736</v>
      </c>
      <c r="I125" s="76">
        <v>365</v>
      </c>
      <c r="J125" s="78">
        <v>-1857.8527397260277</v>
      </c>
      <c r="K125" s="78">
        <v>-729.03082191780823</v>
      </c>
      <c r="L125" s="78">
        <v>-681.99657534246569</v>
      </c>
      <c r="M125" s="78">
        <v>-446.83</v>
      </c>
      <c r="N125" s="78"/>
      <c r="O125" s="78"/>
      <c r="P125" s="78"/>
      <c r="Q125" s="78"/>
      <c r="R125" s="78"/>
      <c r="S125" s="78"/>
      <c r="T125" s="78"/>
      <c r="U125" s="78"/>
      <c r="V125" s="78"/>
      <c r="W125" s="78">
        <v>-1857.857397260274</v>
      </c>
      <c r="X125" s="78"/>
      <c r="Y125" s="78"/>
    </row>
    <row r="126" spans="1:25">
      <c r="A126" s="76" t="s">
        <v>137</v>
      </c>
      <c r="B126" s="76" t="s">
        <v>138</v>
      </c>
      <c r="C126" s="76" t="s">
        <v>17</v>
      </c>
      <c r="D126" s="77" t="s">
        <v>193</v>
      </c>
      <c r="E126" s="76" t="s">
        <v>95</v>
      </c>
      <c r="F126" s="78">
        <v>-3487.23</v>
      </c>
      <c r="G126" s="79">
        <v>45383</v>
      </c>
      <c r="H126" s="79">
        <v>45747</v>
      </c>
      <c r="I126" s="76">
        <v>364</v>
      </c>
      <c r="J126" s="78">
        <v>-852.64689560439592</v>
      </c>
      <c r="K126" s="78">
        <v>-296.9893681318681</v>
      </c>
      <c r="L126" s="84">
        <v>-277.83</v>
      </c>
      <c r="M126" s="78">
        <v>-277.83</v>
      </c>
      <c r="N126" s="78"/>
      <c r="O126" s="78"/>
      <c r="P126" s="78"/>
      <c r="Q126" s="78"/>
      <c r="R126" s="78"/>
      <c r="S126" s="78"/>
      <c r="T126" s="78"/>
      <c r="U126" s="78"/>
      <c r="V126" s="78"/>
      <c r="W126" s="78">
        <v>-852.64813186813171</v>
      </c>
      <c r="X126" s="78"/>
      <c r="Y126" s="78"/>
    </row>
    <row r="127" spans="1:25">
      <c r="A127" s="76" t="s">
        <v>137</v>
      </c>
      <c r="B127" s="76" t="s">
        <v>138</v>
      </c>
      <c r="C127" s="76" t="s">
        <v>17</v>
      </c>
      <c r="D127" s="77" t="s">
        <v>142</v>
      </c>
      <c r="E127" s="76" t="s">
        <v>93</v>
      </c>
      <c r="F127" s="78">
        <v>-10749.77</v>
      </c>
      <c r="G127" s="79">
        <v>45736</v>
      </c>
      <c r="H127" s="79">
        <v>46100</v>
      </c>
      <c r="I127" s="76">
        <v>364</v>
      </c>
      <c r="J127" s="78"/>
      <c r="K127" s="78"/>
      <c r="L127" s="78"/>
      <c r="M127" s="78">
        <v>-324.85568681318682</v>
      </c>
      <c r="N127" s="78">
        <v>-885.97005494505504</v>
      </c>
      <c r="O127" s="78">
        <v>-915.50239010989014</v>
      </c>
      <c r="P127" s="78">
        <v>-885.97005494505504</v>
      </c>
      <c r="Q127" s="78">
        <v>-915.50239010989014</v>
      </c>
      <c r="R127" s="78">
        <v>-915.50239010989014</v>
      </c>
      <c r="S127" s="78">
        <v>-885.97005494505504</v>
      </c>
      <c r="T127" s="78">
        <v>-915.50239010989014</v>
      </c>
      <c r="U127" s="78">
        <v>-885.97005494505504</v>
      </c>
      <c r="V127" s="78">
        <v>-915.50239010989014</v>
      </c>
      <c r="W127" s="78">
        <v>-8446.2478571428583</v>
      </c>
      <c r="X127" s="78">
        <v>-10749.77</v>
      </c>
      <c r="Y127" s="78"/>
    </row>
    <row r="128" spans="1:25">
      <c r="A128" s="76" t="s">
        <v>137</v>
      </c>
      <c r="B128" s="76" t="s">
        <v>138</v>
      </c>
      <c r="C128" s="76" t="s">
        <v>17</v>
      </c>
      <c r="D128" s="77" t="s">
        <v>194</v>
      </c>
      <c r="E128" s="76" t="s">
        <v>95</v>
      </c>
      <c r="F128" s="78">
        <v>-3591.83</v>
      </c>
      <c r="G128" s="79">
        <v>45748</v>
      </c>
      <c r="H128" s="79">
        <v>46112</v>
      </c>
      <c r="I128" s="76">
        <v>364</v>
      </c>
      <c r="J128" s="78"/>
      <c r="K128" s="78"/>
      <c r="L128" s="78"/>
      <c r="M128" s="78"/>
      <c r="N128" s="78">
        <v>-296.02994505494502</v>
      </c>
      <c r="O128" s="78">
        <v>-305.89760989010989</v>
      </c>
      <c r="P128" s="78">
        <v>-296.02994505494502</v>
      </c>
      <c r="Q128" s="78">
        <v>-305.89760989010989</v>
      </c>
      <c r="R128" s="78">
        <v>-305.89760989010989</v>
      </c>
      <c r="S128" s="78">
        <v>-296.02994505494502</v>
      </c>
      <c r="T128" s="78">
        <v>-305.89760989010989</v>
      </c>
      <c r="U128" s="78">
        <v>-296.02994505494502</v>
      </c>
      <c r="V128" s="78">
        <v>-305.89760989010989</v>
      </c>
      <c r="W128" s="78">
        <v>-2713.6078296703295</v>
      </c>
      <c r="X128" s="78">
        <v>-3591.83</v>
      </c>
      <c r="Y128" s="78"/>
    </row>
    <row r="129" spans="1:25">
      <c r="A129" s="76" t="s">
        <v>137</v>
      </c>
      <c r="B129" s="76" t="s">
        <v>138</v>
      </c>
      <c r="C129" s="76" t="s">
        <v>41</v>
      </c>
      <c r="D129" s="76" t="s">
        <v>195</v>
      </c>
      <c r="E129" s="76" t="s">
        <v>95</v>
      </c>
      <c r="F129" s="78">
        <v>-1100.48</v>
      </c>
      <c r="G129" s="79">
        <v>45352</v>
      </c>
      <c r="H129" s="79">
        <v>45716</v>
      </c>
      <c r="I129" s="76">
        <v>364</v>
      </c>
      <c r="J129" s="78">
        <v>-175.35120879120882</v>
      </c>
      <c r="K129" s="78">
        <v>-93.722197802197798</v>
      </c>
      <c r="L129" s="78">
        <v>-81.63</v>
      </c>
      <c r="M129" s="85"/>
      <c r="N129" s="78"/>
      <c r="O129" s="78"/>
      <c r="P129" s="78"/>
      <c r="Q129" s="78"/>
      <c r="R129" s="78"/>
      <c r="S129" s="78"/>
      <c r="T129" s="78"/>
      <c r="U129" s="78"/>
      <c r="V129" s="78"/>
      <c r="W129" s="78">
        <v>-175.35219780219779</v>
      </c>
      <c r="X129" s="78"/>
      <c r="Y129" s="78"/>
    </row>
    <row r="130" spans="1:25">
      <c r="A130" s="76" t="s">
        <v>137</v>
      </c>
      <c r="B130" s="76" t="s">
        <v>138</v>
      </c>
      <c r="C130" s="76" t="s">
        <v>41</v>
      </c>
      <c r="D130" s="76" t="s">
        <v>98</v>
      </c>
      <c r="E130" s="76" t="s">
        <v>93</v>
      </c>
      <c r="F130" s="78">
        <v>-765</v>
      </c>
      <c r="G130" s="79">
        <v>45314</v>
      </c>
      <c r="H130" s="79">
        <v>45679</v>
      </c>
      <c r="I130" s="76">
        <v>365</v>
      </c>
      <c r="J130" s="78">
        <v>-46.109589041096115</v>
      </c>
      <c r="K130" s="78">
        <v>-46.11</v>
      </c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>
        <v>-46.11</v>
      </c>
      <c r="X130" s="78"/>
      <c r="Y130" s="78"/>
    </row>
    <row r="131" spans="1:25">
      <c r="A131" s="76" t="s">
        <v>137</v>
      </c>
      <c r="B131" s="76" t="s">
        <v>138</v>
      </c>
      <c r="C131" s="76" t="s">
        <v>41</v>
      </c>
      <c r="D131" s="76" t="s">
        <v>99</v>
      </c>
      <c r="E131" s="76" t="s">
        <v>93</v>
      </c>
      <c r="F131" s="78">
        <v>-841.5</v>
      </c>
      <c r="G131" s="79">
        <v>45680</v>
      </c>
      <c r="H131" s="79">
        <v>46044</v>
      </c>
      <c r="I131" s="76">
        <v>364</v>
      </c>
      <c r="J131" s="78"/>
      <c r="K131" s="78">
        <v>-18.494505494505493</v>
      </c>
      <c r="L131" s="78">
        <v>-67.042582417582409</v>
      </c>
      <c r="M131" s="78">
        <v>-71.666208791208788</v>
      </c>
      <c r="N131" s="78">
        <v>-69.354395604395592</v>
      </c>
      <c r="O131" s="78">
        <v>-71.666208791208788</v>
      </c>
      <c r="P131" s="78">
        <v>-69.354395604395592</v>
      </c>
      <c r="Q131" s="78">
        <v>-71.666208791208788</v>
      </c>
      <c r="R131" s="78">
        <v>-71.666208791208788</v>
      </c>
      <c r="S131" s="78">
        <v>-69.354395604395592</v>
      </c>
      <c r="T131" s="78">
        <v>-71.666208791208788</v>
      </c>
      <c r="U131" s="78">
        <v>-69.354395604395592</v>
      </c>
      <c r="V131" s="78">
        <v>-71.666208791208788</v>
      </c>
      <c r="W131" s="78">
        <v>-792.95192307692287</v>
      </c>
      <c r="X131" s="78">
        <v>-841.5</v>
      </c>
      <c r="Y131" s="78"/>
    </row>
    <row r="132" spans="1:25">
      <c r="A132" s="76" t="s">
        <v>137</v>
      </c>
      <c r="B132" s="76" t="s">
        <v>138</v>
      </c>
      <c r="C132" s="76" t="s">
        <v>41</v>
      </c>
      <c r="D132" s="76" t="s">
        <v>196</v>
      </c>
      <c r="E132" s="76" t="s">
        <v>95</v>
      </c>
      <c r="F132" s="78">
        <v>-1133.52</v>
      </c>
      <c r="G132" s="79">
        <v>45717</v>
      </c>
      <c r="H132" s="79">
        <v>46081</v>
      </c>
      <c r="I132" s="76">
        <v>364</v>
      </c>
      <c r="J132" s="78"/>
      <c r="K132" s="78"/>
      <c r="L132" s="78"/>
      <c r="M132" s="78">
        <v>-96.536043956043954</v>
      </c>
      <c r="N132" s="78">
        <v>-93.42197802197802</v>
      </c>
      <c r="O132" s="78">
        <v>-96.536043956043954</v>
      </c>
      <c r="P132" s="78">
        <v>-93.42197802197802</v>
      </c>
      <c r="Q132" s="78">
        <v>-96.536043956043954</v>
      </c>
      <c r="R132" s="78">
        <v>-96.536043956043954</v>
      </c>
      <c r="S132" s="78">
        <v>-93.42197802197802</v>
      </c>
      <c r="T132" s="78">
        <v>-96.536043956043954</v>
      </c>
      <c r="U132" s="78">
        <v>-93.42197802197802</v>
      </c>
      <c r="V132" s="78">
        <v>-96.536043956043954</v>
      </c>
      <c r="W132" s="78">
        <v>-952.90417582417581</v>
      </c>
      <c r="X132" s="78">
        <v>-1133.52</v>
      </c>
      <c r="Y132" s="78"/>
    </row>
    <row r="133" spans="1:25">
      <c r="A133" s="76" t="s">
        <v>137</v>
      </c>
      <c r="B133" s="76" t="s">
        <v>154</v>
      </c>
      <c r="C133" s="76" t="s">
        <v>14</v>
      </c>
      <c r="D133" s="77"/>
      <c r="E133" s="76" t="s">
        <v>93</v>
      </c>
      <c r="F133" s="78">
        <v>-32968.1</v>
      </c>
      <c r="G133" s="79">
        <v>45365</v>
      </c>
      <c r="H133" s="79">
        <v>45729</v>
      </c>
      <c r="I133" s="76">
        <v>364</v>
      </c>
      <c r="J133" s="78">
        <v>-6521.162637362635</v>
      </c>
      <c r="K133" s="78">
        <v>-2807.7228021978021</v>
      </c>
      <c r="L133" s="78">
        <v>-2626.5793956043954</v>
      </c>
      <c r="M133" s="78">
        <v>-1086.8599999999999</v>
      </c>
      <c r="N133" s="78"/>
      <c r="O133" s="78"/>
      <c r="P133" s="78"/>
      <c r="Q133" s="78"/>
      <c r="R133" s="78"/>
      <c r="S133" s="78"/>
      <c r="T133" s="78"/>
      <c r="U133" s="78"/>
      <c r="V133" s="78"/>
      <c r="W133" s="78">
        <v>-6521.1621978021967</v>
      </c>
      <c r="X133" s="78"/>
      <c r="Y133" s="78"/>
    </row>
    <row r="134" spans="1:25">
      <c r="A134" s="76" t="s">
        <v>137</v>
      </c>
      <c r="B134" s="76" t="s">
        <v>154</v>
      </c>
      <c r="C134" s="76" t="s">
        <v>14</v>
      </c>
      <c r="D134" s="77" t="s">
        <v>197</v>
      </c>
      <c r="E134" s="76" t="s">
        <v>95</v>
      </c>
      <c r="F134" s="78">
        <v>-12745.19</v>
      </c>
      <c r="G134" s="79">
        <v>45383</v>
      </c>
      <c r="H134" s="79">
        <v>45747</v>
      </c>
      <c r="I134" s="76">
        <v>364</v>
      </c>
      <c r="J134" s="78">
        <v>-3116.2689835164838</v>
      </c>
      <c r="K134" s="78">
        <v>-1085.4420054945056</v>
      </c>
      <c r="L134" s="78">
        <v>-1015.413489010989</v>
      </c>
      <c r="M134" s="78">
        <v>-1015.41</v>
      </c>
      <c r="N134" s="78"/>
      <c r="O134" s="78"/>
      <c r="P134" s="78"/>
      <c r="Q134" s="78"/>
      <c r="R134" s="78"/>
      <c r="S134" s="78"/>
      <c r="T134" s="78"/>
      <c r="U134" s="78"/>
      <c r="V134" s="78"/>
      <c r="W134" s="78">
        <v>-3116.2654945054946</v>
      </c>
      <c r="X134" s="78"/>
      <c r="Y134" s="78"/>
    </row>
    <row r="135" spans="1:25">
      <c r="A135" s="76" t="s">
        <v>137</v>
      </c>
      <c r="B135" s="76" t="s">
        <v>154</v>
      </c>
      <c r="C135" s="76" t="s">
        <v>14</v>
      </c>
      <c r="D135" s="77" t="s">
        <v>142</v>
      </c>
      <c r="E135" s="76" t="s">
        <v>93</v>
      </c>
      <c r="F135" s="78">
        <v>-40345.81</v>
      </c>
      <c r="G135" s="79">
        <v>45730</v>
      </c>
      <c r="H135" s="79">
        <v>46094</v>
      </c>
      <c r="I135" s="76">
        <v>364</v>
      </c>
      <c r="J135" s="78"/>
      <c r="K135" s="78"/>
      <c r="L135" s="78"/>
      <c r="M135" s="78">
        <v>-1884.2823351648349</v>
      </c>
      <c r="N135" s="78">
        <v>-3325.2041208791206</v>
      </c>
      <c r="O135" s="78">
        <v>-3436.0442582417577</v>
      </c>
      <c r="P135" s="78">
        <v>-3325.2041208791206</v>
      </c>
      <c r="Q135" s="78">
        <v>-3436.0442582417577</v>
      </c>
      <c r="R135" s="78">
        <v>-3436.0442582417577</v>
      </c>
      <c r="S135" s="78">
        <v>-3325.2041208791206</v>
      </c>
      <c r="T135" s="78">
        <v>-3436.0442582417577</v>
      </c>
      <c r="U135" s="78">
        <v>-3325.2041208791206</v>
      </c>
      <c r="V135" s="78">
        <v>-3436.0442582417577</v>
      </c>
      <c r="W135" s="78">
        <v>-32365.320109890101</v>
      </c>
      <c r="X135" s="78">
        <v>-40345.81</v>
      </c>
      <c r="Y135" s="78"/>
    </row>
    <row r="136" spans="1:25">
      <c r="A136" s="76" t="s">
        <v>137</v>
      </c>
      <c r="B136" s="76" t="s">
        <v>154</v>
      </c>
      <c r="C136" s="76" t="s">
        <v>14</v>
      </c>
      <c r="D136" s="77" t="s">
        <v>198</v>
      </c>
      <c r="E136" s="76" t="s">
        <v>95</v>
      </c>
      <c r="F136" s="78">
        <v>-13127.59</v>
      </c>
      <c r="G136" s="79">
        <v>45748</v>
      </c>
      <c r="H136" s="79">
        <v>46112</v>
      </c>
      <c r="I136" s="76">
        <v>364</v>
      </c>
      <c r="J136" s="78"/>
      <c r="K136" s="78"/>
      <c r="L136" s="78"/>
      <c r="M136" s="78"/>
      <c r="N136" s="78">
        <v>-1081.9442307692309</v>
      </c>
      <c r="O136" s="78">
        <v>-1118.0090384615385</v>
      </c>
      <c r="P136" s="78">
        <v>-1081.9442307692309</v>
      </c>
      <c r="Q136" s="78">
        <v>-1118.0090384615385</v>
      </c>
      <c r="R136" s="78">
        <v>-1118.0090384615385</v>
      </c>
      <c r="S136" s="78">
        <v>-1081.9442307692309</v>
      </c>
      <c r="T136" s="78">
        <v>-1118.0090384615385</v>
      </c>
      <c r="U136" s="78">
        <v>-1081.9442307692309</v>
      </c>
      <c r="V136" s="78">
        <v>-1118.0090384615385</v>
      </c>
      <c r="W136" s="78">
        <v>-9917.8221153846152</v>
      </c>
      <c r="X136" s="78">
        <v>-13127.59</v>
      </c>
      <c r="Y136" s="78"/>
    </row>
    <row r="137" spans="1:25">
      <c r="A137" s="76" t="s">
        <v>137</v>
      </c>
      <c r="B137" s="76" t="s">
        <v>138</v>
      </c>
      <c r="C137" s="76" t="s">
        <v>25</v>
      </c>
      <c r="D137" s="77" t="s">
        <v>98</v>
      </c>
      <c r="E137" s="76" t="s">
        <v>199</v>
      </c>
      <c r="F137" s="78">
        <v>-2892.79</v>
      </c>
      <c r="G137" s="79">
        <v>45309</v>
      </c>
      <c r="H137" s="79">
        <v>45674</v>
      </c>
      <c r="I137" s="76">
        <v>365</v>
      </c>
      <c r="J137" s="78">
        <v>-134.73268493150681</v>
      </c>
      <c r="K137" s="78">
        <v>-134.72999999999999</v>
      </c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>
        <v>-134.72999999999999</v>
      </c>
      <c r="X137" s="78"/>
      <c r="Y137" s="78"/>
    </row>
    <row r="138" spans="1:25">
      <c r="A138" s="76" t="s">
        <v>137</v>
      </c>
      <c r="B138" s="76" t="s">
        <v>138</v>
      </c>
      <c r="C138" s="76" t="s">
        <v>25</v>
      </c>
      <c r="D138" s="77" t="s">
        <v>200</v>
      </c>
      <c r="E138" s="76" t="s">
        <v>199</v>
      </c>
      <c r="F138" s="78">
        <v>-831.6</v>
      </c>
      <c r="G138" s="79">
        <v>45532</v>
      </c>
      <c r="H138" s="79">
        <v>45896</v>
      </c>
      <c r="I138" s="76">
        <v>364</v>
      </c>
      <c r="J138" s="78">
        <v>-548.30769230769238</v>
      </c>
      <c r="K138" s="78">
        <v>-70.823076923076925</v>
      </c>
      <c r="L138" s="78">
        <v>-66.253846153846155</v>
      </c>
      <c r="M138" s="78">
        <v>-70.823076923076925</v>
      </c>
      <c r="N138" s="78">
        <v>-68.538461538461533</v>
      </c>
      <c r="O138" s="78">
        <v>-70.823076923076925</v>
      </c>
      <c r="P138" s="78">
        <v>-68.538461538461533</v>
      </c>
      <c r="Q138" s="78">
        <v>-70.823076923076925</v>
      </c>
      <c r="R138" s="78">
        <v>-61.68</v>
      </c>
      <c r="S138" s="78"/>
      <c r="T138" s="78"/>
      <c r="U138" s="78"/>
      <c r="V138" s="78"/>
      <c r="W138" s="78">
        <v>-548.30307692307701</v>
      </c>
      <c r="X138" s="78"/>
      <c r="Y138" s="78"/>
    </row>
    <row r="139" spans="1:25">
      <c r="A139" s="76" t="s">
        <v>137</v>
      </c>
      <c r="B139" s="76" t="s">
        <v>138</v>
      </c>
      <c r="C139" s="76" t="s">
        <v>25</v>
      </c>
      <c r="D139" s="77" t="s">
        <v>99</v>
      </c>
      <c r="E139" s="76" t="s">
        <v>199</v>
      </c>
      <c r="F139" s="78">
        <v>-2980.99</v>
      </c>
      <c r="G139" s="79">
        <v>45675</v>
      </c>
      <c r="H139" s="79">
        <v>46039</v>
      </c>
      <c r="I139" s="76">
        <v>364</v>
      </c>
      <c r="J139" s="78"/>
      <c r="K139" s="78">
        <v>-106.46392857142857</v>
      </c>
      <c r="L139" s="78">
        <v>-237.49645604395604</v>
      </c>
      <c r="M139" s="78">
        <v>-253.87552197802199</v>
      </c>
      <c r="N139" s="78">
        <v>-245.68598901098903</v>
      </c>
      <c r="O139" s="78">
        <v>-253.87552197802199</v>
      </c>
      <c r="P139" s="78">
        <v>-245.68598901098903</v>
      </c>
      <c r="Q139" s="78">
        <v>-253.87552197802199</v>
      </c>
      <c r="R139" s="78">
        <v>-253.87552197802199</v>
      </c>
      <c r="S139" s="78">
        <v>-245.68598901098903</v>
      </c>
      <c r="T139" s="78">
        <v>-253.87552197802199</v>
      </c>
      <c r="U139" s="78">
        <v>-245.68598901098903</v>
      </c>
      <c r="V139" s="78">
        <v>-253.87552197802199</v>
      </c>
      <c r="W139" s="78">
        <v>-2849.9574725274724</v>
      </c>
      <c r="X139" s="78">
        <v>-2980.99</v>
      </c>
      <c r="Y139" s="78"/>
    </row>
    <row r="140" spans="1:25">
      <c r="A140" s="76" t="s">
        <v>137</v>
      </c>
      <c r="B140" s="76" t="s">
        <v>138</v>
      </c>
      <c r="C140" s="76" t="s">
        <v>25</v>
      </c>
      <c r="D140" s="77" t="s">
        <v>201</v>
      </c>
      <c r="E140" s="76" t="s">
        <v>199</v>
      </c>
      <c r="F140" s="78">
        <v>-874.5</v>
      </c>
      <c r="G140" s="79">
        <v>45897</v>
      </c>
      <c r="H140" s="79">
        <v>46261</v>
      </c>
      <c r="I140" s="76">
        <v>364</v>
      </c>
      <c r="J140" s="78"/>
      <c r="K140" s="78"/>
      <c r="L140" s="78"/>
      <c r="M140" s="78"/>
      <c r="N140" s="78"/>
      <c r="O140" s="78"/>
      <c r="P140" s="78"/>
      <c r="Q140" s="78"/>
      <c r="R140" s="78"/>
      <c r="S140" s="78">
        <v>-79.281593406593402</v>
      </c>
      <c r="T140" s="78">
        <v>-74.47664835164835</v>
      </c>
      <c r="U140" s="78">
        <v>-72.074175824175825</v>
      </c>
      <c r="V140" s="78">
        <v>-74.47664835164835</v>
      </c>
      <c r="W140" s="78">
        <v>-300.30906593406593</v>
      </c>
      <c r="X140" s="78">
        <v>-874.5</v>
      </c>
      <c r="Y140" s="78"/>
    </row>
    <row r="141" spans="1:25">
      <c r="A141" s="76" t="s">
        <v>137</v>
      </c>
      <c r="B141" s="76" t="s">
        <v>154</v>
      </c>
      <c r="C141" s="76" t="s">
        <v>15</v>
      </c>
      <c r="D141" s="76" t="s">
        <v>202</v>
      </c>
      <c r="E141" s="76" t="s">
        <v>203</v>
      </c>
      <c r="F141" s="78">
        <v>-3060</v>
      </c>
      <c r="G141" s="79">
        <v>45427</v>
      </c>
      <c r="H141" s="79">
        <v>45791</v>
      </c>
      <c r="I141" s="76">
        <v>364</v>
      </c>
      <c r="J141" s="78">
        <v>-1126.483516483516</v>
      </c>
      <c r="K141" s="78">
        <v>-260.60439560439562</v>
      </c>
      <c r="L141" s="78">
        <v>-243.79120879120879</v>
      </c>
      <c r="M141" s="78">
        <v>-260.60439560439562</v>
      </c>
      <c r="N141" s="78">
        <v>-252.19780219780222</v>
      </c>
      <c r="O141" s="78">
        <v>-109.29</v>
      </c>
      <c r="P141" s="78"/>
      <c r="Q141" s="78"/>
      <c r="R141" s="78"/>
      <c r="S141" s="78"/>
      <c r="T141" s="78"/>
      <c r="U141" s="78"/>
      <c r="V141" s="78"/>
      <c r="W141" s="78">
        <v>-1126.4878021978022</v>
      </c>
      <c r="X141" s="78"/>
      <c r="Y141" s="78"/>
    </row>
    <row r="142" spans="1:25">
      <c r="A142" s="76" t="s">
        <v>137</v>
      </c>
      <c r="B142" s="76" t="s">
        <v>154</v>
      </c>
      <c r="C142" s="76" t="s">
        <v>15</v>
      </c>
      <c r="D142" s="76"/>
      <c r="E142" s="76" t="s">
        <v>204</v>
      </c>
      <c r="F142" s="78">
        <v>-1236.33</v>
      </c>
      <c r="G142" s="79">
        <v>45597</v>
      </c>
      <c r="H142" s="79">
        <v>45961</v>
      </c>
      <c r="I142" s="76">
        <v>364</v>
      </c>
      <c r="J142" s="78">
        <v>-1029.1428296703295</v>
      </c>
      <c r="K142" s="78">
        <v>-105.29184065934065</v>
      </c>
      <c r="L142" s="78">
        <v>-98.498818681318681</v>
      </c>
      <c r="M142" s="78">
        <v>-105.29184065934065</v>
      </c>
      <c r="N142" s="78">
        <v>-720.06</v>
      </c>
      <c r="O142" s="78"/>
      <c r="P142" s="78"/>
      <c r="Q142" s="78"/>
      <c r="R142" s="78"/>
      <c r="S142" s="78"/>
      <c r="T142" s="78"/>
      <c r="U142" s="78"/>
      <c r="V142" s="78"/>
      <c r="W142" s="78">
        <v>-1029.1424999999999</v>
      </c>
      <c r="X142" s="78"/>
      <c r="Y142" s="78"/>
    </row>
    <row r="143" spans="1:25">
      <c r="A143" s="76" t="s">
        <v>137</v>
      </c>
      <c r="B143" s="76" t="s">
        <v>154</v>
      </c>
      <c r="C143" s="76" t="s">
        <v>15</v>
      </c>
      <c r="D143" s="77"/>
      <c r="E143" s="76" t="s">
        <v>204</v>
      </c>
      <c r="F143" s="78">
        <v>1236.32</v>
      </c>
      <c r="G143" s="79">
        <v>45597</v>
      </c>
      <c r="H143" s="79">
        <v>45961</v>
      </c>
      <c r="I143" s="76">
        <v>364</v>
      </c>
      <c r="J143" s="78"/>
      <c r="K143" s="78"/>
      <c r="L143" s="78"/>
      <c r="M143" s="78">
        <v>516.26549450549453</v>
      </c>
      <c r="N143" s="78">
        <v>720.05</v>
      </c>
      <c r="O143" s="78"/>
      <c r="P143" s="78"/>
      <c r="Q143" s="78"/>
      <c r="R143" s="78"/>
      <c r="S143" s="78"/>
      <c r="T143" s="78"/>
      <c r="U143" s="78"/>
      <c r="V143" s="78"/>
      <c r="W143" s="78">
        <v>1236.3154945054944</v>
      </c>
      <c r="X143" s="78">
        <v>1236.32</v>
      </c>
      <c r="Y143" s="78"/>
    </row>
    <row r="144" spans="1:25">
      <c r="A144" s="76" t="s">
        <v>137</v>
      </c>
      <c r="B144" s="76" t="s">
        <v>154</v>
      </c>
      <c r="C144" s="76" t="s">
        <v>15</v>
      </c>
      <c r="D144" s="77" t="s">
        <v>151</v>
      </c>
      <c r="E144" s="76" t="s">
        <v>93</v>
      </c>
      <c r="F144" s="78">
        <v>-634.5</v>
      </c>
      <c r="G144" s="79">
        <v>45385</v>
      </c>
      <c r="H144" s="79">
        <v>45750</v>
      </c>
      <c r="I144" s="76">
        <v>365</v>
      </c>
      <c r="J144" s="78">
        <v>-161.66712328767113</v>
      </c>
      <c r="K144" s="78">
        <v>-53.889041095890413</v>
      </c>
      <c r="L144" s="78">
        <v>-50.412328767123292</v>
      </c>
      <c r="M144" s="78">
        <v>-53.889041095890413</v>
      </c>
      <c r="N144" s="78">
        <v>-3.48</v>
      </c>
      <c r="O144" s="78"/>
      <c r="P144" s="78"/>
      <c r="Q144" s="78"/>
      <c r="R144" s="78"/>
      <c r="S144" s="78"/>
      <c r="T144" s="78"/>
      <c r="U144" s="78"/>
      <c r="V144" s="78"/>
      <c r="W144" s="78">
        <v>-161.67041095890411</v>
      </c>
      <c r="X144" s="78"/>
      <c r="Y144" s="78"/>
    </row>
    <row r="145" spans="1:25">
      <c r="A145" s="76" t="s">
        <v>137</v>
      </c>
      <c r="B145" s="76" t="s">
        <v>154</v>
      </c>
      <c r="C145" s="76" t="s">
        <v>15</v>
      </c>
      <c r="D145" s="77" t="s">
        <v>173</v>
      </c>
      <c r="E145" s="76" t="s">
        <v>93</v>
      </c>
      <c r="F145" s="78">
        <v>-561</v>
      </c>
      <c r="G145" s="79">
        <v>45385</v>
      </c>
      <c r="H145" s="79">
        <v>45750</v>
      </c>
      <c r="I145" s="76">
        <v>365</v>
      </c>
      <c r="J145" s="78">
        <v>-142.93972602739723</v>
      </c>
      <c r="K145" s="78">
        <v>-47.646575342465752</v>
      </c>
      <c r="L145" s="78">
        <v>-44.57260273972603</v>
      </c>
      <c r="M145" s="78">
        <v>-47.646575342465752</v>
      </c>
      <c r="N145" s="78">
        <v>-3.07</v>
      </c>
      <c r="O145" s="78"/>
      <c r="P145" s="78"/>
      <c r="Q145" s="78"/>
      <c r="R145" s="78"/>
      <c r="S145" s="78"/>
      <c r="T145" s="78"/>
      <c r="U145" s="78"/>
      <c r="V145" s="78"/>
      <c r="W145" s="78">
        <v>-142.93575342465752</v>
      </c>
      <c r="X145" s="78"/>
      <c r="Y145" s="78"/>
    </row>
    <row r="146" spans="1:25">
      <c r="A146" s="76" t="s">
        <v>137</v>
      </c>
      <c r="B146" s="76" t="s">
        <v>154</v>
      </c>
      <c r="C146" s="76" t="s">
        <v>15</v>
      </c>
      <c r="D146" s="77" t="s">
        <v>205</v>
      </c>
      <c r="E146" s="76" t="s">
        <v>206</v>
      </c>
      <c r="F146" s="78">
        <v>-250.2</v>
      </c>
      <c r="G146" s="79">
        <v>45405</v>
      </c>
      <c r="H146" s="79">
        <v>45770</v>
      </c>
      <c r="I146" s="76">
        <v>365</v>
      </c>
      <c r="J146" s="78">
        <v>-77.459178082191784</v>
      </c>
      <c r="K146" s="78">
        <v>-21.249863013698629</v>
      </c>
      <c r="L146" s="78">
        <v>-19.878904109589037</v>
      </c>
      <c r="M146" s="78">
        <v>-21.249863013698629</v>
      </c>
      <c r="N146" s="78">
        <v>-15.08</v>
      </c>
      <c r="O146" s="78"/>
      <c r="P146" s="78"/>
      <c r="Q146" s="78"/>
      <c r="R146" s="78"/>
      <c r="S146" s="78"/>
      <c r="T146" s="78"/>
      <c r="U146" s="78"/>
      <c r="V146" s="78"/>
      <c r="W146" s="78">
        <v>-77.458630136986301</v>
      </c>
      <c r="X146" s="78"/>
      <c r="Y146" s="78"/>
    </row>
    <row r="147" spans="1:25">
      <c r="A147" s="76" t="s">
        <v>137</v>
      </c>
      <c r="B147" s="76" t="s">
        <v>154</v>
      </c>
      <c r="C147" s="76" t="s">
        <v>15</v>
      </c>
      <c r="D147" s="77" t="s">
        <v>176</v>
      </c>
      <c r="E147" s="76" t="s">
        <v>93</v>
      </c>
      <c r="F147" s="78">
        <v>-644.33000000000004</v>
      </c>
      <c r="G147" s="79">
        <v>45711</v>
      </c>
      <c r="H147" s="79">
        <v>46075</v>
      </c>
      <c r="I147" s="76">
        <v>364</v>
      </c>
      <c r="J147" s="78"/>
      <c r="K147" s="78"/>
      <c r="L147" s="78">
        <v>-8.8506868131868135</v>
      </c>
      <c r="M147" s="78">
        <v>-54.874258241758241</v>
      </c>
      <c r="N147" s="78">
        <v>-53.104120879120877</v>
      </c>
      <c r="O147" s="78">
        <v>-54.874258241758241</v>
      </c>
      <c r="P147" s="78">
        <v>-53.104120879120877</v>
      </c>
      <c r="Q147" s="78">
        <v>-54.874258241758241</v>
      </c>
      <c r="R147" s="78">
        <v>-54.874258241758241</v>
      </c>
      <c r="S147" s="78">
        <v>-53.104120879120877</v>
      </c>
      <c r="T147" s="78">
        <v>-54.874258241758241</v>
      </c>
      <c r="U147" s="78">
        <v>-53.104120879120877</v>
      </c>
      <c r="V147" s="78">
        <v>-54.874258241758241</v>
      </c>
      <c r="W147" s="78">
        <v>-550.51271978021987</v>
      </c>
      <c r="X147" s="78">
        <v>-644.33000000000004</v>
      </c>
      <c r="Y147" s="78"/>
    </row>
    <row r="148" spans="1:25">
      <c r="A148" s="76" t="s">
        <v>137</v>
      </c>
      <c r="B148" s="76" t="s">
        <v>154</v>
      </c>
      <c r="C148" s="76" t="s">
        <v>15</v>
      </c>
      <c r="D148" s="77" t="s">
        <v>207</v>
      </c>
      <c r="E148" s="76" t="s">
        <v>203</v>
      </c>
      <c r="F148" s="78">
        <v>-3060</v>
      </c>
      <c r="G148" s="79">
        <v>45771</v>
      </c>
      <c r="H148" s="79">
        <v>46135</v>
      </c>
      <c r="I148" s="76">
        <v>364</v>
      </c>
      <c r="J148" s="78"/>
      <c r="K148" s="78"/>
      <c r="L148" s="78"/>
      <c r="M148" s="78"/>
      <c r="N148" s="78">
        <v>-50.439560439560438</v>
      </c>
      <c r="O148" s="78">
        <v>-260.60439560439562</v>
      </c>
      <c r="P148" s="78">
        <v>-252.19780219780222</v>
      </c>
      <c r="Q148" s="78">
        <v>-260.60439560439562</v>
      </c>
      <c r="R148" s="78">
        <v>-260.60439560439562</v>
      </c>
      <c r="S148" s="78">
        <v>-252.19780219780222</v>
      </c>
      <c r="T148" s="78">
        <v>-260.60439560439562</v>
      </c>
      <c r="U148" s="78">
        <v>-252.19780219780222</v>
      </c>
      <c r="V148" s="78">
        <v>-260.60439560439562</v>
      </c>
      <c r="W148" s="78">
        <v>-2110.0549450549456</v>
      </c>
      <c r="X148" s="78">
        <v>-3060</v>
      </c>
      <c r="Y148" s="78"/>
    </row>
    <row r="149" spans="1:25">
      <c r="A149" s="76" t="s">
        <v>137</v>
      </c>
      <c r="B149" s="76" t="s">
        <v>154</v>
      </c>
      <c r="C149" s="76" t="s">
        <v>15</v>
      </c>
      <c r="D149" s="77" t="s">
        <v>208</v>
      </c>
      <c r="E149" s="76" t="s">
        <v>206</v>
      </c>
      <c r="F149" s="78">
        <v>-301.25</v>
      </c>
      <c r="G149" s="79">
        <v>45770</v>
      </c>
      <c r="H149" s="79">
        <v>46134</v>
      </c>
      <c r="I149" s="76">
        <v>364</v>
      </c>
      <c r="J149" s="78"/>
      <c r="K149" s="78"/>
      <c r="L149" s="78"/>
      <c r="M149" s="78"/>
      <c r="N149" s="78">
        <v>-5.7932692307692299</v>
      </c>
      <c r="O149" s="78">
        <v>-25.655906593406591</v>
      </c>
      <c r="P149" s="78">
        <v>-24.828296703296701</v>
      </c>
      <c r="Q149" s="78">
        <v>-25.655906593406591</v>
      </c>
      <c r="R149" s="78">
        <v>-25.655906593406591</v>
      </c>
      <c r="S149" s="78">
        <v>-24.828296703296701</v>
      </c>
      <c r="T149" s="78">
        <v>-25.655906593406591</v>
      </c>
      <c r="U149" s="78">
        <v>-24.828296703296701</v>
      </c>
      <c r="V149" s="78">
        <v>-25.655906593406591</v>
      </c>
    </row>
    <row r="150" spans="1:25">
      <c r="A150" s="76" t="s">
        <v>137</v>
      </c>
      <c r="B150" s="76" t="s">
        <v>154</v>
      </c>
      <c r="C150" s="76" t="s">
        <v>15</v>
      </c>
      <c r="D150" s="77" t="s">
        <v>144</v>
      </c>
      <c r="E150" s="76" t="s">
        <v>93</v>
      </c>
      <c r="F150" s="78">
        <v>-735.08</v>
      </c>
      <c r="G150" s="79">
        <v>45750</v>
      </c>
      <c r="H150" s="79">
        <v>46114</v>
      </c>
      <c r="I150" s="76">
        <v>364</v>
      </c>
      <c r="J150" s="78"/>
      <c r="K150" s="78"/>
      <c r="L150" s="78"/>
      <c r="M150" s="78"/>
      <c r="N150" s="78">
        <v>-54.525164835164837</v>
      </c>
      <c r="O150" s="78">
        <v>-62.602967032967037</v>
      </c>
      <c r="P150" s="78">
        <v>-60.583516483516483</v>
      </c>
      <c r="Q150" s="78">
        <v>-62.602967032967037</v>
      </c>
      <c r="R150" s="78">
        <v>-62.602967032967037</v>
      </c>
      <c r="S150" s="78">
        <v>-60.583516483516483</v>
      </c>
      <c r="T150" s="78">
        <v>-62.602967032967037</v>
      </c>
      <c r="U150" s="78">
        <v>-60.583516483516483</v>
      </c>
      <c r="V150" s="78">
        <v>-62.602967032967037</v>
      </c>
      <c r="W150" s="78">
        <v>-549.29054945054941</v>
      </c>
      <c r="X150" s="78">
        <v>-735.08</v>
      </c>
      <c r="Y150" s="78"/>
    </row>
    <row r="151" spans="1:25">
      <c r="A151" s="76" t="s">
        <v>137</v>
      </c>
      <c r="B151" s="76" t="s">
        <v>154</v>
      </c>
      <c r="C151" s="76" t="s">
        <v>15</v>
      </c>
      <c r="D151" s="77" t="s">
        <v>209</v>
      </c>
      <c r="E151" s="76" t="s">
        <v>210</v>
      </c>
      <c r="F151" s="78">
        <v>-57885.77</v>
      </c>
      <c r="G151" s="79">
        <v>45770</v>
      </c>
      <c r="H151" s="79">
        <v>46134</v>
      </c>
      <c r="I151" s="76">
        <v>364</v>
      </c>
      <c r="J151" s="78"/>
      <c r="K151" s="78"/>
      <c r="L151" s="78"/>
      <c r="M151" s="78"/>
      <c r="N151" s="78"/>
      <c r="O151" s="78">
        <v>-6043.0199450549444</v>
      </c>
      <c r="P151" s="78">
        <v>-4770.8052197802199</v>
      </c>
      <c r="Q151" s="78">
        <v>-4929.8320604395603</v>
      </c>
      <c r="R151" s="78">
        <v>-4929.8320604395603</v>
      </c>
      <c r="S151" s="78">
        <v>-4770.8052197802199</v>
      </c>
      <c r="T151" s="78">
        <v>-4929.8320604395603</v>
      </c>
      <c r="U151" s="78">
        <v>-4770.8052197802199</v>
      </c>
      <c r="V151" s="78">
        <v>-4929.8320604395603</v>
      </c>
      <c r="W151" s="78">
        <v>-40074.763846153844</v>
      </c>
      <c r="X151" s="78">
        <v>-57885.77</v>
      </c>
      <c r="Y151" s="78"/>
    </row>
    <row r="152" spans="1:25">
      <c r="A152" s="76" t="s">
        <v>211</v>
      </c>
      <c r="C152" s="76" t="s">
        <v>11</v>
      </c>
      <c r="D152" s="76"/>
      <c r="E152" s="76" t="s">
        <v>93</v>
      </c>
      <c r="F152" s="78">
        <v>-110917.74</v>
      </c>
      <c r="G152" s="79">
        <v>45383</v>
      </c>
      <c r="H152" s="79">
        <v>45747</v>
      </c>
      <c r="I152" s="76">
        <f>H152-G152</f>
        <v>364</v>
      </c>
      <c r="J152" s="78">
        <v>-27119.996868131871</v>
      </c>
      <c r="K152" s="78">
        <v>-9446.2910439560437</v>
      </c>
      <c r="L152" s="78">
        <v>-8836.852912087912</v>
      </c>
      <c r="M152" s="78">
        <v>-8836.85</v>
      </c>
      <c r="N152" s="78"/>
      <c r="O152" s="78"/>
      <c r="P152" s="78"/>
      <c r="Q152" s="78"/>
      <c r="R152" s="78"/>
      <c r="S152" s="78"/>
      <c r="T152" s="78"/>
      <c r="U152" s="78"/>
      <c r="V152" s="78"/>
      <c r="W152" s="78">
        <v>-27119.993956043952</v>
      </c>
      <c r="X152" s="78"/>
      <c r="Y152" s="78"/>
    </row>
    <row r="153" spans="1:25">
      <c r="A153" s="76" t="s">
        <v>211</v>
      </c>
      <c r="C153" s="76" t="s">
        <v>11</v>
      </c>
      <c r="D153" s="76" t="s">
        <v>212</v>
      </c>
      <c r="E153" s="76" t="s">
        <v>213</v>
      </c>
      <c r="F153" s="78">
        <v>-7032.2</v>
      </c>
      <c r="G153" s="79">
        <v>45663</v>
      </c>
      <c r="H153" s="79">
        <v>46027</v>
      </c>
      <c r="I153" s="76">
        <f>H153-G153</f>
        <v>364</v>
      </c>
      <c r="J153" s="78">
        <v>-7032.2</v>
      </c>
      <c r="K153" s="78">
        <v>-482.98076923076917</v>
      </c>
      <c r="L153" s="78">
        <v>-560.2576923076922</v>
      </c>
      <c r="M153" s="78">
        <v>-598.89615384615377</v>
      </c>
      <c r="N153" s="78">
        <v>-579.57692307692298</v>
      </c>
      <c r="O153" s="78">
        <v>-598.89615384615377</v>
      </c>
      <c r="P153" s="78">
        <v>-579.57692307692298</v>
      </c>
      <c r="Q153" s="78">
        <v>-598.89615384615377</v>
      </c>
      <c r="R153" s="78">
        <v>-598.89615384615377</v>
      </c>
      <c r="S153" s="78">
        <v>-579.57692307692298</v>
      </c>
      <c r="T153" s="78">
        <v>-598.89615384615377</v>
      </c>
      <c r="U153" s="78">
        <v>-579.57692307692298</v>
      </c>
      <c r="V153" s="78">
        <v>-598.89615384615377</v>
      </c>
      <c r="W153" s="78">
        <v>-6954.9230769230744</v>
      </c>
      <c r="X153" s="78"/>
      <c r="Y153" s="78"/>
    </row>
    <row r="154" spans="1:25">
      <c r="A154" s="76" t="s">
        <v>211</v>
      </c>
      <c r="C154" s="76" t="s">
        <v>11</v>
      </c>
      <c r="D154" s="76" t="s">
        <v>214</v>
      </c>
      <c r="E154" s="76" t="s">
        <v>213</v>
      </c>
      <c r="F154" s="78">
        <v>-6511.29</v>
      </c>
      <c r="G154" s="79">
        <v>45297</v>
      </c>
      <c r="H154" s="79">
        <v>45662</v>
      </c>
      <c r="I154" s="76">
        <v>365</v>
      </c>
      <c r="J154" s="78">
        <v>-89.195753424656687</v>
      </c>
      <c r="K154" s="78">
        <v>-89.2</v>
      </c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>
        <v>-89.2</v>
      </c>
      <c r="X154" s="78"/>
      <c r="Y154" s="78"/>
    </row>
    <row r="155" spans="1:25">
      <c r="A155" s="76" t="s">
        <v>211</v>
      </c>
      <c r="C155" s="76" t="s">
        <v>11</v>
      </c>
      <c r="D155" s="76" t="s">
        <v>142</v>
      </c>
      <c r="E155" s="76" t="s">
        <v>93</v>
      </c>
      <c r="F155" s="78">
        <v>-129359.57</v>
      </c>
      <c r="G155" s="79">
        <v>45748</v>
      </c>
      <c r="H155" s="79">
        <v>46112</v>
      </c>
      <c r="I155" s="76">
        <v>365</v>
      </c>
      <c r="J155" s="78"/>
      <c r="K155" s="78"/>
      <c r="L155" s="78"/>
      <c r="M155" s="78"/>
      <c r="N155" s="78">
        <v>-10632.293424657535</v>
      </c>
      <c r="O155" s="78">
        <v>-10986.703205479453</v>
      </c>
      <c r="P155" s="78">
        <v>-10632.293424657535</v>
      </c>
      <c r="Q155" s="78">
        <v>-10986.703205479453</v>
      </c>
      <c r="R155" s="78">
        <v>-10986.703205479453</v>
      </c>
      <c r="S155" s="78">
        <v>-10632.293424657535</v>
      </c>
      <c r="T155" s="78">
        <v>-10986.703205479453</v>
      </c>
      <c r="U155" s="78">
        <v>-10632.293424657535</v>
      </c>
      <c r="V155" s="78">
        <v>-10986.703205479453</v>
      </c>
      <c r="W155" s="78">
        <v>-97462.689726027398</v>
      </c>
      <c r="X155" s="78">
        <v>-129359.57</v>
      </c>
      <c r="Y155" s="78"/>
    </row>
    <row r="156" spans="1:25">
      <c r="A156" s="83"/>
      <c r="C156" s="83" t="s">
        <v>50</v>
      </c>
      <c r="D156" s="86"/>
      <c r="E156" s="87" t="s">
        <v>215</v>
      </c>
      <c r="F156" s="88">
        <v>-278.22000000000003</v>
      </c>
      <c r="I156" s="76">
        <v>365</v>
      </c>
      <c r="K156" s="88"/>
      <c r="L156" s="88">
        <v>-278.22000000000003</v>
      </c>
      <c r="Y156" s="89">
        <f>SUM(K156:V156)</f>
        <v>-278.22000000000003</v>
      </c>
    </row>
    <row r="159" spans="1:25">
      <c r="A159" s="5" t="s">
        <v>62</v>
      </c>
      <c r="B159" t="s">
        <v>63</v>
      </c>
      <c r="C159" t="s">
        <v>64</v>
      </c>
      <c r="D159" t="s">
        <v>65</v>
      </c>
      <c r="E159" t="s">
        <v>66</v>
      </c>
      <c r="F159" t="s">
        <v>67</v>
      </c>
      <c r="G159" t="s">
        <v>68</v>
      </c>
      <c r="H159" t="s">
        <v>69</v>
      </c>
      <c r="I159" t="s">
        <v>70</v>
      </c>
      <c r="J159" t="s">
        <v>71</v>
      </c>
      <c r="K159" t="s">
        <v>72</v>
      </c>
      <c r="L159" t="s">
        <v>73</v>
      </c>
      <c r="M159" t="s">
        <v>74</v>
      </c>
      <c r="N159" t="s">
        <v>75</v>
      </c>
    </row>
    <row r="160" spans="1:25">
      <c r="A160" s="1" t="s">
        <v>35</v>
      </c>
      <c r="B160" s="47">
        <v>-140.57648351648351</v>
      </c>
      <c r="C160" s="47">
        <v>-131.50703296703296</v>
      </c>
      <c r="D160" s="47">
        <v>-133.12626373626375</v>
      </c>
      <c r="E160" s="47">
        <v>-153.10549450549451</v>
      </c>
      <c r="F160" s="47">
        <v>-158.20901098901101</v>
      </c>
      <c r="G160" s="47">
        <v>-153.10549450549451</v>
      </c>
      <c r="H160" s="47">
        <v>-158.20901098901101</v>
      </c>
      <c r="I160" s="47">
        <v>-158.20901098901101</v>
      </c>
      <c r="J160" s="47">
        <v>-153.10549450549451</v>
      </c>
      <c r="K160" s="47">
        <v>-158.20901098901101</v>
      </c>
      <c r="L160" s="47">
        <v>-153.10549450549451</v>
      </c>
      <c r="M160" s="47">
        <v>-158.20901098901101</v>
      </c>
      <c r="N160" s="47">
        <v>-1808.6768131868134</v>
      </c>
    </row>
    <row r="161" spans="1:14">
      <c r="A161" s="1" t="s">
        <v>32</v>
      </c>
      <c r="B161" s="47">
        <v>-67.961538461538467</v>
      </c>
      <c r="C161" s="47">
        <v>-63.57692307692308</v>
      </c>
      <c r="D161" s="47">
        <v>-67.961538461538467</v>
      </c>
      <c r="E161" s="47">
        <v>-79.117500000000007</v>
      </c>
      <c r="F161" s="47">
        <v>-78.551785714285714</v>
      </c>
      <c r="G161" s="47">
        <v>-76.017857142857139</v>
      </c>
      <c r="H161" s="47">
        <v>-78.551785714285714</v>
      </c>
      <c r="I161" s="47">
        <v>-78.551785714285714</v>
      </c>
      <c r="J161" s="47">
        <v>-76.017857142857139</v>
      </c>
      <c r="K161" s="47">
        <v>-78.551785714285714</v>
      </c>
      <c r="L161" s="47">
        <v>-76.017857142857139</v>
      </c>
      <c r="M161" s="47">
        <v>-78.551785714285714</v>
      </c>
      <c r="N161" s="47">
        <v>-899.43000000000006</v>
      </c>
    </row>
    <row r="162" spans="1:14">
      <c r="A162" s="1" t="s">
        <v>27</v>
      </c>
      <c r="B162" s="47">
        <v>-632.05467032967033</v>
      </c>
      <c r="C162" s="47">
        <v>-576.38456043956035</v>
      </c>
      <c r="D162" s="47">
        <v>-616.1352197802197</v>
      </c>
      <c r="E162" s="47">
        <v>-596.25989010989008</v>
      </c>
      <c r="F162" s="47">
        <v>-616.1352197802197</v>
      </c>
      <c r="G162" s="47">
        <v>-596.25989010989008</v>
      </c>
      <c r="H162" s="47">
        <v>-616.1352197802197</v>
      </c>
      <c r="I162" s="47">
        <v>-616.1352197802197</v>
      </c>
      <c r="J162" s="47">
        <v>-555.96318681318678</v>
      </c>
      <c r="K162" s="47">
        <v>-637.91612637362641</v>
      </c>
      <c r="L162" s="47">
        <v>-617.33818681318678</v>
      </c>
      <c r="M162" s="47">
        <v>-637.91612637362641</v>
      </c>
      <c r="N162" s="47">
        <v>-7314.6335164835173</v>
      </c>
    </row>
    <row r="163" spans="1:14">
      <c r="A163" s="1" t="s">
        <v>22</v>
      </c>
      <c r="B163" s="47">
        <v>-212.9548901098901</v>
      </c>
      <c r="C163" s="47">
        <v>-199.98686813186811</v>
      </c>
      <c r="D163" s="47">
        <v>-213.77906593406593</v>
      </c>
      <c r="E163" s="47">
        <v>-206.88296703296703</v>
      </c>
      <c r="F163" s="47">
        <v>-213.77906593406593</v>
      </c>
      <c r="G163" s="47">
        <v>-206.88296703296703</v>
      </c>
      <c r="H163" s="47">
        <v>-213.77906593406593</v>
      </c>
      <c r="I163" s="47">
        <v>-213.77906593406593</v>
      </c>
      <c r="J163" s="47">
        <v>-206.88296703296703</v>
      </c>
      <c r="K163" s="47">
        <v>-213.77906593406593</v>
      </c>
      <c r="L163" s="47">
        <v>-206.88296703296703</v>
      </c>
      <c r="M163" s="47">
        <v>-213.77906593406593</v>
      </c>
      <c r="N163" s="47">
        <v>-2523.1480219780219</v>
      </c>
    </row>
    <row r="164" spans="1:14">
      <c r="A164" s="1" t="s">
        <v>29</v>
      </c>
      <c r="B164" s="47">
        <v>-955.45340659340661</v>
      </c>
      <c r="C164" s="47">
        <v>-992.80543956043959</v>
      </c>
      <c r="D164" s="47">
        <v>-1061.2747802197803</v>
      </c>
      <c r="E164" s="47">
        <v>-1027.04010989011</v>
      </c>
      <c r="F164" s="47">
        <v>-1061.2747802197803</v>
      </c>
      <c r="G164" s="47">
        <v>-1027.04010989011</v>
      </c>
      <c r="H164" s="47">
        <v>-1061.2747802197803</v>
      </c>
      <c r="I164" s="47">
        <v>-1061.2747802197803</v>
      </c>
      <c r="J164" s="47">
        <v>-1027.04010989011</v>
      </c>
      <c r="K164" s="47">
        <v>-1061.2747802197803</v>
      </c>
      <c r="L164" s="47">
        <v>-1154.396153846154</v>
      </c>
      <c r="M164" s="47">
        <v>-1212.5956593406593</v>
      </c>
      <c r="N164" s="47">
        <v>-12702.744890109892</v>
      </c>
    </row>
    <row r="165" spans="1:14">
      <c r="A165" s="1" t="s">
        <v>57</v>
      </c>
      <c r="B165" s="47"/>
      <c r="C165" s="47"/>
      <c r="D165" s="47"/>
      <c r="E165" s="47"/>
      <c r="F165" s="47"/>
      <c r="G165" s="47"/>
      <c r="H165" s="47">
        <v>-3.2637637362637362</v>
      </c>
      <c r="I165" s="47">
        <v>-101.17667582417582</v>
      </c>
      <c r="J165" s="47">
        <v>104.44</v>
      </c>
      <c r="K165" s="47"/>
      <c r="L165" s="47"/>
      <c r="M165" s="47"/>
      <c r="N165" s="47">
        <v>-4.3956043955972746E-4</v>
      </c>
    </row>
    <row r="166" spans="1:14">
      <c r="A166" s="1" t="s">
        <v>18</v>
      </c>
      <c r="B166" s="47">
        <v>-155.84931506849315</v>
      </c>
      <c r="C166" s="47">
        <v>-145.79452054794521</v>
      </c>
      <c r="D166" s="47">
        <v>-155.84931506849315</v>
      </c>
      <c r="E166" s="47">
        <v>-150.82191780821918</v>
      </c>
      <c r="F166" s="47">
        <v>-155.84931506849315</v>
      </c>
      <c r="G166" s="47">
        <v>-145.79</v>
      </c>
      <c r="H166" s="47"/>
      <c r="I166" s="47"/>
      <c r="J166" s="47"/>
      <c r="K166" s="47"/>
      <c r="L166" s="47"/>
      <c r="M166" s="47"/>
      <c r="N166" s="47">
        <v>-909.95438356164379</v>
      </c>
    </row>
    <row r="167" spans="1:14">
      <c r="A167" s="1" t="s">
        <v>40</v>
      </c>
      <c r="B167" s="47">
        <v>-82.014986903507463</v>
      </c>
      <c r="C167" s="47">
        <v>-50.019560439560436</v>
      </c>
      <c r="D167" s="47">
        <v>-13.030219780219781</v>
      </c>
      <c r="E167" s="47">
        <v>-12.609890109890109</v>
      </c>
      <c r="F167" s="47">
        <v>-8.1958791208791197</v>
      </c>
      <c r="G167" s="47">
        <v>-340.4520604395604</v>
      </c>
      <c r="H167" s="47">
        <v>-83.217115384615369</v>
      </c>
      <c r="I167" s="47">
        <v>-83.217115384615369</v>
      </c>
      <c r="J167" s="47">
        <v>-80.532692307692301</v>
      </c>
      <c r="K167" s="47">
        <v>-83.217115384615369</v>
      </c>
      <c r="L167" s="47">
        <v>-80.532692307692301</v>
      </c>
      <c r="M167" s="47">
        <v>-83.217115384615369</v>
      </c>
      <c r="N167" s="47">
        <v>-1000.2564429474634</v>
      </c>
    </row>
    <row r="168" spans="1:14">
      <c r="A168" s="1" t="s">
        <v>28</v>
      </c>
      <c r="B168" s="47">
        <v>-332.87892857142856</v>
      </c>
      <c r="C168" s="47">
        <v>-324.19848901098896</v>
      </c>
      <c r="D168" s="47">
        <v>-346.55700549450546</v>
      </c>
      <c r="E168" s="47">
        <v>-335.37774725274721</v>
      </c>
      <c r="F168" s="47">
        <v>-345.61260989010987</v>
      </c>
      <c r="G168" s="47">
        <v>-343.38873626373623</v>
      </c>
      <c r="H168" s="47">
        <v>-354.83502747252749</v>
      </c>
      <c r="I168" s="47">
        <v>-328.3837362637363</v>
      </c>
      <c r="J168" s="47">
        <v>-346.38296703296703</v>
      </c>
      <c r="K168" s="47">
        <v>-357.92906593406593</v>
      </c>
      <c r="L168" s="47">
        <v>-346.38296703296703</v>
      </c>
      <c r="M168" s="47">
        <v>-357.92906593406593</v>
      </c>
      <c r="N168" s="47">
        <v>-4119.8563461538452</v>
      </c>
    </row>
    <row r="169" spans="1:14">
      <c r="A169" s="1" t="s">
        <v>50</v>
      </c>
      <c r="B169" s="47">
        <v>66.307726027397266</v>
      </c>
      <c r="C169" s="47">
        <v>-735.80000000000007</v>
      </c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>
        <v>-391.27227397260276</v>
      </c>
    </row>
    <row r="170" spans="1:14">
      <c r="A170" s="1" t="s">
        <v>46</v>
      </c>
      <c r="B170" s="47">
        <v>-555.77340659340655</v>
      </c>
      <c r="C170" s="47">
        <v>-568.02793956043956</v>
      </c>
      <c r="D170" s="47">
        <v>-607.20228021978016</v>
      </c>
      <c r="E170" s="47">
        <v>-587.61510989010981</v>
      </c>
      <c r="F170" s="47">
        <v>-607.20228021978016</v>
      </c>
      <c r="G170" s="47">
        <v>-587.61510989010981</v>
      </c>
      <c r="H170" s="47">
        <v>-607.20228021978016</v>
      </c>
      <c r="I170" s="47">
        <v>-607.20228021978016</v>
      </c>
      <c r="J170" s="47">
        <v>-587.61510989010981</v>
      </c>
      <c r="K170" s="47">
        <v>-607.20228021978016</v>
      </c>
      <c r="L170" s="47">
        <v>-587.61510989010981</v>
      </c>
      <c r="M170" s="47">
        <v>-607.20228021978016</v>
      </c>
      <c r="N170" s="47">
        <v>-7117.4754670329658</v>
      </c>
    </row>
    <row r="171" spans="1:14">
      <c r="A171" s="1" t="s">
        <v>26</v>
      </c>
      <c r="B171" s="47">
        <v>-89.653021978021982</v>
      </c>
      <c r="C171" s="47">
        <v>-83.868956043956047</v>
      </c>
      <c r="D171" s="47">
        <v>-89.653021978021982</v>
      </c>
      <c r="E171" s="47">
        <v>-86.760989010989007</v>
      </c>
      <c r="F171" s="47">
        <v>-89.653021978021982</v>
      </c>
      <c r="G171" s="47">
        <v>-86.760989010989007</v>
      </c>
      <c r="H171" s="47">
        <v>-89.653021978021982</v>
      </c>
      <c r="I171" s="47">
        <v>-89.653021978021982</v>
      </c>
      <c r="J171" s="47">
        <v>-86.760989010989007</v>
      </c>
      <c r="K171" s="47">
        <v>-89.653021978021982</v>
      </c>
      <c r="L171" s="47">
        <v>-86.760989010989007</v>
      </c>
      <c r="M171" s="47">
        <v>-86.026153846153846</v>
      </c>
      <c r="N171" s="47">
        <v>-1054.8571978021978</v>
      </c>
    </row>
    <row r="172" spans="1:14">
      <c r="A172" s="1" t="s">
        <v>11</v>
      </c>
      <c r="B172" s="47">
        <v>-10018.471813186814</v>
      </c>
      <c r="C172" s="47">
        <v>-9397.1106043956042</v>
      </c>
      <c r="D172" s="47">
        <v>-9435.7461538461539</v>
      </c>
      <c r="E172" s="47">
        <v>-11211.870347734459</v>
      </c>
      <c r="F172" s="47">
        <v>-11585.599359325606</v>
      </c>
      <c r="G172" s="47">
        <v>-11211.870347734459</v>
      </c>
      <c r="H172" s="47">
        <v>-11585.599359325606</v>
      </c>
      <c r="I172" s="47">
        <v>-11585.599359325606</v>
      </c>
      <c r="J172" s="47">
        <v>-11211.870347734459</v>
      </c>
      <c r="K172" s="47">
        <v>-11585.599359325606</v>
      </c>
      <c r="L172" s="47">
        <v>-11211.870347734459</v>
      </c>
      <c r="M172" s="47">
        <v>-11585.599359325606</v>
      </c>
      <c r="N172" s="47">
        <v>-131626.80675899441</v>
      </c>
    </row>
    <row r="173" spans="1:14">
      <c r="A173" s="1" t="s">
        <v>42</v>
      </c>
      <c r="B173" s="47">
        <v>-136.69211538461539</v>
      </c>
      <c r="C173" s="47">
        <v>-127.87326923076922</v>
      </c>
      <c r="D173" s="47">
        <v>-136.69211538461539</v>
      </c>
      <c r="E173" s="47">
        <v>-130.43271978021977</v>
      </c>
      <c r="F173" s="47">
        <v>-151.44010989010988</v>
      </c>
      <c r="G173" s="47">
        <v>-146.55494505494505</v>
      </c>
      <c r="H173" s="47">
        <v>-151.44010989010988</v>
      </c>
      <c r="I173" s="47">
        <v>-151.44010989010988</v>
      </c>
      <c r="J173" s="47">
        <v>-146.55494505494505</v>
      </c>
      <c r="K173" s="47">
        <v>-151.44010989010988</v>
      </c>
      <c r="L173" s="47">
        <v>-146.55494505494505</v>
      </c>
      <c r="M173" s="47">
        <v>-151.44010989010988</v>
      </c>
      <c r="N173" s="47">
        <v>-1728.5556043956044</v>
      </c>
    </row>
    <row r="174" spans="1:14">
      <c r="A174" s="1" t="s">
        <v>21</v>
      </c>
      <c r="B174" s="47">
        <v>-980.77535088894842</v>
      </c>
      <c r="C174" s="47">
        <v>-917.49952179933882</v>
      </c>
      <c r="D174" s="47">
        <v>-980.77535088894842</v>
      </c>
      <c r="E174" s="47">
        <v>-949.13743634414368</v>
      </c>
      <c r="F174" s="47">
        <v>-980.77535088894842</v>
      </c>
      <c r="G174" s="47">
        <v>-847.75846153846157</v>
      </c>
      <c r="H174" s="47">
        <v>-1136.429010989011</v>
      </c>
      <c r="I174" s="47">
        <v>-1087.3369230769231</v>
      </c>
      <c r="J174" s="47">
        <v>-1052.2615384615385</v>
      </c>
      <c r="K174" s="47">
        <v>-1087.3369230769231</v>
      </c>
      <c r="L174" s="47">
        <v>-1049.4601648351647</v>
      </c>
      <c r="M174" s="47">
        <v>-1141.4669717782219</v>
      </c>
      <c r="N174" s="47">
        <v>-12211.01300456657</v>
      </c>
    </row>
    <row r="175" spans="1:14">
      <c r="A175" s="1" t="s">
        <v>45</v>
      </c>
      <c r="B175" s="47"/>
      <c r="C175" s="47"/>
      <c r="D175" s="47"/>
      <c r="E175" s="47"/>
      <c r="F175" s="47"/>
      <c r="G175" s="47"/>
      <c r="H175" s="47"/>
      <c r="I175" s="47"/>
      <c r="J175" s="47"/>
      <c r="K175" s="47">
        <v>-116.07880597014925</v>
      </c>
      <c r="L175" s="47">
        <v>-124.37014925373133</v>
      </c>
      <c r="M175" s="47">
        <v>-128.51582089552238</v>
      </c>
      <c r="N175" s="47">
        <v>-368.96477611940293</v>
      </c>
    </row>
    <row r="176" spans="1:14">
      <c r="A176" s="1" t="s">
        <v>19</v>
      </c>
      <c r="B176" s="47">
        <v>-768.17318681318693</v>
      </c>
      <c r="C176" s="47">
        <v>-718.6136263736264</v>
      </c>
      <c r="D176" s="47">
        <v>-768.17318681318693</v>
      </c>
      <c r="E176" s="47">
        <v>-743.39340659340667</v>
      </c>
      <c r="F176" s="47">
        <v>-768.17318681318693</v>
      </c>
      <c r="G176" s="47">
        <v>-743.39340659340667</v>
      </c>
      <c r="H176" s="47">
        <v>-738.74642857142862</v>
      </c>
      <c r="I176" s="47">
        <v>-774.29483516483526</v>
      </c>
      <c r="J176" s="47">
        <v>-741.15571428571434</v>
      </c>
      <c r="K176" s="47">
        <v>-784.69346153846152</v>
      </c>
      <c r="L176" s="47">
        <v>-759.38076923076926</v>
      </c>
      <c r="M176" s="47">
        <v>-753.95535714285711</v>
      </c>
      <c r="N176" s="47">
        <v>-9062.1465659340647</v>
      </c>
    </row>
    <row r="177" spans="1:14">
      <c r="A177" s="1" t="s">
        <v>24</v>
      </c>
      <c r="B177" s="47">
        <v>-630.43269230769226</v>
      </c>
      <c r="C177" s="47">
        <v>-589.75961538461536</v>
      </c>
      <c r="D177" s="47">
        <v>-630.43269230769226</v>
      </c>
      <c r="E177" s="47">
        <v>-610.09615384615381</v>
      </c>
      <c r="F177" s="47">
        <v>-630.43269230769226</v>
      </c>
      <c r="G177" s="47">
        <v>-610.09615384615381</v>
      </c>
      <c r="H177" s="47">
        <v>-614.55351648351643</v>
      </c>
      <c r="I177" s="47">
        <v>-726.49862637362639</v>
      </c>
      <c r="J177" s="47">
        <v>-703.0631868131868</v>
      </c>
      <c r="K177" s="47">
        <v>-726.49862637362639</v>
      </c>
      <c r="L177" s="47">
        <v>-703.0631868131868</v>
      </c>
      <c r="M177" s="47">
        <v>-726.49862637362639</v>
      </c>
      <c r="N177" s="47">
        <v>-7901.4257692307692</v>
      </c>
    </row>
    <row r="178" spans="1:14">
      <c r="A178" s="1" t="s">
        <v>23</v>
      </c>
      <c r="B178" s="47">
        <v>-708.80307692307701</v>
      </c>
      <c r="C178" s="47">
        <v>-663.07384615384626</v>
      </c>
      <c r="D178" s="47">
        <v>-708.80307692307701</v>
      </c>
      <c r="E178" s="47">
        <v>-685.93846153846164</v>
      </c>
      <c r="F178" s="47">
        <v>-708.80307692307701</v>
      </c>
      <c r="G178" s="47">
        <v>-685.93846153846164</v>
      </c>
      <c r="H178" s="47">
        <v>-690.81</v>
      </c>
      <c r="I178" s="47">
        <v>-778.65016483516479</v>
      </c>
      <c r="J178" s="47">
        <v>-753.53241758241757</v>
      </c>
      <c r="K178" s="47">
        <v>-808.03554945054941</v>
      </c>
      <c r="L178" s="47">
        <v>-785.01675824175823</v>
      </c>
      <c r="M178" s="47">
        <v>-811.18398351648352</v>
      </c>
      <c r="N178" s="47">
        <v>-8788.5888736263751</v>
      </c>
    </row>
    <row r="179" spans="1:14">
      <c r="A179" s="1" t="s">
        <v>33</v>
      </c>
      <c r="B179" s="47">
        <v>-994.10186813186829</v>
      </c>
      <c r="C179" s="47">
        <v>-875.3939010989011</v>
      </c>
      <c r="D179" s="47">
        <v>-787.60302197802207</v>
      </c>
      <c r="E179" s="47">
        <v>-469.16208791208788</v>
      </c>
      <c r="F179" s="47">
        <v>-484.80082417582418</v>
      </c>
      <c r="G179" s="47">
        <v>-469.16208791208788</v>
      </c>
      <c r="H179" s="47">
        <v>-484.80082417582418</v>
      </c>
      <c r="I179" s="47">
        <v>-484.80082417582418</v>
      </c>
      <c r="J179" s="47">
        <v>-469.16208791208788</v>
      </c>
      <c r="K179" s="47">
        <v>-484.80082417582418</v>
      </c>
      <c r="L179" s="47">
        <v>-469.16208791208788</v>
      </c>
      <c r="M179" s="47">
        <v>-484.80082417582418</v>
      </c>
      <c r="N179" s="47">
        <v>-6957.7512637362624</v>
      </c>
    </row>
    <row r="180" spans="1:14">
      <c r="A180" s="1" t="s">
        <v>34</v>
      </c>
      <c r="B180" s="47">
        <v>-425.07315934065934</v>
      </c>
      <c r="C180" s="47">
        <v>-438.28640109890108</v>
      </c>
      <c r="D180" s="47">
        <v>-468.51304945054943</v>
      </c>
      <c r="E180" s="47">
        <v>-453.39972527472526</v>
      </c>
      <c r="F180" s="47">
        <v>-468.51304945054943</v>
      </c>
      <c r="G180" s="47">
        <v>-453.39972527472526</v>
      </c>
      <c r="H180" s="47">
        <v>-468.51304945054943</v>
      </c>
      <c r="I180" s="47">
        <v>-468.51304945054943</v>
      </c>
      <c r="J180" s="47">
        <v>-453.39972527472526</v>
      </c>
      <c r="K180" s="47">
        <v>-468.51304945054943</v>
      </c>
      <c r="L180" s="47">
        <v>-453.39972527472526</v>
      </c>
      <c r="M180" s="47">
        <v>-468.51304945054943</v>
      </c>
      <c r="N180" s="47">
        <v>-5488.0367582417575</v>
      </c>
    </row>
    <row r="181" spans="1:14">
      <c r="A181" s="1" t="s">
        <v>49</v>
      </c>
      <c r="B181" s="47">
        <v>-6.0041208791208796</v>
      </c>
      <c r="C181" s="47">
        <v>-5.6167582417582418</v>
      </c>
      <c r="D181" s="47">
        <v>-6.0041208791208796</v>
      </c>
      <c r="E181" s="47">
        <v>-5.8104395604395602</v>
      </c>
      <c r="F181" s="47">
        <v>-4.84</v>
      </c>
      <c r="G181" s="47"/>
      <c r="H181" s="47"/>
      <c r="I181" s="47"/>
      <c r="J181" s="47"/>
      <c r="K181" s="47"/>
      <c r="L181" s="47"/>
      <c r="M181" s="47"/>
      <c r="N181" s="47">
        <v>-28.275439560439562</v>
      </c>
    </row>
    <row r="182" spans="1:14">
      <c r="A182" s="1" t="s">
        <v>37</v>
      </c>
      <c r="B182" s="47">
        <v>-445.38912087912092</v>
      </c>
      <c r="C182" s="47">
        <v>-367.24277472527478</v>
      </c>
      <c r="D182" s="47">
        <v>-392.56986263736269</v>
      </c>
      <c r="E182" s="47">
        <v>-379.90631868131874</v>
      </c>
      <c r="F182" s="47">
        <v>-392.56986263736269</v>
      </c>
      <c r="G182" s="47">
        <v>-379.90631868131874</v>
      </c>
      <c r="H182" s="47">
        <v>-392.56986263736269</v>
      </c>
      <c r="I182" s="47">
        <v>-392.56986263736269</v>
      </c>
      <c r="J182" s="47">
        <v>-374.45065934065934</v>
      </c>
      <c r="K182" s="47">
        <v>-382.86508241758241</v>
      </c>
      <c r="L182" s="47">
        <v>-392.43280219780218</v>
      </c>
      <c r="M182" s="47">
        <v>-369.49189560439561</v>
      </c>
      <c r="N182" s="47">
        <v>-4661.9644230769236</v>
      </c>
    </row>
    <row r="183" spans="1:14">
      <c r="A183" s="1" t="s">
        <v>36</v>
      </c>
      <c r="B183" s="47">
        <v>-196.8150274725275</v>
      </c>
      <c r="C183" s="47">
        <v>-200.00917582417586</v>
      </c>
      <c r="D183" s="47">
        <v>-213.80291208791212</v>
      </c>
      <c r="E183" s="47">
        <v>-206.90604395604399</v>
      </c>
      <c r="F183" s="47">
        <v>-213.80291208791212</v>
      </c>
      <c r="G183" s="47">
        <v>-206.90604395604399</v>
      </c>
      <c r="H183" s="47">
        <v>-212.9440384615385</v>
      </c>
      <c r="I183" s="47">
        <v>-200.5640384615385</v>
      </c>
      <c r="J183" s="47">
        <v>-194.09423076923079</v>
      </c>
      <c r="K183" s="47">
        <v>-200.5640384615385</v>
      </c>
      <c r="L183" s="47">
        <v>-201.2587362637363</v>
      </c>
      <c r="M183" s="47">
        <v>-210.65947802197806</v>
      </c>
      <c r="N183" s="47">
        <v>-2458.3266758241762</v>
      </c>
    </row>
    <row r="184" spans="1:14">
      <c r="A184" s="1" t="s">
        <v>39</v>
      </c>
      <c r="B184" s="47">
        <v>-192.2246978021978</v>
      </c>
      <c r="C184" s="47">
        <v>-179.82310439560442</v>
      </c>
      <c r="D184" s="47">
        <v>-192.2246978021978</v>
      </c>
      <c r="E184" s="47">
        <v>-175.6376098901099</v>
      </c>
      <c r="F184" s="47">
        <v>-205.03859890109891</v>
      </c>
      <c r="G184" s="47">
        <v>-198.42445054945054</v>
      </c>
      <c r="H184" s="47">
        <v>-205.03859890109891</v>
      </c>
      <c r="I184" s="47">
        <v>-205.03859890109891</v>
      </c>
      <c r="J184" s="47">
        <v>-198.42445054945054</v>
      </c>
      <c r="K184" s="47">
        <v>-205.03859890109891</v>
      </c>
      <c r="L184" s="47">
        <v>-198.42445054945054</v>
      </c>
      <c r="M184" s="47">
        <v>-205.03859890109891</v>
      </c>
      <c r="N184" s="47">
        <v>-2360.3764560439563</v>
      </c>
    </row>
    <row r="185" spans="1:14">
      <c r="A185" s="1" t="s">
        <v>12</v>
      </c>
      <c r="B185" s="47">
        <v>-4500.8424756886952</v>
      </c>
      <c r="C185" s="47">
        <v>-4210.4655417732947</v>
      </c>
      <c r="D185" s="47">
        <v>-4500.8424756886952</v>
      </c>
      <c r="E185" s="47">
        <v>-4356.0368406593407</v>
      </c>
      <c r="F185" s="47">
        <v>-4574.9114560439566</v>
      </c>
      <c r="G185" s="47">
        <v>-4886.0769230769229</v>
      </c>
      <c r="H185" s="47">
        <v>-5048.9461538461546</v>
      </c>
      <c r="I185" s="47">
        <v>-5048.9461538461546</v>
      </c>
      <c r="J185" s="47">
        <v>-4751.9407142857144</v>
      </c>
      <c r="K185" s="47">
        <v>-5212.6051923076911</v>
      </c>
      <c r="L185" s="47">
        <v>-4951.8050000000003</v>
      </c>
      <c r="M185" s="47">
        <v>-5161.6251923076916</v>
      </c>
      <c r="N185" s="47">
        <v>-57205.044119524318</v>
      </c>
    </row>
    <row r="186" spans="1:14">
      <c r="A186" s="1" t="s">
        <v>16</v>
      </c>
      <c r="B186" s="47">
        <v>-647.05005494505485</v>
      </c>
      <c r="C186" s="47">
        <v>-646.16381868131862</v>
      </c>
      <c r="D186" s="47">
        <v>-690.72684065934072</v>
      </c>
      <c r="E186" s="47">
        <v>-674.01115384615389</v>
      </c>
      <c r="F186" s="47">
        <v>-690.74728021978024</v>
      </c>
      <c r="G186" s="47">
        <v>-668.46510989010994</v>
      </c>
      <c r="H186" s="47">
        <v>-688.67571428571421</v>
      </c>
      <c r="I186" s="47">
        <v>-658.70571428571418</v>
      </c>
      <c r="J186" s="47">
        <v>-637.45714285714303</v>
      </c>
      <c r="K186" s="47">
        <v>-692.34923076923064</v>
      </c>
      <c r="L186" s="47">
        <v>-670.01538461538473</v>
      </c>
      <c r="M186" s="47">
        <v>-686.41445054945052</v>
      </c>
      <c r="N186" s="47">
        <v>-8050.7818956043957</v>
      </c>
    </row>
    <row r="187" spans="1:14">
      <c r="A187" s="1" t="s">
        <v>43</v>
      </c>
      <c r="B187" s="47">
        <v>-67.067307692307693</v>
      </c>
      <c r="C187" s="47">
        <v>-62.740384615384613</v>
      </c>
      <c r="D187" s="47">
        <v>-67.067307692307693</v>
      </c>
      <c r="E187" s="47">
        <v>-64.903846153846146</v>
      </c>
      <c r="F187" s="47">
        <v>-66.697582417582424</v>
      </c>
      <c r="G187" s="47">
        <v>-74.793956043956044</v>
      </c>
      <c r="H187" s="47">
        <v>-77.287087912087912</v>
      </c>
      <c r="I187" s="47">
        <v>-77.287087912087912</v>
      </c>
      <c r="J187" s="47">
        <v>-74.793956043956044</v>
      </c>
      <c r="K187" s="47">
        <v>-77.287087912087912</v>
      </c>
      <c r="L187" s="47">
        <v>-74.793956043956044</v>
      </c>
      <c r="M187" s="47">
        <v>-77.287087912087912</v>
      </c>
      <c r="N187" s="47">
        <v>-862.00664835164832</v>
      </c>
    </row>
    <row r="188" spans="1:14">
      <c r="A188" s="1" t="s">
        <v>30</v>
      </c>
      <c r="B188" s="47">
        <v>-175.87475274725276</v>
      </c>
      <c r="C188" s="47">
        <v>-164.52799450549452</v>
      </c>
      <c r="D188" s="47">
        <v>-175.87475274725276</v>
      </c>
      <c r="E188" s="47">
        <v>-170.20137362637365</v>
      </c>
      <c r="F188" s="47">
        <v>-175.87475274725276</v>
      </c>
      <c r="G188" s="47">
        <v>-170.20137362637365</v>
      </c>
      <c r="H188" s="47">
        <v>-175.87475274725276</v>
      </c>
      <c r="I188" s="47">
        <v>-175.87475274725276</v>
      </c>
      <c r="J188" s="47">
        <v>-170.20137362637365</v>
      </c>
      <c r="K188" s="47">
        <v>-174.26118131868134</v>
      </c>
      <c r="L188" s="47">
        <v>-167.26505494505494</v>
      </c>
      <c r="M188" s="47">
        <v>-183.95263736263738</v>
      </c>
      <c r="N188" s="47">
        <v>-2079.984752747253</v>
      </c>
    </row>
    <row r="189" spans="1:14">
      <c r="A189" s="1" t="s">
        <v>17</v>
      </c>
      <c r="B189" s="47">
        <v>-1026.0201900496763</v>
      </c>
      <c r="C189" s="47">
        <v>-959.82657534246573</v>
      </c>
      <c r="D189" s="47">
        <v>-1049.5156868131867</v>
      </c>
      <c r="E189" s="47">
        <v>-1182</v>
      </c>
      <c r="F189" s="47">
        <v>-1221.4000000000001</v>
      </c>
      <c r="G189" s="47">
        <v>-1182</v>
      </c>
      <c r="H189" s="47">
        <v>-1221.4000000000001</v>
      </c>
      <c r="I189" s="47">
        <v>-1221.4000000000001</v>
      </c>
      <c r="J189" s="47">
        <v>-1182</v>
      </c>
      <c r="K189" s="47">
        <v>-1221.4000000000001</v>
      </c>
      <c r="L189" s="47">
        <v>-1182</v>
      </c>
      <c r="M189" s="47">
        <v>-1221.4000000000001</v>
      </c>
      <c r="N189" s="47">
        <v>-13870.361215941593</v>
      </c>
    </row>
    <row r="190" spans="1:14">
      <c r="A190" s="1" t="s">
        <v>41</v>
      </c>
      <c r="B190" s="47">
        <v>-158.3267032967033</v>
      </c>
      <c r="C190" s="47">
        <v>-148.67258241758242</v>
      </c>
      <c r="D190" s="47">
        <v>-168.20225274725274</v>
      </c>
      <c r="E190" s="47">
        <v>-162.77637362637361</v>
      </c>
      <c r="F190" s="47">
        <v>-168.20225274725274</v>
      </c>
      <c r="G190" s="47">
        <v>-162.77637362637361</v>
      </c>
      <c r="H190" s="47">
        <v>-168.20225274725274</v>
      </c>
      <c r="I190" s="47">
        <v>-168.20225274725274</v>
      </c>
      <c r="J190" s="47">
        <v>-162.77637362637361</v>
      </c>
      <c r="K190" s="47">
        <v>-168.20225274725274</v>
      </c>
      <c r="L190" s="47">
        <v>-162.77637362637361</v>
      </c>
      <c r="M190" s="47">
        <v>-168.20225274725274</v>
      </c>
      <c r="N190" s="47">
        <v>-1967.3182967032965</v>
      </c>
    </row>
    <row r="191" spans="1:14">
      <c r="A191" s="1" t="s">
        <v>14</v>
      </c>
      <c r="B191" s="47">
        <v>-3893.1648076923075</v>
      </c>
      <c r="C191" s="47">
        <v>-3641.9928846153844</v>
      </c>
      <c r="D191" s="47">
        <v>-3986.5523351648349</v>
      </c>
      <c r="E191" s="47">
        <v>-4407.1483516483513</v>
      </c>
      <c r="F191" s="47">
        <v>-4554.0532967032959</v>
      </c>
      <c r="G191" s="47">
        <v>-4407.1483516483513</v>
      </c>
      <c r="H191" s="47">
        <v>-4554.0532967032959</v>
      </c>
      <c r="I191" s="47">
        <v>-4554.0532967032959</v>
      </c>
      <c r="J191" s="47">
        <v>-4407.1483516483513</v>
      </c>
      <c r="K191" s="47">
        <v>-4554.0532967032959</v>
      </c>
      <c r="L191" s="47">
        <v>-4407.1483516483513</v>
      </c>
      <c r="M191" s="47">
        <v>-4554.0532967032959</v>
      </c>
      <c r="N191" s="47">
        <v>-51920.569917582405</v>
      </c>
    </row>
    <row r="192" spans="1:14">
      <c r="A192" s="1" t="s">
        <v>25</v>
      </c>
      <c r="B192" s="47">
        <v>-312.0170054945055</v>
      </c>
      <c r="C192" s="47">
        <v>-303.75030219780217</v>
      </c>
      <c r="D192" s="47">
        <v>-324.69859890109893</v>
      </c>
      <c r="E192" s="47">
        <v>-314.22445054945058</v>
      </c>
      <c r="F192" s="47">
        <v>-324.69859890109893</v>
      </c>
      <c r="G192" s="47">
        <v>-314.22445054945058</v>
      </c>
      <c r="H192" s="47">
        <v>-324.69859890109893</v>
      </c>
      <c r="I192" s="47">
        <v>-315.555521978022</v>
      </c>
      <c r="J192" s="47">
        <v>-324.96758241758243</v>
      </c>
      <c r="K192" s="47">
        <v>-328.35217032967034</v>
      </c>
      <c r="L192" s="47">
        <v>-317.76016483516486</v>
      </c>
      <c r="M192" s="47">
        <v>-328.35217032967034</v>
      </c>
      <c r="N192" s="47">
        <v>-3833.2996153846152</v>
      </c>
    </row>
    <row r="193" spans="1:14">
      <c r="A193" s="1" t="s">
        <v>13</v>
      </c>
      <c r="B193" s="47">
        <v>-712.31290043290039</v>
      </c>
      <c r="C193" s="47">
        <v>-666.35722943722942</v>
      </c>
      <c r="D193" s="47">
        <v>-712.31290043290039</v>
      </c>
      <c r="E193" s="47">
        <v>-689.33506493506491</v>
      </c>
      <c r="F193" s="47">
        <v>-669.99986263736264</v>
      </c>
      <c r="G193" s="47">
        <v>-793.49587912087918</v>
      </c>
      <c r="H193" s="47">
        <v>-819.94574175824175</v>
      </c>
      <c r="I193" s="47">
        <v>-819.94574175824175</v>
      </c>
      <c r="J193" s="47">
        <v>-793.49587912087918</v>
      </c>
      <c r="K193" s="47">
        <v>-819.94574175824175</v>
      </c>
      <c r="L193" s="47">
        <v>-793.49587912087918</v>
      </c>
      <c r="M193" s="47">
        <v>-819.94574175824175</v>
      </c>
      <c r="N193" s="47">
        <v>-9110.5885622710612</v>
      </c>
    </row>
    <row r="194" spans="1:14">
      <c r="A194" s="1" t="s">
        <v>15</v>
      </c>
      <c r="B194" s="47">
        <v>-4628.3254794520544</v>
      </c>
      <c r="C194" s="47">
        <v>-4338.5745224296252</v>
      </c>
      <c r="D194" s="47">
        <v>-4166.9342431883179</v>
      </c>
      <c r="E194" s="47">
        <v>-3241.9699175824171</v>
      </c>
      <c r="F194" s="47">
        <v>-6556.0474725274717</v>
      </c>
      <c r="G194" s="47">
        <v>-5161.5189560439558</v>
      </c>
      <c r="H194" s="47">
        <v>-5333.5695879120876</v>
      </c>
      <c r="I194" s="47">
        <v>-5333.5695879120876</v>
      </c>
      <c r="J194" s="47">
        <v>-5161.5189560439558</v>
      </c>
      <c r="K194" s="47">
        <v>-5333.5695879120876</v>
      </c>
      <c r="L194" s="47">
        <v>-5161.5189560439558</v>
      </c>
      <c r="M194" s="47">
        <v>-5333.5695879120876</v>
      </c>
      <c r="N194" s="47">
        <v>-59542.129162652418</v>
      </c>
    </row>
    <row r="195" spans="1:14">
      <c r="A195" s="1" t="s">
        <v>76</v>
      </c>
      <c r="B195" s="47">
        <v>-34782.820829599739</v>
      </c>
      <c r="C195" s="47">
        <v>-33495.344724516697</v>
      </c>
      <c r="D195" s="47">
        <v>-33868.636345706916</v>
      </c>
      <c r="E195" s="47">
        <v>-34519.889739349353</v>
      </c>
      <c r="F195" s="47">
        <v>-38931.88454726107</v>
      </c>
      <c r="G195" s="47">
        <v>-37337.424990591593</v>
      </c>
      <c r="H195" s="47">
        <v>-38360.219057127812</v>
      </c>
      <c r="I195" s="47">
        <v>-38566.429194490454</v>
      </c>
      <c r="J195" s="47">
        <v>-36980.131007075121</v>
      </c>
      <c r="K195" s="47">
        <v>-38871.222423537532</v>
      </c>
      <c r="L195" s="47">
        <v>-37692.005661823358</v>
      </c>
      <c r="M195" s="47">
        <v>-39007.392756394962</v>
      </c>
      <c r="N195" s="47">
        <v>-441926.62234890304</v>
      </c>
    </row>
    <row r="197" spans="1:14">
      <c r="B197" s="47">
        <f>B196+B195</f>
        <v>-34782.820829599739</v>
      </c>
      <c r="C197" s="47">
        <f t="shared" ref="C197:M197" si="0">C196+C195</f>
        <v>-33495.344724516697</v>
      </c>
      <c r="D197" s="47">
        <f t="shared" si="0"/>
        <v>-33868.636345706916</v>
      </c>
      <c r="E197" s="47">
        <f t="shared" si="0"/>
        <v>-34519.889739349353</v>
      </c>
      <c r="F197" s="47">
        <f t="shared" si="0"/>
        <v>-38931.88454726107</v>
      </c>
      <c r="G197" s="47">
        <f t="shared" si="0"/>
        <v>-37337.424990591593</v>
      </c>
      <c r="H197" s="47">
        <f t="shared" si="0"/>
        <v>-38360.219057127812</v>
      </c>
      <c r="I197" s="47">
        <f t="shared" si="0"/>
        <v>-38566.429194490454</v>
      </c>
      <c r="J197" s="47">
        <f t="shared" si="0"/>
        <v>-36980.131007075121</v>
      </c>
      <c r="K197" s="47">
        <f t="shared" si="0"/>
        <v>-38871.222423537532</v>
      </c>
      <c r="L197" s="47">
        <f t="shared" si="0"/>
        <v>-37692.005661823358</v>
      </c>
      <c r="M197" s="47">
        <f t="shared" si="0"/>
        <v>-39007.392756394962</v>
      </c>
      <c r="N197" s="47">
        <v>442413</v>
      </c>
    </row>
    <row r="198" spans="1:14">
      <c r="N198" s="47">
        <f>N197+GETPIVOTDATA("Sum of Total Income 2025",$A$159)</f>
        <v>486.37765109696193</v>
      </c>
    </row>
    <row r="203" spans="1:14">
      <c r="A203" s="1" t="s">
        <v>77</v>
      </c>
      <c r="B203" s="92">
        <v>0.80549000000000004</v>
      </c>
      <c r="C203" s="92">
        <v>0.79437000000000002</v>
      </c>
      <c r="D203" s="93">
        <v>0.77312000000000003</v>
      </c>
      <c r="E203" s="92">
        <v>0.74848000000000003</v>
      </c>
      <c r="F203" s="92">
        <v>0.74348000000000003</v>
      </c>
      <c r="G203" s="92">
        <v>0.72924</v>
      </c>
      <c r="H203" s="92">
        <v>0.75575000000000003</v>
      </c>
      <c r="I203" s="92">
        <v>0.74082999999999999</v>
      </c>
      <c r="J203" s="92">
        <v>0.74399999999999999</v>
      </c>
      <c r="K203" s="92">
        <v>0.76107999999999998</v>
      </c>
      <c r="L203" s="92">
        <v>0.75609000000000004</v>
      </c>
      <c r="M203" s="94">
        <v>0.74321999999999999</v>
      </c>
    </row>
    <row r="204" spans="1:14">
      <c r="A204" s="1" t="s">
        <v>35</v>
      </c>
      <c r="B204" s="47">
        <f>B160/$B$203</f>
        <v>-174.52294071494805</v>
      </c>
      <c r="C204" s="47">
        <f>C160/$C$203</f>
        <v>-165.54884117858549</v>
      </c>
      <c r="D204" s="47">
        <f>D160/$D$203</f>
        <v>-172.19353235754312</v>
      </c>
      <c r="E204" s="47">
        <f>E160/$E$203</f>
        <v>-204.55522459584023</v>
      </c>
      <c r="F204" s="47">
        <f>F160/$F$203</f>
        <v>-212.79524800803114</v>
      </c>
      <c r="G204" s="47">
        <f>G160/$G$203</f>
        <v>-209.95213442144492</v>
      </c>
      <c r="H204" s="47">
        <f>H160/$H$203</f>
        <v>-209.34040488125834</v>
      </c>
      <c r="I204" s="47">
        <f>I160/$I$203</f>
        <v>-213.556431285195</v>
      </c>
      <c r="J204" s="47">
        <f>J160/$J$203</f>
        <v>-205.78695498050337</v>
      </c>
      <c r="K204" s="47">
        <f>K160/$K$203</f>
        <v>-207.8743509079348</v>
      </c>
      <c r="L204" s="47">
        <f>L160/$L$203</f>
        <v>-202.49638866470195</v>
      </c>
      <c r="M204" s="47">
        <f>M160/$M$203</f>
        <v>-212.86968998279247</v>
      </c>
      <c r="N204" s="47">
        <f>SUM(B204:M204)</f>
        <v>-2391.4921419787788</v>
      </c>
    </row>
    <row r="205" spans="1:14">
      <c r="A205" s="1" t="s">
        <v>32</v>
      </c>
      <c r="B205" s="47">
        <f t="shared" ref="B205:B238" si="1">B161/$B$203</f>
        <v>-84.372913954907531</v>
      </c>
      <c r="C205" s="47">
        <f t="shared" ref="C205:C238" si="2">C161/$C$203</f>
        <v>-80.034395907351836</v>
      </c>
      <c r="D205" s="47">
        <f t="shared" ref="D205:D238" si="3">D161/$D$203</f>
        <v>-87.905549541518084</v>
      </c>
      <c r="E205" s="47">
        <f t="shared" ref="E205:E238" si="4">E161/$E$203</f>
        <v>-105.70422723386064</v>
      </c>
      <c r="F205" s="47">
        <f t="shared" ref="F205:F238" si="5">F161/$F$203</f>
        <v>-105.65420147722294</v>
      </c>
      <c r="G205" s="47">
        <f t="shared" ref="G205:G238" si="6">G161/$G$203</f>
        <v>-104.24257739956275</v>
      </c>
      <c r="H205" s="47">
        <f t="shared" ref="H205:H238" si="7">H161/$H$203</f>
        <v>-103.93884977080478</v>
      </c>
      <c r="I205" s="47">
        <f t="shared" ref="I205:I238" si="8">I161/$I$203</f>
        <v>-106.03213384215773</v>
      </c>
      <c r="J205" s="47">
        <f t="shared" ref="J205:J238" si="9">J161/$J$203</f>
        <v>-102.1745391705069</v>
      </c>
      <c r="K205" s="47">
        <f t="shared" ref="K205:K238" si="10">K161/$K$203</f>
        <v>-103.21094459752682</v>
      </c>
      <c r="L205" s="47">
        <f t="shared" ref="L205:L238" si="11">L161/$L$203</f>
        <v>-100.5407519512983</v>
      </c>
      <c r="M205" s="47">
        <f t="shared" ref="M205:M238" si="12">M161/$M$203</f>
        <v>-105.69116239375381</v>
      </c>
      <c r="N205" s="47">
        <f t="shared" ref="N205:N238" si="13">SUM(B205:M205)</f>
        <v>-1189.5022472404721</v>
      </c>
    </row>
    <row r="206" spans="1:14">
      <c r="A206" s="1" t="s">
        <v>27</v>
      </c>
      <c r="B206" s="47">
        <f t="shared" si="1"/>
        <v>-784.68344775189053</v>
      </c>
      <c r="C206" s="47">
        <f t="shared" si="2"/>
        <v>-725.5870191970497</v>
      </c>
      <c r="D206" s="47">
        <f t="shared" si="3"/>
        <v>-796.94642459155068</v>
      </c>
      <c r="E206" s="47">
        <f t="shared" si="4"/>
        <v>-796.62768558931441</v>
      </c>
      <c r="F206" s="47">
        <f t="shared" si="5"/>
        <v>-828.71794773258148</v>
      </c>
      <c r="G206" s="47">
        <f t="shared" si="6"/>
        <v>-817.6456175057458</v>
      </c>
      <c r="H206" s="47">
        <f t="shared" si="7"/>
        <v>-815.26327460168</v>
      </c>
      <c r="I206" s="47">
        <f t="shared" si="8"/>
        <v>-831.68232898265421</v>
      </c>
      <c r="J206" s="47">
        <f t="shared" si="9"/>
        <v>-747.26234786718658</v>
      </c>
      <c r="K206" s="47">
        <f t="shared" si="10"/>
        <v>-838.17223731227523</v>
      </c>
      <c r="L206" s="47">
        <f t="shared" si="11"/>
        <v>-816.4877022751084</v>
      </c>
      <c r="M206" s="47">
        <f t="shared" si="12"/>
        <v>-858.31399366759024</v>
      </c>
      <c r="N206" s="47">
        <f t="shared" si="13"/>
        <v>-9657.3900270746271</v>
      </c>
    </row>
    <row r="207" spans="1:14">
      <c r="A207" s="1" t="s">
        <v>22</v>
      </c>
      <c r="B207" s="47">
        <f t="shared" si="1"/>
        <v>-264.37930962506061</v>
      </c>
      <c r="C207" s="47">
        <f t="shared" si="2"/>
        <v>-251.75531318134887</v>
      </c>
      <c r="D207" s="47">
        <f t="shared" si="3"/>
        <v>-276.51472725329302</v>
      </c>
      <c r="E207" s="47">
        <f t="shared" si="4"/>
        <v>-276.40413509107395</v>
      </c>
      <c r="F207" s="47">
        <f t="shared" si="5"/>
        <v>-287.53842192670402</v>
      </c>
      <c r="G207" s="47">
        <f t="shared" si="6"/>
        <v>-283.69668015052252</v>
      </c>
      <c r="H207" s="47">
        <f t="shared" si="7"/>
        <v>-282.87008393525099</v>
      </c>
      <c r="I207" s="47">
        <f t="shared" si="8"/>
        <v>-288.56696669150267</v>
      </c>
      <c r="J207" s="47">
        <f t="shared" si="9"/>
        <v>-278.06850407656862</v>
      </c>
      <c r="K207" s="47">
        <f t="shared" si="10"/>
        <v>-280.88908647457026</v>
      </c>
      <c r="L207" s="47">
        <f t="shared" si="11"/>
        <v>-273.62214423278579</v>
      </c>
      <c r="M207" s="47">
        <f t="shared" si="12"/>
        <v>-287.63901124036749</v>
      </c>
      <c r="N207" s="47">
        <f t="shared" si="13"/>
        <v>-3331.944383879048</v>
      </c>
    </row>
    <row r="208" spans="1:14">
      <c r="A208" s="1" t="s">
        <v>29</v>
      </c>
      <c r="B208" s="47">
        <f t="shared" si="1"/>
        <v>-1186.1766211789179</v>
      </c>
      <c r="C208" s="47">
        <f t="shared" si="2"/>
        <v>-1249.8022830172836</v>
      </c>
      <c r="D208" s="47">
        <f t="shared" si="3"/>
        <v>-1372.716758355469</v>
      </c>
      <c r="E208" s="47">
        <f t="shared" si="4"/>
        <v>-1372.1677398061538</v>
      </c>
      <c r="F208" s="47">
        <f t="shared" si="5"/>
        <v>-1427.4422717756768</v>
      </c>
      <c r="G208" s="47">
        <f t="shared" si="6"/>
        <v>-1408.3705088724014</v>
      </c>
      <c r="H208" s="47">
        <f t="shared" si="7"/>
        <v>-1404.2669933440691</v>
      </c>
      <c r="I208" s="47">
        <f t="shared" si="8"/>
        <v>-1432.5483312227911</v>
      </c>
      <c r="J208" s="47">
        <f t="shared" si="9"/>
        <v>-1380.4302552286424</v>
      </c>
      <c r="K208" s="47">
        <f t="shared" si="10"/>
        <v>-1394.4326223521578</v>
      </c>
      <c r="L208" s="47">
        <f t="shared" si="11"/>
        <v>-1526.7972778983374</v>
      </c>
      <c r="M208" s="47">
        <f t="shared" si="12"/>
        <v>-1631.5433644690122</v>
      </c>
      <c r="N208" s="47">
        <f t="shared" si="13"/>
        <v>-16786.695027520913</v>
      </c>
    </row>
    <row r="209" spans="1:14">
      <c r="A209" s="1" t="s">
        <v>57</v>
      </c>
      <c r="B209" s="47">
        <f t="shared" si="1"/>
        <v>0</v>
      </c>
      <c r="C209" s="47">
        <f t="shared" si="2"/>
        <v>0</v>
      </c>
      <c r="D209" s="47">
        <f t="shared" si="3"/>
        <v>0</v>
      </c>
      <c r="E209" s="47">
        <f t="shared" si="4"/>
        <v>0</v>
      </c>
      <c r="F209" s="47">
        <f t="shared" si="5"/>
        <v>0</v>
      </c>
      <c r="G209" s="47">
        <f t="shared" si="6"/>
        <v>0</v>
      </c>
      <c r="H209" s="47">
        <f t="shared" si="7"/>
        <v>-4.3185758997866177</v>
      </c>
      <c r="I209" s="47">
        <f t="shared" si="8"/>
        <v>-136.57205542995806</v>
      </c>
      <c r="J209" s="47">
        <f t="shared" si="9"/>
        <v>140.3763440860215</v>
      </c>
      <c r="K209" s="47">
        <f t="shared" si="10"/>
        <v>0</v>
      </c>
      <c r="L209" s="47">
        <f t="shared" si="11"/>
        <v>0</v>
      </c>
      <c r="M209" s="47">
        <f t="shared" si="12"/>
        <v>0</v>
      </c>
      <c r="N209" s="47">
        <f t="shared" si="13"/>
        <v>-0.51428724372317447</v>
      </c>
    </row>
    <row r="210" spans="1:14">
      <c r="A210" s="1" t="s">
        <v>18</v>
      </c>
      <c r="B210" s="47">
        <f t="shared" si="1"/>
        <v>-193.48386084059783</v>
      </c>
      <c r="C210" s="47">
        <f t="shared" si="2"/>
        <v>-183.53477667578736</v>
      </c>
      <c r="D210" s="47">
        <f t="shared" si="3"/>
        <v>-201.58489635307993</v>
      </c>
      <c r="E210" s="47">
        <f t="shared" si="4"/>
        <v>-201.50427240302903</v>
      </c>
      <c r="F210" s="47">
        <f t="shared" si="5"/>
        <v>-209.62139542219447</v>
      </c>
      <c r="G210" s="47">
        <f t="shared" si="6"/>
        <v>-199.92046514179145</v>
      </c>
      <c r="H210" s="47">
        <f t="shared" si="7"/>
        <v>0</v>
      </c>
      <c r="I210" s="47">
        <f t="shared" si="8"/>
        <v>0</v>
      </c>
      <c r="J210" s="47">
        <f t="shared" si="9"/>
        <v>0</v>
      </c>
      <c r="K210" s="47">
        <f t="shared" si="10"/>
        <v>0</v>
      </c>
      <c r="L210" s="47">
        <f t="shared" si="11"/>
        <v>0</v>
      </c>
      <c r="M210" s="47">
        <f t="shared" si="12"/>
        <v>0</v>
      </c>
      <c r="N210" s="47">
        <f t="shared" si="13"/>
        <v>-1189.64966683648</v>
      </c>
    </row>
    <row r="211" spans="1:14">
      <c r="A211" s="1" t="s">
        <v>40</v>
      </c>
      <c r="B211" s="47">
        <f t="shared" si="1"/>
        <v>-101.81999392110077</v>
      </c>
      <c r="C211" s="47">
        <f t="shared" si="2"/>
        <v>-62.967584928384049</v>
      </c>
      <c r="D211" s="47">
        <f t="shared" si="3"/>
        <v>-16.854071528636926</v>
      </c>
      <c r="E211" s="47">
        <f t="shared" si="4"/>
        <v>-16.847330736813422</v>
      </c>
      <c r="F211" s="47">
        <f t="shared" si="5"/>
        <v>-11.023671276805185</v>
      </c>
      <c r="G211" s="47">
        <f t="shared" si="6"/>
        <v>-466.8587302390988</v>
      </c>
      <c r="H211" s="47">
        <f t="shared" si="7"/>
        <v>-110.11196213644111</v>
      </c>
      <c r="I211" s="47">
        <f t="shared" si="8"/>
        <v>-112.329570056039</v>
      </c>
      <c r="J211" s="47">
        <f t="shared" si="9"/>
        <v>-108.24286600496276</v>
      </c>
      <c r="K211" s="47">
        <f t="shared" si="10"/>
        <v>-109.3408253857878</v>
      </c>
      <c r="L211" s="47">
        <f t="shared" si="11"/>
        <v>-106.51204526933606</v>
      </c>
      <c r="M211" s="47">
        <f t="shared" si="12"/>
        <v>-111.96834770944723</v>
      </c>
      <c r="N211" s="47">
        <f t="shared" si="13"/>
        <v>-1334.8769991928532</v>
      </c>
    </row>
    <row r="212" spans="1:14">
      <c r="A212" s="1" t="s">
        <v>28</v>
      </c>
      <c r="B212" s="47">
        <f t="shared" si="1"/>
        <v>-413.26264580743219</v>
      </c>
      <c r="C212" s="47">
        <f t="shared" si="2"/>
        <v>-408.12025757643033</v>
      </c>
      <c r="D212" s="47">
        <f t="shared" si="3"/>
        <v>-448.25771613010329</v>
      </c>
      <c r="E212" s="47">
        <f t="shared" si="4"/>
        <v>-448.07843529920262</v>
      </c>
      <c r="F212" s="47">
        <f t="shared" si="5"/>
        <v>-464.85797854698154</v>
      </c>
      <c r="G212" s="47">
        <f t="shared" si="6"/>
        <v>-470.88576636462102</v>
      </c>
      <c r="H212" s="47">
        <f t="shared" si="7"/>
        <v>-469.51376443602709</v>
      </c>
      <c r="I212" s="47">
        <f t="shared" si="8"/>
        <v>-443.26463056806057</v>
      </c>
      <c r="J212" s="47">
        <f t="shared" si="9"/>
        <v>-465.56850407656862</v>
      </c>
      <c r="K212" s="47">
        <f t="shared" si="10"/>
        <v>-470.29098903409096</v>
      </c>
      <c r="L212" s="47">
        <f t="shared" si="11"/>
        <v>-458.12398925123597</v>
      </c>
      <c r="M212" s="47">
        <f t="shared" si="12"/>
        <v>-481.59234941748866</v>
      </c>
      <c r="N212" s="47">
        <f t="shared" si="13"/>
        <v>-5441.8170265082417</v>
      </c>
    </row>
    <row r="213" spans="1:14">
      <c r="A213" s="1" t="s">
        <v>50</v>
      </c>
      <c r="B213" s="47">
        <f t="shared" si="1"/>
        <v>82.319738329957246</v>
      </c>
      <c r="C213" s="47">
        <f t="shared" si="2"/>
        <v>-926.26861538074206</v>
      </c>
      <c r="D213" s="47">
        <f t="shared" si="3"/>
        <v>0</v>
      </c>
      <c r="E213" s="47">
        <f t="shared" si="4"/>
        <v>0</v>
      </c>
      <c r="F213" s="47">
        <f t="shared" si="5"/>
        <v>0</v>
      </c>
      <c r="G213" s="47">
        <f t="shared" si="6"/>
        <v>0</v>
      </c>
      <c r="H213" s="47">
        <f t="shared" si="7"/>
        <v>0</v>
      </c>
      <c r="I213" s="47">
        <f t="shared" si="8"/>
        <v>0</v>
      </c>
      <c r="J213" s="47">
        <f t="shared" si="9"/>
        <v>0</v>
      </c>
      <c r="K213" s="47">
        <f t="shared" si="10"/>
        <v>0</v>
      </c>
      <c r="L213" s="47">
        <f t="shared" si="11"/>
        <v>0</v>
      </c>
      <c r="M213" s="47">
        <f t="shared" si="12"/>
        <v>0</v>
      </c>
      <c r="N213" s="47">
        <f t="shared" si="13"/>
        <v>-843.94887705078486</v>
      </c>
    </row>
    <row r="214" spans="1:14">
      <c r="A214" s="1" t="s">
        <v>46</v>
      </c>
      <c r="B214" s="47">
        <f t="shared" si="1"/>
        <v>-689.98175842456953</v>
      </c>
      <c r="C214" s="47">
        <f t="shared" si="2"/>
        <v>-715.06720994050579</v>
      </c>
      <c r="D214" s="47">
        <f t="shared" si="3"/>
        <v>-785.39202222136294</v>
      </c>
      <c r="E214" s="47">
        <f t="shared" si="4"/>
        <v>-785.07790440641008</v>
      </c>
      <c r="F214" s="47">
        <f t="shared" si="5"/>
        <v>-816.70291093207641</v>
      </c>
      <c r="G214" s="47">
        <f t="shared" si="6"/>
        <v>-805.79111114325849</v>
      </c>
      <c r="H214" s="47">
        <f t="shared" si="7"/>
        <v>-803.44330826302371</v>
      </c>
      <c r="I214" s="47">
        <f t="shared" si="8"/>
        <v>-819.62431356691843</v>
      </c>
      <c r="J214" s="47">
        <f t="shared" si="9"/>
        <v>-789.80525522864218</v>
      </c>
      <c r="K214" s="47">
        <f t="shared" si="10"/>
        <v>-797.8166292896675</v>
      </c>
      <c r="L214" s="47">
        <f t="shared" si="11"/>
        <v>-777.17614290641291</v>
      </c>
      <c r="M214" s="47">
        <f t="shared" si="12"/>
        <v>-816.98861739428457</v>
      </c>
      <c r="N214" s="47">
        <f t="shared" si="13"/>
        <v>-9402.8671837171332</v>
      </c>
    </row>
    <row r="215" spans="1:14">
      <c r="A215" s="1" t="s">
        <v>26</v>
      </c>
      <c r="B215" s="47">
        <f t="shared" si="1"/>
        <v>-111.30246431119191</v>
      </c>
      <c r="C215" s="47">
        <f t="shared" si="2"/>
        <v>-105.57920873642766</v>
      </c>
      <c r="D215" s="47">
        <f t="shared" si="3"/>
        <v>-115.96262155683721</v>
      </c>
      <c r="E215" s="47">
        <f t="shared" si="4"/>
        <v>-115.9162422656437</v>
      </c>
      <c r="F215" s="47">
        <f t="shared" si="5"/>
        <v>-120.58565392212564</v>
      </c>
      <c r="G215" s="47">
        <f t="shared" si="6"/>
        <v>-118.97453377624514</v>
      </c>
      <c r="H215" s="47">
        <f t="shared" si="7"/>
        <v>-118.62788220710814</v>
      </c>
      <c r="I215" s="47">
        <f t="shared" si="8"/>
        <v>-121.01699712217646</v>
      </c>
      <c r="J215" s="47">
        <f t="shared" si="9"/>
        <v>-116.61423254165189</v>
      </c>
      <c r="K215" s="47">
        <f t="shared" si="10"/>
        <v>-117.79710671417195</v>
      </c>
      <c r="L215" s="47">
        <f t="shared" si="11"/>
        <v>-114.74955231650863</v>
      </c>
      <c r="M215" s="47">
        <f t="shared" si="12"/>
        <v>-115.74789947277233</v>
      </c>
      <c r="N215" s="47">
        <f t="shared" si="13"/>
        <v>-1392.8743949428608</v>
      </c>
    </row>
    <row r="216" spans="1:14">
      <c r="A216" s="1" t="s">
        <v>11</v>
      </c>
      <c r="B216" s="47">
        <f t="shared" si="1"/>
        <v>-12437.735804524964</v>
      </c>
      <c r="C216" s="47">
        <f t="shared" si="2"/>
        <v>-11829.639342366409</v>
      </c>
      <c r="D216" s="47">
        <f t="shared" si="3"/>
        <v>-12204.76271968925</v>
      </c>
      <c r="E216" s="47">
        <f t="shared" si="4"/>
        <v>-14979.518955395546</v>
      </c>
      <c r="F216" s="47">
        <f t="shared" si="5"/>
        <v>-15582.933447201816</v>
      </c>
      <c r="G216" s="47">
        <f t="shared" si="6"/>
        <v>-15374.733075166556</v>
      </c>
      <c r="H216" s="47">
        <f t="shared" si="7"/>
        <v>-15329.936300794714</v>
      </c>
      <c r="I216" s="47">
        <f t="shared" si="8"/>
        <v>-15638.674674791257</v>
      </c>
      <c r="J216" s="47">
        <f t="shared" si="9"/>
        <v>-15069.71820932051</v>
      </c>
      <c r="K216" s="47">
        <f t="shared" si="10"/>
        <v>-15222.577599366172</v>
      </c>
      <c r="L216" s="47">
        <f t="shared" si="11"/>
        <v>-14828.751005481436</v>
      </c>
      <c r="M216" s="47">
        <f t="shared" si="12"/>
        <v>-15588.384811126727</v>
      </c>
      <c r="N216" s="47">
        <f t="shared" si="13"/>
        <v>-174087.36594522532</v>
      </c>
    </row>
    <row r="217" spans="1:14">
      <c r="A217" s="1" t="s">
        <v>42</v>
      </c>
      <c r="B217" s="47">
        <f t="shared" si="1"/>
        <v>-169.70057404141005</v>
      </c>
      <c r="C217" s="47">
        <f t="shared" si="2"/>
        <v>-160.97444418944474</v>
      </c>
      <c r="D217" s="47">
        <f t="shared" si="3"/>
        <v>-176.80581977521652</v>
      </c>
      <c r="E217" s="47">
        <f t="shared" si="4"/>
        <v>-174.26346700007986</v>
      </c>
      <c r="F217" s="47">
        <f t="shared" si="5"/>
        <v>-203.69089940564626</v>
      </c>
      <c r="G217" s="47">
        <f t="shared" si="6"/>
        <v>-200.9694271501084</v>
      </c>
      <c r="H217" s="47">
        <f t="shared" si="7"/>
        <v>-200.38387018208385</v>
      </c>
      <c r="I217" s="47">
        <f t="shared" si="8"/>
        <v>-204.41951579999443</v>
      </c>
      <c r="J217" s="47">
        <f t="shared" si="9"/>
        <v>-196.98245303084013</v>
      </c>
      <c r="K217" s="47">
        <f t="shared" si="10"/>
        <v>-198.98054066604021</v>
      </c>
      <c r="L217" s="47">
        <f t="shared" si="11"/>
        <v>-193.83267210906777</v>
      </c>
      <c r="M217" s="47">
        <f t="shared" si="12"/>
        <v>-203.76215641413026</v>
      </c>
      <c r="N217" s="47">
        <f t="shared" si="13"/>
        <v>-2284.765839764063</v>
      </c>
    </row>
    <row r="218" spans="1:14">
      <c r="A218" s="1" t="s">
        <v>21</v>
      </c>
      <c r="B218" s="47">
        <f t="shared" si="1"/>
        <v>-1217.6133172217512</v>
      </c>
      <c r="C218" s="47">
        <f t="shared" si="2"/>
        <v>-1155.0027339896255</v>
      </c>
      <c r="D218" s="47">
        <f t="shared" si="3"/>
        <v>-1268.5939451688591</v>
      </c>
      <c r="E218" s="47">
        <f t="shared" si="4"/>
        <v>-1268.086570575224</v>
      </c>
      <c r="F218" s="47">
        <f t="shared" si="5"/>
        <v>-1319.1684388133485</v>
      </c>
      <c r="G218" s="47">
        <f t="shared" si="6"/>
        <v>-1162.5232591992508</v>
      </c>
      <c r="H218" s="47">
        <f t="shared" si="7"/>
        <v>-1503.7102361746754</v>
      </c>
      <c r="I218" s="47">
        <f t="shared" si="8"/>
        <v>-1467.7279849316619</v>
      </c>
      <c r="J218" s="47">
        <f t="shared" si="9"/>
        <v>-1414.3300248138958</v>
      </c>
      <c r="K218" s="47">
        <f t="shared" si="10"/>
        <v>-1428.676253582965</v>
      </c>
      <c r="L218" s="47">
        <f t="shared" si="11"/>
        <v>-1388.0095819745859</v>
      </c>
      <c r="M218" s="47">
        <f t="shared" si="12"/>
        <v>-1535.839955569309</v>
      </c>
      <c r="N218" s="47">
        <f t="shared" si="13"/>
        <v>-16129.282302015152</v>
      </c>
    </row>
    <row r="219" spans="1:14">
      <c r="A219" s="1" t="s">
        <v>45</v>
      </c>
      <c r="B219" s="47">
        <f t="shared" si="1"/>
        <v>0</v>
      </c>
      <c r="C219" s="47">
        <f t="shared" si="2"/>
        <v>0</v>
      </c>
      <c r="D219" s="47">
        <f t="shared" si="3"/>
        <v>0</v>
      </c>
      <c r="E219" s="47">
        <f t="shared" si="4"/>
        <v>0</v>
      </c>
      <c r="F219" s="47">
        <f t="shared" si="5"/>
        <v>0</v>
      </c>
      <c r="G219" s="47">
        <f t="shared" si="6"/>
        <v>0</v>
      </c>
      <c r="H219" s="47">
        <f t="shared" si="7"/>
        <v>0</v>
      </c>
      <c r="I219" s="47">
        <f t="shared" si="8"/>
        <v>0</v>
      </c>
      <c r="J219" s="47">
        <f t="shared" si="9"/>
        <v>0</v>
      </c>
      <c r="K219" s="47">
        <f t="shared" si="10"/>
        <v>-152.51853414903724</v>
      </c>
      <c r="L219" s="47">
        <f t="shared" si="11"/>
        <v>-164.49119715077745</v>
      </c>
      <c r="M219" s="47">
        <f t="shared" si="12"/>
        <v>-172.91760299174186</v>
      </c>
      <c r="N219" s="47">
        <f t="shared" si="13"/>
        <v>-489.92733429155658</v>
      </c>
    </row>
    <row r="220" spans="1:14">
      <c r="A220" s="1" t="s">
        <v>19</v>
      </c>
      <c r="B220" s="47">
        <f t="shared" si="1"/>
        <v>-953.67191003387609</v>
      </c>
      <c r="C220" s="47">
        <f t="shared" si="2"/>
        <v>-904.63339045234136</v>
      </c>
      <c r="D220" s="47">
        <f t="shared" si="3"/>
        <v>-993.60149370497061</v>
      </c>
      <c r="E220" s="47">
        <f t="shared" si="4"/>
        <v>-993.20410243881815</v>
      </c>
      <c r="F220" s="47">
        <f t="shared" si="5"/>
        <v>-1033.2129805955599</v>
      </c>
      <c r="G220" s="47">
        <f t="shared" si="6"/>
        <v>-1019.4084342512845</v>
      </c>
      <c r="H220" s="47">
        <f t="shared" si="7"/>
        <v>-977.50106327678282</v>
      </c>
      <c r="I220" s="47">
        <f t="shared" si="8"/>
        <v>-1045.172084236377</v>
      </c>
      <c r="J220" s="47">
        <f t="shared" si="9"/>
        <v>-996.17703533026122</v>
      </c>
      <c r="K220" s="47">
        <f t="shared" si="10"/>
        <v>-1031.0262541893908</v>
      </c>
      <c r="L220" s="47">
        <f t="shared" si="11"/>
        <v>-1004.3523512158198</v>
      </c>
      <c r="M220" s="47">
        <f t="shared" si="12"/>
        <v>-1014.4443867803035</v>
      </c>
      <c r="N220" s="47">
        <f t="shared" si="13"/>
        <v>-11966.405486505784</v>
      </c>
    </row>
    <row r="221" spans="1:14">
      <c r="A221" s="1" t="s">
        <v>24</v>
      </c>
      <c r="B221" s="47">
        <f t="shared" si="1"/>
        <v>-782.66979392381313</v>
      </c>
      <c r="C221" s="47">
        <f t="shared" si="2"/>
        <v>-742.42433045635573</v>
      </c>
      <c r="D221" s="47">
        <f t="shared" si="3"/>
        <v>-815.43963719434532</v>
      </c>
      <c r="E221" s="47">
        <f t="shared" si="4"/>
        <v>-815.11350182523756</v>
      </c>
      <c r="F221" s="47">
        <f t="shared" si="5"/>
        <v>-847.94842135322028</v>
      </c>
      <c r="G221" s="47">
        <f t="shared" si="6"/>
        <v>-836.61915671953511</v>
      </c>
      <c r="H221" s="47">
        <f t="shared" si="7"/>
        <v>-813.17038237977692</v>
      </c>
      <c r="I221" s="47">
        <f t="shared" si="8"/>
        <v>-980.65497667970578</v>
      </c>
      <c r="J221" s="47">
        <f t="shared" si="9"/>
        <v>-944.97740163062747</v>
      </c>
      <c r="K221" s="47">
        <f t="shared" si="10"/>
        <v>-954.5627613044968</v>
      </c>
      <c r="L221" s="47">
        <f t="shared" si="11"/>
        <v>-929.86706187515608</v>
      </c>
      <c r="M221" s="47">
        <f t="shared" si="12"/>
        <v>-977.50144825707923</v>
      </c>
      <c r="N221" s="47">
        <f t="shared" si="13"/>
        <v>-10440.948873599349</v>
      </c>
    </row>
    <row r="222" spans="1:14">
      <c r="A222" s="1" t="s">
        <v>23</v>
      </c>
      <c r="B222" s="47">
        <f t="shared" si="1"/>
        <v>-879.96508575286714</v>
      </c>
      <c r="C222" s="47">
        <f t="shared" si="2"/>
        <v>-834.71662594741269</v>
      </c>
      <c r="D222" s="47">
        <f t="shared" si="3"/>
        <v>-916.80861563932763</v>
      </c>
      <c r="E222" s="47">
        <f t="shared" si="4"/>
        <v>-916.44193771171126</v>
      </c>
      <c r="F222" s="47">
        <f t="shared" si="5"/>
        <v>-953.3586336190308</v>
      </c>
      <c r="G222" s="47">
        <f t="shared" si="6"/>
        <v>-940.62100479740775</v>
      </c>
      <c r="H222" s="47">
        <f t="shared" si="7"/>
        <v>-914.07211379424405</v>
      </c>
      <c r="I222" s="47">
        <f t="shared" si="8"/>
        <v>-1051.0510708734323</v>
      </c>
      <c r="J222" s="47">
        <f t="shared" si="9"/>
        <v>-1012.8123892236795</v>
      </c>
      <c r="K222" s="47">
        <f t="shared" si="10"/>
        <v>-1061.6959445137823</v>
      </c>
      <c r="L222" s="47">
        <f t="shared" si="11"/>
        <v>-1038.2583531613409</v>
      </c>
      <c r="M222" s="47">
        <f t="shared" si="12"/>
        <v>-1091.4453102936998</v>
      </c>
      <c r="N222" s="47">
        <f t="shared" si="13"/>
        <v>-11611.247085327937</v>
      </c>
    </row>
    <row r="223" spans="1:14">
      <c r="A223" s="1" t="s">
        <v>33</v>
      </c>
      <c r="B223" s="47">
        <f t="shared" si="1"/>
        <v>-1234.15792639495</v>
      </c>
      <c r="C223" s="47">
        <f t="shared" si="2"/>
        <v>-1101.9976850823937</v>
      </c>
      <c r="D223" s="47">
        <f t="shared" si="3"/>
        <v>-1018.7332134442545</v>
      </c>
      <c r="E223" s="47">
        <f t="shared" si="4"/>
        <v>-626.81980535496984</v>
      </c>
      <c r="F223" s="47">
        <f t="shared" si="5"/>
        <v>-652.06975866980167</v>
      </c>
      <c r="G223" s="47">
        <f t="shared" si="6"/>
        <v>-643.35758860195256</v>
      </c>
      <c r="H223" s="47">
        <f t="shared" si="7"/>
        <v>-641.48306209172893</v>
      </c>
      <c r="I223" s="47">
        <f t="shared" si="8"/>
        <v>-654.40225716537418</v>
      </c>
      <c r="J223" s="47">
        <f t="shared" si="9"/>
        <v>-630.59420418291381</v>
      </c>
      <c r="K223" s="47">
        <f t="shared" si="10"/>
        <v>-636.99062408133727</v>
      </c>
      <c r="L223" s="47">
        <f t="shared" si="11"/>
        <v>-620.51090202500745</v>
      </c>
      <c r="M223" s="47">
        <f t="shared" si="12"/>
        <v>-652.29787166091353</v>
      </c>
      <c r="N223" s="47">
        <f t="shared" si="13"/>
        <v>-9113.4148987555982</v>
      </c>
    </row>
    <row r="224" spans="1:14">
      <c r="A224" s="1" t="s">
        <v>34</v>
      </c>
      <c r="B224" s="47">
        <f t="shared" si="1"/>
        <v>-527.71997087568968</v>
      </c>
      <c r="C224" s="47">
        <f t="shared" si="2"/>
        <v>-551.7408778011519</v>
      </c>
      <c r="D224" s="47">
        <f t="shared" si="3"/>
        <v>-606.00301305172468</v>
      </c>
      <c r="E224" s="47">
        <f t="shared" si="4"/>
        <v>-605.76064193395314</v>
      </c>
      <c r="F224" s="47">
        <f t="shared" si="5"/>
        <v>-630.16227665915619</v>
      </c>
      <c r="G224" s="47">
        <f t="shared" si="6"/>
        <v>-621.74280795722291</v>
      </c>
      <c r="H224" s="47">
        <f t="shared" si="7"/>
        <v>-619.93125961038629</v>
      </c>
      <c r="I224" s="47">
        <f t="shared" si="8"/>
        <v>-632.41641058076675</v>
      </c>
      <c r="J224" s="47">
        <f t="shared" si="9"/>
        <v>-609.40823289613616</v>
      </c>
      <c r="K224" s="47">
        <f t="shared" si="10"/>
        <v>-615.58975331180613</v>
      </c>
      <c r="L224" s="47">
        <f t="shared" si="11"/>
        <v>-599.66369780677599</v>
      </c>
      <c r="M224" s="47">
        <f t="shared" si="12"/>
        <v>-630.38272577507257</v>
      </c>
      <c r="N224" s="47">
        <f t="shared" si="13"/>
        <v>-7250.521668259842</v>
      </c>
    </row>
    <row r="225" spans="1:14">
      <c r="A225" s="1" t="s">
        <v>49</v>
      </c>
      <c r="B225" s="47">
        <f t="shared" si="1"/>
        <v>-7.4539980373696499</v>
      </c>
      <c r="C225" s="47">
        <f t="shared" si="2"/>
        <v>-7.0707079091081511</v>
      </c>
      <c r="D225" s="47">
        <f t="shared" si="3"/>
        <v>-7.76609178280329</v>
      </c>
      <c r="E225" s="47">
        <f t="shared" si="4"/>
        <v>-7.7629857316689286</v>
      </c>
      <c r="F225" s="47">
        <f t="shared" si="5"/>
        <v>-6.5099262925700758</v>
      </c>
      <c r="G225" s="47">
        <f t="shared" si="6"/>
        <v>0</v>
      </c>
      <c r="H225" s="47">
        <f t="shared" si="7"/>
        <v>0</v>
      </c>
      <c r="I225" s="47">
        <f t="shared" si="8"/>
        <v>0</v>
      </c>
      <c r="J225" s="47">
        <f t="shared" si="9"/>
        <v>0</v>
      </c>
      <c r="K225" s="47">
        <f t="shared" si="10"/>
        <v>0</v>
      </c>
      <c r="L225" s="47">
        <f t="shared" si="11"/>
        <v>0</v>
      </c>
      <c r="M225" s="47">
        <f t="shared" si="12"/>
        <v>0</v>
      </c>
      <c r="N225" s="47">
        <f t="shared" si="13"/>
        <v>-36.563709753520101</v>
      </c>
    </row>
    <row r="226" spans="1:14">
      <c r="A226" s="1" t="s">
        <v>37</v>
      </c>
      <c r="B226" s="47">
        <f t="shared" si="1"/>
        <v>-552.94183773742805</v>
      </c>
      <c r="C226" s="47">
        <f t="shared" si="2"/>
        <v>-462.30695359250069</v>
      </c>
      <c r="D226" s="47">
        <f t="shared" si="3"/>
        <v>-507.77351851893974</v>
      </c>
      <c r="E226" s="47">
        <f t="shared" si="4"/>
        <v>-507.57043432198418</v>
      </c>
      <c r="F226" s="47">
        <f t="shared" si="5"/>
        <v>-528.01670877140293</v>
      </c>
      <c r="G226" s="47">
        <f t="shared" si="6"/>
        <v>-520.96198601464368</v>
      </c>
      <c r="H226" s="47">
        <f t="shared" si="7"/>
        <v>-519.44407891149547</v>
      </c>
      <c r="I226" s="47">
        <f t="shared" si="8"/>
        <v>-529.90546095239483</v>
      </c>
      <c r="J226" s="47">
        <f t="shared" si="9"/>
        <v>-503.29389696325183</v>
      </c>
      <c r="K226" s="47">
        <f t="shared" si="10"/>
        <v>-503.05497768642249</v>
      </c>
      <c r="L226" s="47">
        <f t="shared" si="11"/>
        <v>-519.0292190054123</v>
      </c>
      <c r="M226" s="47">
        <f t="shared" si="12"/>
        <v>-497.15009768896908</v>
      </c>
      <c r="N226" s="47">
        <f t="shared" si="13"/>
        <v>-6151.4491701648458</v>
      </c>
    </row>
    <row r="227" spans="1:14">
      <c r="A227" s="1" t="s">
        <v>36</v>
      </c>
      <c r="B227" s="47">
        <f t="shared" si="1"/>
        <v>-244.34198745177159</v>
      </c>
      <c r="C227" s="47">
        <f t="shared" si="2"/>
        <v>-251.78339542552695</v>
      </c>
      <c r="D227" s="47">
        <f t="shared" si="3"/>
        <v>-276.54557130576381</v>
      </c>
      <c r="E227" s="47">
        <f t="shared" si="4"/>
        <v>-276.43496680745506</v>
      </c>
      <c r="F227" s="47">
        <f t="shared" si="5"/>
        <v>-287.57049562585695</v>
      </c>
      <c r="G227" s="47">
        <f t="shared" si="6"/>
        <v>-283.72832531957107</v>
      </c>
      <c r="H227" s="47">
        <f t="shared" si="7"/>
        <v>-281.76518486475487</v>
      </c>
      <c r="I227" s="47">
        <f t="shared" si="8"/>
        <v>-270.72882909917053</v>
      </c>
      <c r="J227" s="47">
        <f t="shared" si="9"/>
        <v>-260.87934243176181</v>
      </c>
      <c r="K227" s="47">
        <f t="shared" si="10"/>
        <v>-263.52556690694604</v>
      </c>
      <c r="L227" s="47">
        <f t="shared" si="11"/>
        <v>-266.18357108774921</v>
      </c>
      <c r="M227" s="47">
        <f t="shared" si="12"/>
        <v>-283.44161624011474</v>
      </c>
      <c r="N227" s="47">
        <f t="shared" si="13"/>
        <v>-3246.9288525664424</v>
      </c>
    </row>
    <row r="228" spans="1:14">
      <c r="A228" s="1" t="s">
        <v>39</v>
      </c>
      <c r="B228" s="47">
        <f t="shared" si="1"/>
        <v>-238.6431834066193</v>
      </c>
      <c r="C228" s="47">
        <f t="shared" si="2"/>
        <v>-226.37197325629671</v>
      </c>
      <c r="D228" s="47">
        <f t="shared" si="3"/>
        <v>-248.63500853968051</v>
      </c>
      <c r="E228" s="47">
        <f t="shared" si="4"/>
        <v>-234.65905553937299</v>
      </c>
      <c r="F228" s="47">
        <f t="shared" si="5"/>
        <v>-275.78226569793259</v>
      </c>
      <c r="G228" s="47">
        <f t="shared" si="6"/>
        <v>-272.09759550964094</v>
      </c>
      <c r="H228" s="47">
        <f t="shared" si="7"/>
        <v>-271.30479510565516</v>
      </c>
      <c r="I228" s="47">
        <f t="shared" si="8"/>
        <v>-276.76875788115888</v>
      </c>
      <c r="J228" s="47">
        <f t="shared" si="9"/>
        <v>-266.69953030840128</v>
      </c>
      <c r="K228" s="47">
        <f t="shared" si="10"/>
        <v>-269.40479174475604</v>
      </c>
      <c r="L228" s="47">
        <f t="shared" si="11"/>
        <v>-262.43496217308854</v>
      </c>
      <c r="M228" s="47">
        <f t="shared" si="12"/>
        <v>-275.87874236578523</v>
      </c>
      <c r="N228" s="47">
        <f t="shared" si="13"/>
        <v>-3118.6806615283886</v>
      </c>
    </row>
    <row r="229" spans="1:14">
      <c r="A229" s="1" t="s">
        <v>12</v>
      </c>
      <c r="B229" s="47">
        <f t="shared" si="1"/>
        <v>-5587.7074522200091</v>
      </c>
      <c r="C229" s="47">
        <f t="shared" si="2"/>
        <v>-5300.383375219727</v>
      </c>
      <c r="D229" s="47">
        <f t="shared" si="3"/>
        <v>-5821.6609008804517</v>
      </c>
      <c r="E229" s="47">
        <f t="shared" si="4"/>
        <v>-5819.844004728704</v>
      </c>
      <c r="F229" s="47">
        <f t="shared" si="5"/>
        <v>-6153.3752838596283</v>
      </c>
      <c r="G229" s="47">
        <f t="shared" si="6"/>
        <v>-6700.2316426374346</v>
      </c>
      <c r="H229" s="47">
        <f t="shared" si="7"/>
        <v>-6680.7094328099956</v>
      </c>
      <c r="I229" s="47">
        <f t="shared" si="8"/>
        <v>-6815.2560693359537</v>
      </c>
      <c r="J229" s="47">
        <f t="shared" si="9"/>
        <v>-6387.0170890937025</v>
      </c>
      <c r="K229" s="47">
        <f t="shared" si="10"/>
        <v>-6848.9583122768845</v>
      </c>
      <c r="L229" s="47">
        <f t="shared" si="11"/>
        <v>-6549.2269438823423</v>
      </c>
      <c r="M229" s="47">
        <f t="shared" si="12"/>
        <v>-6944.949264427345</v>
      </c>
      <c r="N229" s="47">
        <f t="shared" si="13"/>
        <v>-75609.319771372175</v>
      </c>
    </row>
    <row r="230" spans="1:14">
      <c r="A230" s="1" t="s">
        <v>16</v>
      </c>
      <c r="B230" s="47">
        <f t="shared" si="1"/>
        <v>-803.29992296000546</v>
      </c>
      <c r="C230" s="47">
        <f t="shared" si="2"/>
        <v>-813.42928192318266</v>
      </c>
      <c r="D230" s="47">
        <f t="shared" si="3"/>
        <v>-893.42772229322838</v>
      </c>
      <c r="E230" s="47">
        <f t="shared" si="4"/>
        <v>-900.50656510014142</v>
      </c>
      <c r="F230" s="47">
        <f t="shared" si="5"/>
        <v>-929.07311591405312</v>
      </c>
      <c r="G230" s="47">
        <f t="shared" si="6"/>
        <v>-916.6599609046541</v>
      </c>
      <c r="H230" s="47">
        <f t="shared" si="7"/>
        <v>-911.24805065923147</v>
      </c>
      <c r="I230" s="47">
        <f t="shared" si="8"/>
        <v>-889.14557224425869</v>
      </c>
      <c r="J230" s="47">
        <f t="shared" si="9"/>
        <v>-856.79723502304171</v>
      </c>
      <c r="K230" s="47">
        <f t="shared" si="10"/>
        <v>-909.69310817421388</v>
      </c>
      <c r="L230" s="47">
        <f t="shared" si="11"/>
        <v>-886.15824123501795</v>
      </c>
      <c r="M230" s="47">
        <f t="shared" si="12"/>
        <v>-923.56832505778982</v>
      </c>
      <c r="N230" s="47">
        <f t="shared" si="13"/>
        <v>-10633.00710148882</v>
      </c>
    </row>
    <row r="231" spans="1:14">
      <c r="A231" s="1" t="s">
        <v>43</v>
      </c>
      <c r="B231" s="47">
        <f t="shared" si="1"/>
        <v>-83.262744034448218</v>
      </c>
      <c r="C231" s="47">
        <f t="shared" si="2"/>
        <v>-78.981311750676142</v>
      </c>
      <c r="D231" s="47">
        <f t="shared" si="3"/>
        <v>-86.748897573866529</v>
      </c>
      <c r="E231" s="47">
        <f t="shared" si="4"/>
        <v>-86.714202321833781</v>
      </c>
      <c r="F231" s="47">
        <f t="shared" si="5"/>
        <v>-89.709988725429625</v>
      </c>
      <c r="G231" s="47">
        <f t="shared" si="6"/>
        <v>-102.56425325538375</v>
      </c>
      <c r="H231" s="47">
        <f t="shared" si="7"/>
        <v>-102.26541569578288</v>
      </c>
      <c r="I231" s="47">
        <f t="shared" si="8"/>
        <v>-104.32499751911763</v>
      </c>
      <c r="J231" s="47">
        <f t="shared" si="9"/>
        <v>-100.52951081176887</v>
      </c>
      <c r="K231" s="47">
        <f t="shared" si="10"/>
        <v>-101.5492299260103</v>
      </c>
      <c r="L231" s="47">
        <f t="shared" si="11"/>
        <v>-98.922027859059156</v>
      </c>
      <c r="M231" s="47">
        <f t="shared" si="12"/>
        <v>-103.9895157720297</v>
      </c>
      <c r="N231" s="47">
        <f t="shared" si="13"/>
        <v>-1139.5620952454067</v>
      </c>
    </row>
    <row r="232" spans="1:14">
      <c r="A232" s="1" t="s">
        <v>30</v>
      </c>
      <c r="B232" s="47">
        <f t="shared" si="1"/>
        <v>-218.34504804187856</v>
      </c>
      <c r="C232" s="47">
        <f t="shared" si="2"/>
        <v>-207.11758312309695</v>
      </c>
      <c r="D232" s="47">
        <f t="shared" si="3"/>
        <v>-227.48700427780003</v>
      </c>
      <c r="E232" s="47">
        <f t="shared" si="4"/>
        <v>-227.39602077059325</v>
      </c>
      <c r="F232" s="47">
        <f t="shared" si="5"/>
        <v>-236.55613163400864</v>
      </c>
      <c r="G232" s="47">
        <f t="shared" si="6"/>
        <v>-233.39555376333396</v>
      </c>
      <c r="H232" s="47">
        <f t="shared" si="7"/>
        <v>-232.71551802481343</v>
      </c>
      <c r="I232" s="47">
        <f t="shared" si="8"/>
        <v>-237.40230923052894</v>
      </c>
      <c r="J232" s="47">
        <f t="shared" si="9"/>
        <v>-228.76528713222265</v>
      </c>
      <c r="K232" s="47">
        <f t="shared" si="10"/>
        <v>-228.96565580317619</v>
      </c>
      <c r="L232" s="47">
        <f t="shared" si="11"/>
        <v>-221.22373651953461</v>
      </c>
      <c r="M232" s="47">
        <f t="shared" si="12"/>
        <v>-247.50765232722125</v>
      </c>
      <c r="N232" s="47">
        <f t="shared" si="13"/>
        <v>-2746.8775006482088</v>
      </c>
    </row>
    <row r="233" spans="1:14">
      <c r="A233" s="1" t="s">
        <v>17</v>
      </c>
      <c r="B233" s="47">
        <f t="shared" si="1"/>
        <v>-1273.7838955786867</v>
      </c>
      <c r="C233" s="47">
        <f t="shared" si="2"/>
        <v>-1208.2865356728801</v>
      </c>
      <c r="D233" s="47">
        <f t="shared" si="3"/>
        <v>-1357.5068382827849</v>
      </c>
      <c r="E233" s="47">
        <f t="shared" si="4"/>
        <v>-1579.2005130397606</v>
      </c>
      <c r="F233" s="47">
        <f t="shared" si="5"/>
        <v>-1642.8148706084899</v>
      </c>
      <c r="G233" s="47">
        <f t="shared" si="6"/>
        <v>-1620.8655586638145</v>
      </c>
      <c r="H233" s="47">
        <f t="shared" si="7"/>
        <v>-1616.1429043996031</v>
      </c>
      <c r="I233" s="47">
        <f t="shared" si="8"/>
        <v>-1648.6913326944104</v>
      </c>
      <c r="J233" s="47">
        <f t="shared" si="9"/>
        <v>-1588.7096774193549</v>
      </c>
      <c r="K233" s="47">
        <f t="shared" si="10"/>
        <v>-1604.8247227623904</v>
      </c>
      <c r="L233" s="47">
        <f t="shared" si="11"/>
        <v>-1563.3059556402015</v>
      </c>
      <c r="M233" s="47">
        <f t="shared" si="12"/>
        <v>-1643.3895750921668</v>
      </c>
      <c r="N233" s="47">
        <f t="shared" si="13"/>
        <v>-18347.522379854541</v>
      </c>
    </row>
    <row r="234" spans="1:14">
      <c r="A234" s="1" t="s">
        <v>41</v>
      </c>
      <c r="B234" s="47">
        <f t="shared" si="1"/>
        <v>-196.55948962333895</v>
      </c>
      <c r="C234" s="47">
        <f t="shared" si="2"/>
        <v>-187.15785140121406</v>
      </c>
      <c r="D234" s="47">
        <f t="shared" si="3"/>
        <v>-217.56293039534967</v>
      </c>
      <c r="E234" s="47">
        <f t="shared" si="4"/>
        <v>-217.47591602497542</v>
      </c>
      <c r="F234" s="47">
        <f t="shared" si="5"/>
        <v>-226.23641893158219</v>
      </c>
      <c r="G234" s="47">
        <f t="shared" si="6"/>
        <v>-223.21372062198125</v>
      </c>
      <c r="H234" s="47">
        <f t="shared" si="7"/>
        <v>-222.56335130301389</v>
      </c>
      <c r="I234" s="47">
        <f t="shared" si="8"/>
        <v>-227.04568220408561</v>
      </c>
      <c r="J234" s="47">
        <f t="shared" si="9"/>
        <v>-218.78544842254519</v>
      </c>
      <c r="K234" s="47">
        <f t="shared" si="10"/>
        <v>-221.00469431236237</v>
      </c>
      <c r="L234" s="47">
        <f t="shared" si="11"/>
        <v>-215.28703411812563</v>
      </c>
      <c r="M234" s="47">
        <f t="shared" si="12"/>
        <v>-226.31556301936538</v>
      </c>
      <c r="N234" s="47">
        <f t="shared" si="13"/>
        <v>-2599.2081003779394</v>
      </c>
    </row>
    <row r="235" spans="1:14">
      <c r="A235" s="1" t="s">
        <v>14</v>
      </c>
      <c r="B235" s="47">
        <f t="shared" si="1"/>
        <v>-4833.2875736412707</v>
      </c>
      <c r="C235" s="47">
        <f t="shared" si="2"/>
        <v>-4584.7563284305606</v>
      </c>
      <c r="D235" s="47">
        <f t="shared" si="3"/>
        <v>-5156.4470394826612</v>
      </c>
      <c r="E235" s="47">
        <f t="shared" si="4"/>
        <v>-5888.1310811890116</v>
      </c>
      <c r="F235" s="47">
        <f t="shared" si="5"/>
        <v>-6125.3205152839291</v>
      </c>
      <c r="G235" s="47">
        <f t="shared" si="6"/>
        <v>-6043.4813664203157</v>
      </c>
      <c r="H235" s="47">
        <f t="shared" si="7"/>
        <v>-6025.8727048670798</v>
      </c>
      <c r="I235" s="47">
        <f t="shared" si="8"/>
        <v>-6147.2312091887425</v>
      </c>
      <c r="J235" s="47">
        <f t="shared" si="9"/>
        <v>-5923.5864941510099</v>
      </c>
      <c r="K235" s="47">
        <f t="shared" si="10"/>
        <v>-5983.6722771631048</v>
      </c>
      <c r="L235" s="47">
        <f t="shared" si="11"/>
        <v>-5828.8673989185827</v>
      </c>
      <c r="M235" s="47">
        <f t="shared" si="12"/>
        <v>-6127.4633307813247</v>
      </c>
      <c r="N235" s="47">
        <f t="shared" si="13"/>
        <v>-68668.117319517594</v>
      </c>
    </row>
    <row r="236" spans="1:14">
      <c r="A236" s="1" t="s">
        <v>25</v>
      </c>
      <c r="B236" s="47">
        <f t="shared" si="1"/>
        <v>-387.36297842866514</v>
      </c>
      <c r="C236" s="47">
        <f t="shared" si="2"/>
        <v>-382.37886903810841</v>
      </c>
      <c r="D236" s="47">
        <f t="shared" si="3"/>
        <v>-419.98473574748931</v>
      </c>
      <c r="E236" s="47">
        <f t="shared" si="4"/>
        <v>-419.81676270501623</v>
      </c>
      <c r="F236" s="47">
        <f t="shared" si="5"/>
        <v>-436.72808804688617</v>
      </c>
      <c r="G236" s="47">
        <f t="shared" si="6"/>
        <v>-430.89305379497915</v>
      </c>
      <c r="H236" s="47">
        <f t="shared" si="7"/>
        <v>-429.63757711028637</v>
      </c>
      <c r="I236" s="47">
        <f t="shared" si="8"/>
        <v>-425.9486278606725</v>
      </c>
      <c r="J236" s="47">
        <f t="shared" si="9"/>
        <v>-436.78438496986888</v>
      </c>
      <c r="K236" s="47">
        <f t="shared" si="10"/>
        <v>-431.42924571618011</v>
      </c>
      <c r="L236" s="47">
        <f t="shared" si="11"/>
        <v>-420.26764649071521</v>
      </c>
      <c r="M236" s="47">
        <f t="shared" si="12"/>
        <v>-441.79673626876342</v>
      </c>
      <c r="N236" s="47">
        <f t="shared" si="13"/>
        <v>-5063.0287061776307</v>
      </c>
    </row>
    <row r="237" spans="1:14">
      <c r="A237" s="1" t="s">
        <v>13</v>
      </c>
      <c r="B237" s="47">
        <f t="shared" si="1"/>
        <v>-884.3224626412499</v>
      </c>
      <c r="C237" s="47">
        <f t="shared" si="2"/>
        <v>-838.84994327231573</v>
      </c>
      <c r="D237" s="47">
        <f t="shared" si="3"/>
        <v>-921.34843288609841</v>
      </c>
      <c r="E237" s="47">
        <f t="shared" si="4"/>
        <v>-920.97993925698063</v>
      </c>
      <c r="F237" s="47">
        <f t="shared" si="5"/>
        <v>-901.16729789283181</v>
      </c>
      <c r="G237" s="47">
        <f t="shared" si="6"/>
        <v>-1088.1134868093895</v>
      </c>
      <c r="H237" s="47">
        <f t="shared" si="7"/>
        <v>-1084.9430919725328</v>
      </c>
      <c r="I237" s="47">
        <f t="shared" si="8"/>
        <v>-1106.7933827710024</v>
      </c>
      <c r="J237" s="47">
        <f t="shared" si="9"/>
        <v>-1066.5267192484935</v>
      </c>
      <c r="K237" s="47">
        <f t="shared" si="10"/>
        <v>-1077.3450120332184</v>
      </c>
      <c r="L237" s="47">
        <f t="shared" si="11"/>
        <v>-1049.4727864683823</v>
      </c>
      <c r="M237" s="47">
        <f t="shared" si="12"/>
        <v>-1103.234226417806</v>
      </c>
      <c r="N237" s="47">
        <f t="shared" si="13"/>
        <v>-12043.096781670301</v>
      </c>
    </row>
    <row r="238" spans="1:14">
      <c r="A238" s="1" t="s">
        <v>15</v>
      </c>
      <c r="B238" s="47">
        <f t="shared" si="1"/>
        <v>-5745.975095224092</v>
      </c>
      <c r="C238" s="47">
        <f t="shared" si="2"/>
        <v>-5461.6545469109169</v>
      </c>
      <c r="D238" s="47">
        <f t="shared" si="3"/>
        <v>-5389.7638700180023</v>
      </c>
      <c r="E238" s="47">
        <f t="shared" si="4"/>
        <v>-4331.4048706477352</v>
      </c>
      <c r="F238" s="47">
        <f t="shared" si="5"/>
        <v>-8818.0549208149132</v>
      </c>
      <c r="G238" s="47">
        <f t="shared" si="6"/>
        <v>-7077.9427294772031</v>
      </c>
      <c r="H238" s="47">
        <f t="shared" si="7"/>
        <v>-7057.3199972372977</v>
      </c>
      <c r="I238" s="47">
        <f t="shared" si="8"/>
        <v>-7199.4514097864394</v>
      </c>
      <c r="J238" s="47">
        <f t="shared" si="9"/>
        <v>-6937.5254785537045</v>
      </c>
      <c r="K238" s="47">
        <f t="shared" si="10"/>
        <v>-7007.8961316971772</v>
      </c>
      <c r="L238" s="47">
        <f t="shared" si="11"/>
        <v>-6826.593336830213</v>
      </c>
      <c r="M238" s="47">
        <f t="shared" si="12"/>
        <v>-7176.2998680230448</v>
      </c>
      <c r="N238" s="47">
        <f t="shared" si="13"/>
        <v>-79029.882255220728</v>
      </c>
    </row>
    <row r="240" spans="1:14">
      <c r="N240" s="95">
        <f>SUM(N204:N239)</f>
        <v>-584770.69610251696</v>
      </c>
    </row>
  </sheetData>
  <mergeCells count="13">
    <mergeCell ref="Y1:Y2"/>
    <mergeCell ref="G1:G2"/>
    <mergeCell ref="H1:H2"/>
    <mergeCell ref="I1:I2"/>
    <mergeCell ref="J1:J2"/>
    <mergeCell ref="W1:W2"/>
    <mergeCell ref="X1:X2"/>
    <mergeCell ref="F1:F2"/>
    <mergeCell ref="A1:A2"/>
    <mergeCell ref="B1:B2"/>
    <mergeCell ref="C1:C2"/>
    <mergeCell ref="D1:D2"/>
    <mergeCell ref="E1:E2"/>
  </mergeCells>
  <conditionalFormatting sqref="W1:X1 W2">
    <cfRule type="cellIs" dxfId="1" priority="1" stopIfTrue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AAEBB-B1A7-491D-8F41-605D4A1049FF}">
  <dimension ref="A1:AI53"/>
  <sheetViews>
    <sheetView topLeftCell="G1" zoomScale="80" zoomScaleNormal="80" workbookViewId="0">
      <selection activeCell="V38" sqref="V38"/>
    </sheetView>
  </sheetViews>
  <sheetFormatPr defaultColWidth="8.7109375" defaultRowHeight="14.45"/>
  <cols>
    <col min="1" max="1" width="16.7109375" customWidth="1"/>
    <col min="2" max="2" width="14.28515625" bestFit="1" customWidth="1"/>
    <col min="3" max="3" width="30.7109375" customWidth="1"/>
    <col min="4" max="4" width="38.7109375" bestFit="1" customWidth="1"/>
    <col min="5" max="5" width="13.7109375" customWidth="1"/>
    <col min="6" max="6" width="14.42578125" customWidth="1"/>
    <col min="7" max="7" width="19.5703125" bestFit="1" customWidth="1"/>
    <col min="8" max="8" width="18.5703125" bestFit="1" customWidth="1"/>
    <col min="9" max="9" width="13.28515625" customWidth="1"/>
    <col min="10" max="10" width="11.5703125" bestFit="1" customWidth="1"/>
    <col min="11" max="12" width="12.28515625" bestFit="1" customWidth="1"/>
    <col min="13" max="13" width="15.42578125" customWidth="1"/>
    <col min="14" max="14" width="12.28515625" bestFit="1" customWidth="1"/>
    <col min="15" max="18" width="11.28515625" customWidth="1"/>
    <col min="19" max="19" width="15.28515625" customWidth="1"/>
    <col min="20" max="20" width="30" customWidth="1"/>
    <col min="21" max="21" width="30.5703125" bestFit="1" customWidth="1"/>
    <col min="22" max="22" width="16.7109375" bestFit="1" customWidth="1"/>
    <col min="23" max="27" width="9.85546875" bestFit="1" customWidth="1"/>
    <col min="28" max="28" width="8.28515625" bestFit="1" customWidth="1"/>
    <col min="29" max="29" width="9.85546875" bestFit="1" customWidth="1"/>
    <col min="30" max="30" width="10.7109375" bestFit="1" customWidth="1"/>
    <col min="31" max="31" width="10.85546875" bestFit="1" customWidth="1"/>
    <col min="32" max="33" width="10.140625" bestFit="1" customWidth="1"/>
    <col min="34" max="35" width="11" bestFit="1" customWidth="1"/>
  </cols>
  <sheetData>
    <row r="1" spans="1:35">
      <c r="A1" s="9" t="s">
        <v>216</v>
      </c>
      <c r="B1" s="9"/>
    </row>
    <row r="2" spans="1:35">
      <c r="A2" s="9"/>
      <c r="B2" s="9"/>
    </row>
    <row r="3" spans="1:35">
      <c r="B3" s="9" t="s">
        <v>217</v>
      </c>
      <c r="C3" s="9" t="s">
        <v>218</v>
      </c>
      <c r="D3" s="9" t="s">
        <v>219</v>
      </c>
      <c r="E3" s="9" t="s">
        <v>220</v>
      </c>
      <c r="F3" s="10">
        <v>45930</v>
      </c>
    </row>
    <row r="4" spans="1:35">
      <c r="B4" s="11"/>
      <c r="C4" t="s">
        <v>221</v>
      </c>
      <c r="D4" s="9"/>
      <c r="E4" s="9"/>
      <c r="F4" s="9" t="s">
        <v>222</v>
      </c>
    </row>
    <row r="5" spans="1:35">
      <c r="B5" s="12"/>
      <c r="C5" t="s">
        <v>223</v>
      </c>
      <c r="D5" t="s">
        <v>224</v>
      </c>
      <c r="E5" s="2">
        <v>41164.096999999994</v>
      </c>
      <c r="F5" s="2">
        <v>41164.1</v>
      </c>
      <c r="G5" s="13">
        <f>E5-F5</f>
        <v>-3.0000000042491592E-3</v>
      </c>
      <c r="H5" s="14" t="s">
        <v>225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</row>
    <row r="6" spans="1:35">
      <c r="B6" s="15"/>
      <c r="C6" t="s">
        <v>226</v>
      </c>
      <c r="D6" t="s">
        <v>227</v>
      </c>
      <c r="E6" s="2">
        <v>46852.614000000001</v>
      </c>
      <c r="F6" s="2">
        <v>46852.61</v>
      </c>
      <c r="G6" s="13">
        <f>E6-F6</f>
        <v>4.0000000008149073E-3</v>
      </c>
      <c r="H6" s="14" t="s">
        <v>228</v>
      </c>
      <c r="I6" s="13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spans="1:35">
      <c r="D7" s="16" t="s">
        <v>61</v>
      </c>
      <c r="E7" s="16">
        <v>88016.710999999996</v>
      </c>
      <c r="F7" s="16">
        <v>88016.709999999992</v>
      </c>
      <c r="G7" s="17"/>
      <c r="H7" s="18"/>
      <c r="I7" s="18"/>
      <c r="J7" s="18"/>
      <c r="K7" s="18"/>
      <c r="L7" s="18"/>
      <c r="M7" s="18"/>
      <c r="N7" s="18"/>
      <c r="O7" s="18">
        <v>2025</v>
      </c>
      <c r="P7" s="18"/>
      <c r="Q7" s="18"/>
      <c r="R7" s="18"/>
      <c r="S7" s="18"/>
      <c r="T7" s="18"/>
    </row>
    <row r="8" spans="1:35">
      <c r="A8" s="9"/>
      <c r="B8" s="9"/>
      <c r="J8" s="107"/>
      <c r="K8" s="107"/>
      <c r="L8" s="107"/>
      <c r="M8" s="107"/>
      <c r="N8" s="19"/>
      <c r="O8" s="19"/>
      <c r="P8" s="19"/>
      <c r="Q8" s="19"/>
      <c r="R8" s="19"/>
    </row>
    <row r="9" spans="1:35" ht="28.9">
      <c r="A9" s="20" t="s">
        <v>229</v>
      </c>
      <c r="B9" s="20" t="s">
        <v>230</v>
      </c>
      <c r="C9" s="20" t="s">
        <v>2</v>
      </c>
      <c r="D9" s="20" t="s">
        <v>81</v>
      </c>
      <c r="E9" s="20" t="s">
        <v>231</v>
      </c>
      <c r="F9" s="21" t="s">
        <v>232</v>
      </c>
      <c r="G9" s="21" t="s">
        <v>233</v>
      </c>
      <c r="H9" s="21" t="s">
        <v>234</v>
      </c>
      <c r="I9" s="21" t="s">
        <v>235</v>
      </c>
      <c r="J9" s="36">
        <v>2020</v>
      </c>
      <c r="K9" s="36">
        <v>2021</v>
      </c>
      <c r="L9" s="36">
        <v>2022</v>
      </c>
      <c r="M9" s="36">
        <v>2023</v>
      </c>
      <c r="N9" s="36">
        <v>2024</v>
      </c>
      <c r="O9" s="36">
        <v>2025</v>
      </c>
      <c r="P9" s="36">
        <v>2026</v>
      </c>
      <c r="Q9" s="36">
        <v>2027</v>
      </c>
      <c r="R9" s="36">
        <v>2028</v>
      </c>
      <c r="S9" s="36" t="s">
        <v>61</v>
      </c>
    </row>
    <row r="10" spans="1:35">
      <c r="A10" s="44" t="s">
        <v>236</v>
      </c>
      <c r="B10" s="44" t="s">
        <v>237</v>
      </c>
      <c r="C10" s="44" t="s">
        <v>27</v>
      </c>
      <c r="D10" s="44" t="s">
        <v>238</v>
      </c>
      <c r="E10" s="44" t="s">
        <v>239</v>
      </c>
      <c r="F10" s="45">
        <v>8266</v>
      </c>
      <c r="G10" s="46">
        <v>44197</v>
      </c>
      <c r="H10" s="46">
        <v>44562</v>
      </c>
      <c r="I10" s="46" t="s">
        <v>240</v>
      </c>
      <c r="J10" s="25"/>
      <c r="K10" s="26">
        <v>1653.2</v>
      </c>
      <c r="L10" s="26">
        <v>1653.2</v>
      </c>
      <c r="M10" s="26">
        <v>1653.2</v>
      </c>
      <c r="N10" s="26">
        <v>1653.2</v>
      </c>
      <c r="O10" s="26">
        <v>1653.2</v>
      </c>
      <c r="P10" s="27"/>
      <c r="Q10" s="27"/>
      <c r="R10" s="27"/>
      <c r="S10" s="28">
        <v>8266</v>
      </c>
      <c r="U10" s="5" t="s">
        <v>241</v>
      </c>
      <c r="V10" s="5" t="s">
        <v>242</v>
      </c>
    </row>
    <row r="11" spans="1:35">
      <c r="A11" s="44" t="s">
        <v>243</v>
      </c>
      <c r="B11" s="44" t="s">
        <v>244</v>
      </c>
      <c r="C11" s="44" t="s">
        <v>26</v>
      </c>
      <c r="D11" s="44" t="s">
        <v>245</v>
      </c>
      <c r="E11" s="44" t="s">
        <v>246</v>
      </c>
      <c r="F11" s="45">
        <v>40695</v>
      </c>
      <c r="G11" s="46">
        <v>44197</v>
      </c>
      <c r="H11" s="46">
        <v>44562</v>
      </c>
      <c r="I11" s="46" t="s">
        <v>240</v>
      </c>
      <c r="J11" s="25"/>
      <c r="K11" s="26">
        <v>8139</v>
      </c>
      <c r="L11" s="26">
        <v>8139</v>
      </c>
      <c r="M11" s="26">
        <v>8139</v>
      </c>
      <c r="N11" s="26">
        <v>8139</v>
      </c>
      <c r="O11" s="26">
        <v>8139</v>
      </c>
      <c r="P11" s="27"/>
      <c r="Q11" s="27"/>
      <c r="R11" s="27"/>
      <c r="S11" s="28">
        <v>40695</v>
      </c>
      <c r="U11" s="5" t="s">
        <v>62</v>
      </c>
      <c r="V11" t="s">
        <v>240</v>
      </c>
      <c r="W11" t="s">
        <v>247</v>
      </c>
      <c r="X11" t="s">
        <v>248</v>
      </c>
      <c r="Y11" t="s">
        <v>249</v>
      </c>
      <c r="Z11" t="s">
        <v>250</v>
      </c>
      <c r="AA11" t="s">
        <v>251</v>
      </c>
      <c r="AB11" t="s">
        <v>252</v>
      </c>
      <c r="AC11" t="s">
        <v>253</v>
      </c>
      <c r="AD11" t="s">
        <v>254</v>
      </c>
      <c r="AE11" t="s">
        <v>255</v>
      </c>
      <c r="AF11" t="s">
        <v>256</v>
      </c>
      <c r="AG11" t="s">
        <v>257</v>
      </c>
      <c r="AH11" t="s">
        <v>76</v>
      </c>
      <c r="AI11" t="s">
        <v>258</v>
      </c>
    </row>
    <row r="12" spans="1:35">
      <c r="A12" s="44" t="s">
        <v>259</v>
      </c>
      <c r="B12" s="44" t="s">
        <v>244</v>
      </c>
      <c r="C12" s="44" t="s">
        <v>49</v>
      </c>
      <c r="D12" s="44" t="s">
        <v>260</v>
      </c>
      <c r="E12" s="44" t="s">
        <v>261</v>
      </c>
      <c r="F12" s="45">
        <v>5000</v>
      </c>
      <c r="G12" s="46">
        <v>44197</v>
      </c>
      <c r="H12" s="46">
        <v>44562</v>
      </c>
      <c r="I12" s="46" t="s">
        <v>240</v>
      </c>
      <c r="J12" s="25"/>
      <c r="K12" s="26">
        <v>1000</v>
      </c>
      <c r="L12" s="26">
        <v>1000</v>
      </c>
      <c r="M12" s="26">
        <v>1000</v>
      </c>
      <c r="N12" s="26">
        <v>1000</v>
      </c>
      <c r="O12" s="26">
        <v>1000</v>
      </c>
      <c r="P12" s="27"/>
      <c r="Q12" s="27"/>
      <c r="R12" s="27"/>
      <c r="S12" s="28">
        <v>5000</v>
      </c>
      <c r="U12" s="1" t="s">
        <v>32</v>
      </c>
      <c r="V12" s="2"/>
      <c r="W12" s="2"/>
      <c r="X12" s="2"/>
      <c r="Y12" s="2">
        <v>3105</v>
      </c>
      <c r="Z12" s="2"/>
      <c r="AA12" s="2"/>
      <c r="AB12" s="2"/>
      <c r="AC12" s="2"/>
      <c r="AD12" s="2">
        <v>3405</v>
      </c>
      <c r="AE12" s="2"/>
      <c r="AF12" s="2"/>
      <c r="AG12" s="2"/>
      <c r="AH12" s="2">
        <v>6510</v>
      </c>
      <c r="AI12" s="2">
        <f>V12+W12+X12+Y12+Z12+AA12+AB12+AC12+AD12</f>
        <v>6510</v>
      </c>
    </row>
    <row r="13" spans="1:35">
      <c r="A13" s="44" t="s">
        <v>262</v>
      </c>
      <c r="B13" s="44" t="s">
        <v>244</v>
      </c>
      <c r="C13" s="44" t="s">
        <v>17</v>
      </c>
      <c r="D13" s="44" t="s">
        <v>263</v>
      </c>
      <c r="E13" s="44" t="s">
        <v>264</v>
      </c>
      <c r="F13" s="45">
        <v>11700</v>
      </c>
      <c r="G13" s="46">
        <v>44197</v>
      </c>
      <c r="H13" s="46">
        <v>44562</v>
      </c>
      <c r="I13" s="46" t="s">
        <v>240</v>
      </c>
      <c r="J13" s="25"/>
      <c r="K13" s="26">
        <v>2340</v>
      </c>
      <c r="L13" s="26">
        <v>2340</v>
      </c>
      <c r="M13" s="26">
        <v>2340</v>
      </c>
      <c r="N13" s="26">
        <v>2340</v>
      </c>
      <c r="O13" s="26">
        <v>2340</v>
      </c>
      <c r="P13" s="27"/>
      <c r="Q13" s="27"/>
      <c r="R13" s="27"/>
      <c r="S13" s="28">
        <v>11700</v>
      </c>
      <c r="U13" s="1" t="s">
        <v>27</v>
      </c>
      <c r="V13" s="2">
        <v>1653.2</v>
      </c>
      <c r="W13" s="2"/>
      <c r="X13" s="2">
        <v>1500</v>
      </c>
      <c r="Y13" s="2"/>
      <c r="Z13" s="2"/>
      <c r="AA13" s="2"/>
      <c r="AB13" s="2"/>
      <c r="AC13" s="2"/>
      <c r="AD13" s="2"/>
      <c r="AE13" s="2"/>
      <c r="AF13" s="2"/>
      <c r="AG13" s="2"/>
      <c r="AH13" s="2">
        <v>3153.2</v>
      </c>
      <c r="AI13" s="2">
        <f t="shared" ref="AI13:AI26" si="0">V13+W13+X13+Y13+Z13+AA13+AB13+AC13+AD13</f>
        <v>3153.2</v>
      </c>
    </row>
    <row r="14" spans="1:35">
      <c r="A14" s="44" t="s">
        <v>265</v>
      </c>
      <c r="B14" s="44" t="s">
        <v>244</v>
      </c>
      <c r="C14" s="44" t="s">
        <v>17</v>
      </c>
      <c r="D14" s="44" t="s">
        <v>266</v>
      </c>
      <c r="E14" s="44" t="s">
        <v>267</v>
      </c>
      <c r="F14" s="45">
        <v>6500</v>
      </c>
      <c r="G14" s="46">
        <v>44197</v>
      </c>
      <c r="H14" s="46">
        <v>44562</v>
      </c>
      <c r="I14" s="46" t="s">
        <v>240</v>
      </c>
      <c r="J14" s="25"/>
      <c r="K14" s="26">
        <v>1300</v>
      </c>
      <c r="L14" s="26">
        <v>1300</v>
      </c>
      <c r="M14" s="26">
        <v>1300</v>
      </c>
      <c r="N14" s="26">
        <v>1300</v>
      </c>
      <c r="O14" s="26">
        <v>1300</v>
      </c>
      <c r="P14" s="27"/>
      <c r="Q14" s="27"/>
      <c r="R14" s="27"/>
      <c r="S14" s="28">
        <v>6500</v>
      </c>
      <c r="U14" s="1" t="s">
        <v>22</v>
      </c>
      <c r="V14" s="2"/>
      <c r="W14" s="2">
        <v>1391.202</v>
      </c>
      <c r="X14" s="2"/>
      <c r="Y14" s="2"/>
      <c r="Z14" s="2">
        <v>2480.2259999999997</v>
      </c>
      <c r="AA14" s="2">
        <v>1879.7380000000001</v>
      </c>
      <c r="AB14" s="2"/>
      <c r="AC14" s="2"/>
      <c r="AD14" s="2"/>
      <c r="AE14" s="2"/>
      <c r="AF14" s="2"/>
      <c r="AG14" s="2"/>
      <c r="AH14" s="2">
        <v>5751.1660000000002</v>
      </c>
      <c r="AI14" s="2">
        <f t="shared" si="0"/>
        <v>5751.1660000000002</v>
      </c>
    </row>
    <row r="15" spans="1:35">
      <c r="A15" s="44" t="s">
        <v>268</v>
      </c>
      <c r="B15" s="44" t="s">
        <v>244</v>
      </c>
      <c r="C15" s="44" t="s">
        <v>17</v>
      </c>
      <c r="D15" s="44" t="s">
        <v>269</v>
      </c>
      <c r="E15" s="44" t="s">
        <v>270</v>
      </c>
      <c r="F15" s="45">
        <v>11875</v>
      </c>
      <c r="G15" s="46">
        <v>44228</v>
      </c>
      <c r="H15" s="46">
        <v>44593</v>
      </c>
      <c r="I15" s="46" t="s">
        <v>247</v>
      </c>
      <c r="J15" s="25"/>
      <c r="K15" s="26">
        <v>2375</v>
      </c>
      <c r="L15" s="26">
        <v>2375</v>
      </c>
      <c r="M15" s="26">
        <v>2375</v>
      </c>
      <c r="N15" s="26">
        <v>2375</v>
      </c>
      <c r="O15" s="26">
        <v>2375</v>
      </c>
      <c r="P15" s="27"/>
      <c r="Q15" s="27"/>
      <c r="R15" s="27"/>
      <c r="S15" s="28">
        <v>11875</v>
      </c>
      <c r="U15" s="1" t="s">
        <v>57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>
        <f t="shared" si="0"/>
        <v>0</v>
      </c>
    </row>
    <row r="16" spans="1:35">
      <c r="A16" s="44" t="s">
        <v>271</v>
      </c>
      <c r="B16" s="44" t="s">
        <v>237</v>
      </c>
      <c r="C16" s="44" t="s">
        <v>13</v>
      </c>
      <c r="D16" s="44" t="s">
        <v>272</v>
      </c>
      <c r="E16" s="44" t="s">
        <v>273</v>
      </c>
      <c r="F16" s="45">
        <v>3666.25</v>
      </c>
      <c r="G16" s="46">
        <v>44228</v>
      </c>
      <c r="H16" s="46">
        <v>44593</v>
      </c>
      <c r="I16" s="46" t="s">
        <v>247</v>
      </c>
      <c r="J16" s="25"/>
      <c r="K16" s="26">
        <v>733.25</v>
      </c>
      <c r="L16" s="26">
        <v>733.25</v>
      </c>
      <c r="M16" s="26">
        <v>733.25</v>
      </c>
      <c r="N16" s="26">
        <v>733.25</v>
      </c>
      <c r="O16" s="26">
        <v>733.25</v>
      </c>
      <c r="P16" s="27"/>
      <c r="Q16" s="27"/>
      <c r="R16" s="27"/>
      <c r="S16" s="28">
        <v>3666.25</v>
      </c>
      <c r="U16" s="1" t="s">
        <v>28</v>
      </c>
      <c r="V16" s="2"/>
      <c r="W16" s="2"/>
      <c r="X16" s="2"/>
      <c r="Y16" s="2"/>
      <c r="Z16" s="2"/>
      <c r="AA16" s="2"/>
      <c r="AB16" s="2"/>
      <c r="AC16" s="2"/>
      <c r="AD16" s="2"/>
      <c r="AE16" s="2">
        <v>450</v>
      </c>
      <c r="AF16" s="2"/>
      <c r="AG16" s="2"/>
      <c r="AH16" s="2">
        <v>450</v>
      </c>
      <c r="AI16" s="2">
        <f>V16+W16+X16+Y16+Z16+AA16+AB16+AC16+AD16</f>
        <v>0</v>
      </c>
    </row>
    <row r="17" spans="1:35">
      <c r="A17" s="44"/>
      <c r="B17" s="44" t="s">
        <v>237</v>
      </c>
      <c r="C17" s="44" t="s">
        <v>27</v>
      </c>
      <c r="D17" s="44" t="s">
        <v>274</v>
      </c>
      <c r="E17" s="44" t="s">
        <v>275</v>
      </c>
      <c r="F17" s="45">
        <v>7500</v>
      </c>
      <c r="G17" s="46">
        <v>44256</v>
      </c>
      <c r="H17" s="46">
        <v>44621</v>
      </c>
      <c r="I17" s="46" t="s">
        <v>248</v>
      </c>
      <c r="J17" s="25"/>
      <c r="K17" s="26">
        <v>1500</v>
      </c>
      <c r="L17" s="26">
        <v>1500</v>
      </c>
      <c r="M17" s="26">
        <v>1500</v>
      </c>
      <c r="N17" s="26">
        <v>1500</v>
      </c>
      <c r="O17" s="26">
        <v>1500</v>
      </c>
      <c r="P17" s="27"/>
      <c r="Q17" s="27"/>
      <c r="R17" s="27"/>
      <c r="S17" s="28">
        <v>7500</v>
      </c>
      <c r="U17" s="1" t="s">
        <v>26</v>
      </c>
      <c r="V17" s="2">
        <v>8139</v>
      </c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>
        <v>8139</v>
      </c>
      <c r="AI17" s="2">
        <f t="shared" si="0"/>
        <v>8139</v>
      </c>
    </row>
    <row r="18" spans="1:35">
      <c r="A18" s="44"/>
      <c r="B18" s="44" t="s">
        <v>244</v>
      </c>
      <c r="C18" s="44" t="s">
        <v>24</v>
      </c>
      <c r="D18" s="44" t="s">
        <v>276</v>
      </c>
      <c r="E18" s="44" t="s">
        <v>277</v>
      </c>
      <c r="F18" s="45">
        <v>5000</v>
      </c>
      <c r="G18" s="46">
        <v>44256</v>
      </c>
      <c r="H18" s="46">
        <v>44621</v>
      </c>
      <c r="I18" s="46" t="s">
        <v>248</v>
      </c>
      <c r="J18" s="25"/>
      <c r="K18" s="26">
        <v>1000</v>
      </c>
      <c r="L18" s="26">
        <v>1000</v>
      </c>
      <c r="M18" s="26">
        <v>1000</v>
      </c>
      <c r="N18" s="26">
        <v>1000</v>
      </c>
      <c r="O18" s="26">
        <v>1000</v>
      </c>
      <c r="P18" s="27"/>
      <c r="Q18" s="27"/>
      <c r="R18" s="27"/>
      <c r="S18" s="28">
        <v>5000</v>
      </c>
      <c r="U18" s="1" t="s">
        <v>21</v>
      </c>
      <c r="V18" s="2"/>
      <c r="W18" s="2"/>
      <c r="X18" s="2"/>
      <c r="Y18" s="2"/>
      <c r="Z18" s="2"/>
      <c r="AA18" s="2"/>
      <c r="AB18" s="2"/>
      <c r="AC18" s="2"/>
      <c r="AD18" s="2"/>
      <c r="AE18" s="2">
        <v>350</v>
      </c>
      <c r="AF18" s="2"/>
      <c r="AG18" s="2"/>
      <c r="AH18" s="2">
        <v>350</v>
      </c>
      <c r="AI18" s="2">
        <f t="shared" si="0"/>
        <v>0</v>
      </c>
    </row>
    <row r="19" spans="1:35">
      <c r="A19" s="44"/>
      <c r="B19" s="44" t="s">
        <v>244</v>
      </c>
      <c r="C19" s="44" t="s">
        <v>17</v>
      </c>
      <c r="D19" s="44" t="s">
        <v>278</v>
      </c>
      <c r="E19" s="44" t="s">
        <v>279</v>
      </c>
      <c r="F19" s="45">
        <v>13500</v>
      </c>
      <c r="G19" s="46">
        <v>44256</v>
      </c>
      <c r="H19" s="46">
        <v>44621</v>
      </c>
      <c r="I19" s="46" t="s">
        <v>248</v>
      </c>
      <c r="J19" s="25"/>
      <c r="K19" s="26">
        <v>2700</v>
      </c>
      <c r="L19" s="26">
        <v>2700</v>
      </c>
      <c r="M19" s="26">
        <v>2700</v>
      </c>
      <c r="N19" s="26">
        <v>2700</v>
      </c>
      <c r="O19" s="26">
        <v>2700</v>
      </c>
      <c r="P19" s="27"/>
      <c r="Q19" s="27"/>
      <c r="R19" s="27"/>
      <c r="S19" s="28">
        <v>13500</v>
      </c>
      <c r="U19" s="1" t="s">
        <v>24</v>
      </c>
      <c r="V19" s="2"/>
      <c r="W19" s="2"/>
      <c r="X19" s="2">
        <v>1000</v>
      </c>
      <c r="Y19" s="2"/>
      <c r="Z19" s="2"/>
      <c r="AA19" s="2"/>
      <c r="AB19" s="2"/>
      <c r="AC19" s="2"/>
      <c r="AD19" s="2"/>
      <c r="AE19" s="2"/>
      <c r="AF19" s="2"/>
      <c r="AG19" s="2"/>
      <c r="AH19" s="2">
        <v>1000</v>
      </c>
      <c r="AI19" s="2">
        <f t="shared" si="0"/>
        <v>1000</v>
      </c>
    </row>
    <row r="20" spans="1:35">
      <c r="A20" s="44"/>
      <c r="B20" s="44" t="s">
        <v>244</v>
      </c>
      <c r="C20" s="44" t="s">
        <v>49</v>
      </c>
      <c r="D20" s="44" t="s">
        <v>276</v>
      </c>
      <c r="E20" s="44" t="s">
        <v>280</v>
      </c>
      <c r="F20" s="45">
        <v>5000</v>
      </c>
      <c r="G20" s="46">
        <v>44317</v>
      </c>
      <c r="H20" s="46">
        <v>44682</v>
      </c>
      <c r="I20" s="46" t="s">
        <v>250</v>
      </c>
      <c r="J20" s="25"/>
      <c r="K20" s="26">
        <v>1000</v>
      </c>
      <c r="L20" s="26">
        <v>1000</v>
      </c>
      <c r="M20" s="26">
        <v>1000</v>
      </c>
      <c r="N20" s="26">
        <v>1000</v>
      </c>
      <c r="O20" s="26">
        <v>1000</v>
      </c>
      <c r="P20" s="27"/>
      <c r="Q20" s="27"/>
      <c r="R20" s="27"/>
      <c r="S20" s="28">
        <v>5000</v>
      </c>
      <c r="U20" s="1" t="s">
        <v>23</v>
      </c>
      <c r="V20" s="2"/>
      <c r="W20" s="2"/>
      <c r="X20" s="2"/>
      <c r="Y20" s="2"/>
      <c r="Z20" s="2"/>
      <c r="AA20" s="2"/>
      <c r="AB20" s="2">
        <v>522.20000000000005</v>
      </c>
      <c r="AC20" s="2"/>
      <c r="AD20" s="2"/>
      <c r="AE20" s="2"/>
      <c r="AF20" s="2"/>
      <c r="AG20" s="2"/>
      <c r="AH20" s="2">
        <v>522.20000000000005</v>
      </c>
      <c r="AI20" s="2">
        <f t="shared" si="0"/>
        <v>522.20000000000005</v>
      </c>
    </row>
    <row r="21" spans="1:35">
      <c r="A21" s="44" t="s">
        <v>268</v>
      </c>
      <c r="B21" s="44" t="s">
        <v>244</v>
      </c>
      <c r="C21" s="44" t="s">
        <v>17</v>
      </c>
      <c r="D21" s="44" t="s">
        <v>281</v>
      </c>
      <c r="E21" s="44" t="s">
        <v>282</v>
      </c>
      <c r="F21" s="45">
        <v>11875</v>
      </c>
      <c r="G21" s="46">
        <v>44348</v>
      </c>
      <c r="H21" s="46">
        <v>44713</v>
      </c>
      <c r="I21" s="46" t="s">
        <v>251</v>
      </c>
      <c r="J21" s="25"/>
      <c r="K21" s="26">
        <v>2375</v>
      </c>
      <c r="L21" s="26">
        <v>2375</v>
      </c>
      <c r="M21" s="26">
        <v>2375</v>
      </c>
      <c r="N21" s="26">
        <v>2375</v>
      </c>
      <c r="O21" s="26">
        <v>2375</v>
      </c>
      <c r="P21" s="27"/>
      <c r="Q21" s="27"/>
      <c r="R21" s="27"/>
      <c r="S21" s="28">
        <v>11875</v>
      </c>
      <c r="U21" s="1" t="s">
        <v>49</v>
      </c>
      <c r="V21" s="2">
        <v>1000</v>
      </c>
      <c r="W21" s="2"/>
      <c r="X21" s="2"/>
      <c r="Y21" s="2"/>
      <c r="Z21" s="2">
        <v>1000</v>
      </c>
      <c r="AA21" s="2"/>
      <c r="AB21" s="2"/>
      <c r="AC21" s="2"/>
      <c r="AD21" s="2"/>
      <c r="AE21" s="2"/>
      <c r="AF21" s="2"/>
      <c r="AG21" s="2"/>
      <c r="AH21" s="2">
        <v>2000</v>
      </c>
      <c r="AI21" s="2">
        <f t="shared" si="0"/>
        <v>2000</v>
      </c>
    </row>
    <row r="22" spans="1:35">
      <c r="A22" s="22" t="s">
        <v>283</v>
      </c>
      <c r="B22" s="22" t="s">
        <v>244</v>
      </c>
      <c r="C22" s="22" t="s">
        <v>14</v>
      </c>
      <c r="D22" s="22" t="s">
        <v>284</v>
      </c>
      <c r="E22" s="22" t="s">
        <v>285</v>
      </c>
      <c r="F22" s="23">
        <v>37500</v>
      </c>
      <c r="G22" s="24">
        <v>44409</v>
      </c>
      <c r="H22" s="24">
        <v>44408</v>
      </c>
      <c r="I22" s="24" t="s">
        <v>253</v>
      </c>
      <c r="J22" s="25"/>
      <c r="K22" s="26">
        <v>7500</v>
      </c>
      <c r="L22" s="26">
        <v>7500</v>
      </c>
      <c r="M22" s="26">
        <v>7500</v>
      </c>
      <c r="N22" s="26">
        <v>7500</v>
      </c>
      <c r="O22" s="29">
        <v>7500</v>
      </c>
      <c r="P22" s="27"/>
      <c r="Q22" s="27"/>
      <c r="R22" s="27"/>
      <c r="S22" s="28">
        <v>37500</v>
      </c>
      <c r="U22" s="1" t="s">
        <v>37</v>
      </c>
      <c r="V22" s="2"/>
      <c r="W22" s="2"/>
      <c r="X22" s="2"/>
      <c r="Y22" s="2"/>
      <c r="Z22" s="2"/>
      <c r="AA22" s="2"/>
      <c r="AB22" s="2"/>
      <c r="AC22" s="2"/>
      <c r="AD22" s="2"/>
      <c r="AE22" s="2">
        <v>500</v>
      </c>
      <c r="AF22" s="2"/>
      <c r="AG22" s="2"/>
      <c r="AH22" s="2">
        <v>500</v>
      </c>
      <c r="AI22" s="2">
        <f t="shared" si="0"/>
        <v>0</v>
      </c>
    </row>
    <row r="23" spans="1:35">
      <c r="A23" s="22" t="s">
        <v>286</v>
      </c>
      <c r="B23" s="22" t="s">
        <v>244</v>
      </c>
      <c r="C23" s="22" t="s">
        <v>37</v>
      </c>
      <c r="D23" s="22" t="s">
        <v>287</v>
      </c>
      <c r="E23" s="22" t="s">
        <v>288</v>
      </c>
      <c r="F23" s="23">
        <v>2500</v>
      </c>
      <c r="G23" s="24">
        <v>44470</v>
      </c>
      <c r="H23" s="24">
        <v>44835</v>
      </c>
      <c r="I23" s="24" t="s">
        <v>255</v>
      </c>
      <c r="J23" s="25"/>
      <c r="K23" s="26">
        <v>500</v>
      </c>
      <c r="L23" s="26">
        <v>500</v>
      </c>
      <c r="M23" s="26">
        <v>500</v>
      </c>
      <c r="N23" s="26">
        <v>500</v>
      </c>
      <c r="O23" s="29">
        <v>500</v>
      </c>
      <c r="P23" s="27"/>
      <c r="Q23" s="27"/>
      <c r="R23" s="27"/>
      <c r="S23" s="28">
        <v>2500</v>
      </c>
      <c r="U23" s="1" t="s">
        <v>17</v>
      </c>
      <c r="V23" s="2">
        <v>3640</v>
      </c>
      <c r="W23" s="2">
        <v>2375</v>
      </c>
      <c r="X23" s="2">
        <v>3527</v>
      </c>
      <c r="Y23" s="2"/>
      <c r="Z23" s="2"/>
      <c r="AA23" s="2">
        <v>2375</v>
      </c>
      <c r="AB23" s="2"/>
      <c r="AC23" s="2"/>
      <c r="AD23" s="2"/>
      <c r="AE23" s="2"/>
      <c r="AF23" s="2"/>
      <c r="AG23" s="2"/>
      <c r="AH23" s="2">
        <v>11917</v>
      </c>
      <c r="AI23" s="2">
        <f t="shared" si="0"/>
        <v>11917</v>
      </c>
    </row>
    <row r="24" spans="1:35">
      <c r="A24" s="22" t="s">
        <v>289</v>
      </c>
      <c r="B24" s="22" t="s">
        <v>237</v>
      </c>
      <c r="C24" s="22" t="s">
        <v>13</v>
      </c>
      <c r="D24" s="22" t="s">
        <v>290</v>
      </c>
      <c r="E24" s="22" t="s">
        <v>291</v>
      </c>
      <c r="F24" s="23">
        <v>9161.56</v>
      </c>
      <c r="G24" s="24">
        <v>44470</v>
      </c>
      <c r="H24" s="24">
        <v>44835</v>
      </c>
      <c r="I24" s="24" t="s">
        <v>255</v>
      </c>
      <c r="J24" s="25"/>
      <c r="K24" s="26">
        <v>1832.3119999999999</v>
      </c>
      <c r="L24" s="26">
        <v>1832.3119999999999</v>
      </c>
      <c r="M24" s="26">
        <v>1832.3119999999999</v>
      </c>
      <c r="N24" s="26">
        <v>1832.3119999999999</v>
      </c>
      <c r="O24" s="29">
        <v>1832.3119999999999</v>
      </c>
      <c r="P24" s="27"/>
      <c r="Q24" s="27"/>
      <c r="R24" s="27"/>
      <c r="S24" s="28">
        <v>9161.56</v>
      </c>
      <c r="U24" s="1" t="s">
        <v>14</v>
      </c>
      <c r="V24" s="2"/>
      <c r="W24" s="2"/>
      <c r="X24" s="2"/>
      <c r="Y24" s="2"/>
      <c r="Z24" s="2"/>
      <c r="AA24" s="2">
        <v>1400</v>
      </c>
      <c r="AB24" s="2"/>
      <c r="AC24" s="2">
        <v>7500</v>
      </c>
      <c r="AD24" s="2"/>
      <c r="AE24" s="2">
        <v>6300</v>
      </c>
      <c r="AF24" s="2"/>
      <c r="AG24" s="2">
        <v>7500.0039999999999</v>
      </c>
      <c r="AH24" s="2">
        <v>22700.004000000001</v>
      </c>
      <c r="AI24" s="2">
        <f t="shared" si="0"/>
        <v>8900</v>
      </c>
    </row>
    <row r="25" spans="1:35">
      <c r="A25" s="22"/>
      <c r="B25" s="22" t="s">
        <v>244</v>
      </c>
      <c r="C25" s="22" t="s">
        <v>14</v>
      </c>
      <c r="D25" s="22" t="s">
        <v>284</v>
      </c>
      <c r="E25" s="22" t="s">
        <v>292</v>
      </c>
      <c r="F25" s="23">
        <v>37500</v>
      </c>
      <c r="G25" s="24">
        <v>44531</v>
      </c>
      <c r="H25" s="24">
        <v>44896</v>
      </c>
      <c r="I25" s="24" t="s">
        <v>257</v>
      </c>
      <c r="J25" s="25"/>
      <c r="K25" s="26">
        <v>7500</v>
      </c>
      <c r="L25" s="26">
        <v>7500</v>
      </c>
      <c r="M25" s="26">
        <v>7500</v>
      </c>
      <c r="N25" s="26">
        <v>7500</v>
      </c>
      <c r="O25" s="29">
        <v>7500.0039999999999</v>
      </c>
      <c r="P25" s="27"/>
      <c r="Q25" s="27"/>
      <c r="R25" s="27"/>
      <c r="S25" s="28">
        <v>37500.004000000001</v>
      </c>
      <c r="U25" s="1" t="s">
        <v>13</v>
      </c>
      <c r="V25" s="2"/>
      <c r="W25" s="2">
        <v>733.25</v>
      </c>
      <c r="X25" s="2"/>
      <c r="Y25" s="2"/>
      <c r="Z25" s="2"/>
      <c r="AA25" s="2">
        <v>2445.348</v>
      </c>
      <c r="AB25" s="2"/>
      <c r="AC25" s="2"/>
      <c r="AD25" s="2"/>
      <c r="AE25" s="2">
        <v>2485.252</v>
      </c>
      <c r="AF25" s="2">
        <v>2568.7800000000002</v>
      </c>
      <c r="AG25" s="2"/>
      <c r="AH25" s="2">
        <v>8232.630000000001</v>
      </c>
      <c r="AI25" s="2">
        <f t="shared" si="0"/>
        <v>3178.598</v>
      </c>
    </row>
    <row r="26" spans="1:35">
      <c r="A26" s="44" t="s">
        <v>293</v>
      </c>
      <c r="B26" s="44" t="s">
        <v>237</v>
      </c>
      <c r="C26" s="44" t="s">
        <v>22</v>
      </c>
      <c r="D26" s="44" t="s">
        <v>294</v>
      </c>
      <c r="E26" s="44" t="s">
        <v>295</v>
      </c>
      <c r="F26" s="45">
        <v>3743.97</v>
      </c>
      <c r="G26" s="46">
        <v>44593</v>
      </c>
      <c r="H26" s="46">
        <v>44958</v>
      </c>
      <c r="I26" s="46" t="s">
        <v>247</v>
      </c>
      <c r="J26" s="25"/>
      <c r="K26" s="26"/>
      <c r="L26" s="26">
        <v>748.79399999999998</v>
      </c>
      <c r="M26" s="26">
        <v>748.79399999999998</v>
      </c>
      <c r="N26" s="26">
        <v>748.79399999999998</v>
      </c>
      <c r="O26" s="26">
        <v>748.79399999999998</v>
      </c>
      <c r="P26" s="29">
        <v>748.79399999999998</v>
      </c>
      <c r="Q26" s="27"/>
      <c r="R26" s="27"/>
      <c r="S26" s="28">
        <v>3743.97</v>
      </c>
      <c r="U26" s="1" t="s">
        <v>15</v>
      </c>
      <c r="V26" s="2"/>
      <c r="W26" s="2"/>
      <c r="X26" s="2"/>
      <c r="Y26" s="2"/>
      <c r="Z26" s="2">
        <v>307.3</v>
      </c>
      <c r="AA26" s="2"/>
      <c r="AB26" s="2"/>
      <c r="AC26" s="2"/>
      <c r="AD26" s="2"/>
      <c r="AE26" s="2"/>
      <c r="AF26" s="2"/>
      <c r="AG26" s="2"/>
      <c r="AH26" s="2">
        <v>307.3</v>
      </c>
      <c r="AI26" s="2">
        <f t="shared" si="0"/>
        <v>307.3</v>
      </c>
    </row>
    <row r="27" spans="1:35">
      <c r="A27" s="44" t="s">
        <v>296</v>
      </c>
      <c r="B27" s="44" t="s">
        <v>244</v>
      </c>
      <c r="C27" s="44" t="s">
        <v>17</v>
      </c>
      <c r="D27" s="44" t="s">
        <v>297</v>
      </c>
      <c r="E27" s="44" t="s">
        <v>298</v>
      </c>
      <c r="F27" s="45">
        <v>990</v>
      </c>
      <c r="G27" s="46">
        <v>44621</v>
      </c>
      <c r="H27" s="46">
        <v>44958</v>
      </c>
      <c r="I27" s="46" t="s">
        <v>248</v>
      </c>
      <c r="J27" s="25"/>
      <c r="K27" s="26"/>
      <c r="L27" s="26">
        <v>198</v>
      </c>
      <c r="M27" s="26">
        <v>198</v>
      </c>
      <c r="N27" s="26">
        <v>198</v>
      </c>
      <c r="O27" s="26">
        <v>198</v>
      </c>
      <c r="P27" s="29">
        <v>198</v>
      </c>
      <c r="Q27" s="27"/>
      <c r="R27" s="27"/>
      <c r="S27" s="28">
        <v>990</v>
      </c>
      <c r="U27" s="1" t="s">
        <v>76</v>
      </c>
      <c r="V27" s="2">
        <v>14432.2</v>
      </c>
      <c r="W27" s="2">
        <v>4499.4520000000002</v>
      </c>
      <c r="X27" s="2">
        <v>6027</v>
      </c>
      <c r="Y27" s="2">
        <v>3105</v>
      </c>
      <c r="Z27" s="2">
        <v>3787.5259999999998</v>
      </c>
      <c r="AA27" s="2">
        <v>8100.0860000000002</v>
      </c>
      <c r="AB27" s="2">
        <v>522.20000000000005</v>
      </c>
      <c r="AC27" s="2">
        <v>7500</v>
      </c>
      <c r="AD27" s="2">
        <v>3405</v>
      </c>
      <c r="AE27" s="2">
        <v>10085.252</v>
      </c>
      <c r="AF27" s="2">
        <v>2568.7800000000002</v>
      </c>
      <c r="AG27" s="2">
        <v>7500.0039999999999</v>
      </c>
      <c r="AH27" s="2">
        <v>71532.500000000015</v>
      </c>
      <c r="AI27" s="2">
        <f>SUM(AI12:AI26)</f>
        <v>51378.464000000007</v>
      </c>
    </row>
    <row r="28" spans="1:35">
      <c r="A28" s="44" t="s">
        <v>299</v>
      </c>
      <c r="B28" s="44" t="s">
        <v>244</v>
      </c>
      <c r="C28" s="44" t="s">
        <v>17</v>
      </c>
      <c r="D28" s="44" t="s">
        <v>263</v>
      </c>
      <c r="E28" s="44" t="s">
        <v>300</v>
      </c>
      <c r="F28" s="45">
        <v>3145</v>
      </c>
      <c r="G28" s="46">
        <v>44621</v>
      </c>
      <c r="H28" s="46">
        <v>44958</v>
      </c>
      <c r="I28" s="46" t="s">
        <v>248</v>
      </c>
      <c r="J28" s="25"/>
      <c r="K28" s="26"/>
      <c r="L28" s="26">
        <v>629</v>
      </c>
      <c r="M28" s="26">
        <v>629</v>
      </c>
      <c r="N28" s="26">
        <v>629</v>
      </c>
      <c r="O28" s="26">
        <v>629</v>
      </c>
      <c r="P28" s="29">
        <v>629</v>
      </c>
      <c r="Q28" s="27"/>
      <c r="R28" s="27"/>
      <c r="S28" s="28">
        <v>3145</v>
      </c>
      <c r="V28">
        <v>14432</v>
      </c>
      <c r="W28" s="2">
        <v>4499</v>
      </c>
      <c r="X28">
        <v>6027</v>
      </c>
      <c r="Y28">
        <v>3105</v>
      </c>
      <c r="Z28">
        <v>3788</v>
      </c>
      <c r="AA28" s="2">
        <v>8100</v>
      </c>
      <c r="AB28">
        <v>522</v>
      </c>
      <c r="AC28">
        <v>7500</v>
      </c>
      <c r="AD28">
        <v>3405</v>
      </c>
      <c r="AE28" s="2">
        <v>10085</v>
      </c>
      <c r="AF28">
        <v>2569</v>
      </c>
      <c r="AG28">
        <v>7500</v>
      </c>
    </row>
    <row r="29" spans="1:35">
      <c r="A29" s="44" t="s">
        <v>301</v>
      </c>
      <c r="B29" s="44" t="s">
        <v>302</v>
      </c>
      <c r="C29" s="44" t="s">
        <v>15</v>
      </c>
      <c r="D29" s="44" t="s">
        <v>303</v>
      </c>
      <c r="E29" s="44" t="s">
        <v>304</v>
      </c>
      <c r="F29" s="45">
        <v>1536.5</v>
      </c>
      <c r="G29" s="46">
        <v>44682</v>
      </c>
      <c r="H29" s="46">
        <v>45047</v>
      </c>
      <c r="I29" s="46" t="s">
        <v>250</v>
      </c>
      <c r="J29" s="25"/>
      <c r="K29" s="26"/>
      <c r="L29" s="26">
        <v>307.3</v>
      </c>
      <c r="M29" s="26">
        <v>307.3</v>
      </c>
      <c r="N29" s="26">
        <v>307.3</v>
      </c>
      <c r="O29" s="26">
        <v>307.3</v>
      </c>
      <c r="P29" s="29">
        <v>307.3</v>
      </c>
      <c r="Q29" s="27"/>
      <c r="R29" s="27"/>
      <c r="S29" s="28">
        <v>1536.5</v>
      </c>
      <c r="V29" s="2">
        <f>V28-V27</f>
        <v>-0.2000000000007276</v>
      </c>
      <c r="W29" s="2">
        <f t="shared" ref="W29:AG29" si="1">W28-W27</f>
        <v>-0.45200000000022555</v>
      </c>
      <c r="X29" s="2">
        <f t="shared" si="1"/>
        <v>0</v>
      </c>
      <c r="Y29" s="2">
        <f t="shared" si="1"/>
        <v>0</v>
      </c>
      <c r="Z29" s="2">
        <f t="shared" si="1"/>
        <v>0.47400000000016007</v>
      </c>
      <c r="AA29" s="2">
        <f t="shared" si="1"/>
        <v>-8.6000000000240107E-2</v>
      </c>
      <c r="AB29" s="2">
        <f t="shared" si="1"/>
        <v>-0.20000000000004547</v>
      </c>
      <c r="AC29" s="2">
        <f t="shared" si="1"/>
        <v>0</v>
      </c>
      <c r="AD29" s="2">
        <f t="shared" si="1"/>
        <v>0</v>
      </c>
      <c r="AE29" s="2">
        <f t="shared" si="1"/>
        <v>-0.25200000000040745</v>
      </c>
      <c r="AF29" s="2">
        <f t="shared" si="1"/>
        <v>0.21999999999979991</v>
      </c>
      <c r="AG29" s="2">
        <f t="shared" si="1"/>
        <v>-3.9999999999054126E-3</v>
      </c>
    </row>
    <row r="30" spans="1:35">
      <c r="A30" s="44" t="s">
        <v>305</v>
      </c>
      <c r="B30" s="44" t="s">
        <v>237</v>
      </c>
      <c r="C30" s="44" t="s">
        <v>22</v>
      </c>
      <c r="D30" s="44" t="s">
        <v>306</v>
      </c>
      <c r="E30" s="44" t="s">
        <v>307</v>
      </c>
      <c r="F30" s="45">
        <v>9398.69</v>
      </c>
      <c r="G30" s="46">
        <v>44713</v>
      </c>
      <c r="H30" s="46">
        <v>45078</v>
      </c>
      <c r="I30" s="46" t="s">
        <v>251</v>
      </c>
      <c r="J30" s="25"/>
      <c r="K30" s="26"/>
      <c r="L30" s="26">
        <v>1879.7380000000001</v>
      </c>
      <c r="M30" s="26">
        <v>1879.7380000000001</v>
      </c>
      <c r="N30" s="26">
        <v>1879.7380000000001</v>
      </c>
      <c r="O30" s="26">
        <v>1879.7380000000001</v>
      </c>
      <c r="P30" s="29">
        <v>1879.7380000000001</v>
      </c>
      <c r="Q30" s="27"/>
      <c r="R30" s="27"/>
      <c r="S30" s="28">
        <v>9398.69</v>
      </c>
    </row>
    <row r="31" spans="1:35">
      <c r="A31" s="44"/>
      <c r="B31" s="44" t="s">
        <v>237</v>
      </c>
      <c r="C31" s="44" t="s">
        <v>13</v>
      </c>
      <c r="D31" s="44" t="s">
        <v>308</v>
      </c>
      <c r="E31" s="44" t="s">
        <v>309</v>
      </c>
      <c r="F31" s="45">
        <v>12226.74</v>
      </c>
      <c r="G31" s="46">
        <v>44713</v>
      </c>
      <c r="H31" s="46">
        <v>45078</v>
      </c>
      <c r="I31" s="46" t="s">
        <v>251</v>
      </c>
      <c r="J31" s="25"/>
      <c r="K31" s="26"/>
      <c r="L31" s="26">
        <v>2445.348</v>
      </c>
      <c r="M31" s="26">
        <v>2445.348</v>
      </c>
      <c r="N31" s="26">
        <v>2445.348</v>
      </c>
      <c r="O31" s="26">
        <v>2445.348</v>
      </c>
      <c r="P31" s="29">
        <v>2445.348</v>
      </c>
      <c r="Q31" s="27"/>
      <c r="R31" s="27"/>
      <c r="S31" s="28">
        <v>12226.74</v>
      </c>
    </row>
    <row r="32" spans="1:35">
      <c r="A32" s="22" t="s">
        <v>310</v>
      </c>
      <c r="B32" s="22" t="s">
        <v>244</v>
      </c>
      <c r="C32" s="22" t="s">
        <v>28</v>
      </c>
      <c r="D32" s="22" t="s">
        <v>311</v>
      </c>
      <c r="E32" s="22" t="s">
        <v>312</v>
      </c>
      <c r="F32" s="23">
        <v>2250</v>
      </c>
      <c r="G32" s="24">
        <v>44835</v>
      </c>
      <c r="H32" s="24">
        <v>45200</v>
      </c>
      <c r="I32" s="24" t="s">
        <v>255</v>
      </c>
      <c r="J32" s="25"/>
      <c r="K32" s="23"/>
      <c r="L32" s="26">
        <v>450</v>
      </c>
      <c r="M32" s="26">
        <v>450</v>
      </c>
      <c r="N32" s="26">
        <v>450</v>
      </c>
      <c r="O32" s="29">
        <v>450</v>
      </c>
      <c r="P32" s="27">
        <v>450</v>
      </c>
      <c r="Q32" s="27"/>
      <c r="R32" s="27"/>
      <c r="S32" s="28">
        <v>2250</v>
      </c>
      <c r="V32" s="2"/>
      <c r="W32" s="2"/>
      <c r="X32" s="2"/>
      <c r="Y32" s="2"/>
      <c r="Z32" s="2"/>
      <c r="AA32" s="2"/>
      <c r="AB32" s="2" t="e">
        <f>GETPIVOTDATA("2024",$U$10,"License renewal Month","July")-AB29</f>
        <v>#REF!</v>
      </c>
      <c r="AC32" s="2"/>
      <c r="AD32" s="2"/>
      <c r="AE32" s="2"/>
      <c r="AF32" s="2"/>
      <c r="AG32" s="2"/>
      <c r="AH32" s="2"/>
    </row>
    <row r="33" spans="1:34">
      <c r="A33" s="22" t="s">
        <v>313</v>
      </c>
      <c r="B33" s="22" t="s">
        <v>244</v>
      </c>
      <c r="C33" s="22" t="s">
        <v>14</v>
      </c>
      <c r="D33" s="22" t="s">
        <v>314</v>
      </c>
      <c r="E33" s="22" t="s">
        <v>315</v>
      </c>
      <c r="F33" s="23">
        <v>31500</v>
      </c>
      <c r="G33" s="24">
        <v>44835</v>
      </c>
      <c r="H33" s="24">
        <v>45200</v>
      </c>
      <c r="I33" s="24" t="s">
        <v>255</v>
      </c>
      <c r="J33" s="25"/>
      <c r="K33" s="23"/>
      <c r="L33" s="26">
        <v>6300</v>
      </c>
      <c r="M33" s="26">
        <v>6300</v>
      </c>
      <c r="N33" s="26">
        <v>6300</v>
      </c>
      <c r="O33" s="29">
        <v>6300</v>
      </c>
      <c r="P33" s="27">
        <v>6300</v>
      </c>
      <c r="Q33" s="27"/>
      <c r="R33" s="27"/>
      <c r="S33" s="28">
        <v>31500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>
      <c r="A34" s="22" t="s">
        <v>316</v>
      </c>
      <c r="B34" s="22" t="s">
        <v>237</v>
      </c>
      <c r="C34" s="22" t="s">
        <v>13</v>
      </c>
      <c r="D34" s="22" t="s">
        <v>317</v>
      </c>
      <c r="E34" s="22" t="s">
        <v>318</v>
      </c>
      <c r="F34" s="23">
        <v>12843.95</v>
      </c>
      <c r="G34" s="24">
        <v>44866</v>
      </c>
      <c r="H34" s="24">
        <v>45200</v>
      </c>
      <c r="I34" s="24" t="s">
        <v>256</v>
      </c>
      <c r="J34" s="25"/>
      <c r="K34" s="23"/>
      <c r="L34" s="26">
        <v>2568.79</v>
      </c>
      <c r="M34" s="26">
        <v>2568.79</v>
      </c>
      <c r="N34" s="26">
        <v>2568.79</v>
      </c>
      <c r="O34" s="29">
        <v>2568.7800000000002</v>
      </c>
      <c r="P34" s="27">
        <v>2568.79</v>
      </c>
      <c r="Q34" s="27"/>
      <c r="R34" s="27"/>
      <c r="S34" s="28">
        <v>12843.939999999999</v>
      </c>
    </row>
    <row r="35" spans="1:34">
      <c r="A35" s="44"/>
      <c r="B35" s="44" t="s">
        <v>237</v>
      </c>
      <c r="C35" s="44" t="s">
        <v>22</v>
      </c>
      <c r="D35" s="44" t="s">
        <v>319</v>
      </c>
      <c r="E35" s="44" t="s">
        <v>320</v>
      </c>
      <c r="F35" s="45">
        <v>3212.04</v>
      </c>
      <c r="G35" s="46">
        <v>44958</v>
      </c>
      <c r="H35" s="46">
        <v>45323</v>
      </c>
      <c r="I35" s="46" t="s">
        <v>247</v>
      </c>
      <c r="J35" s="25"/>
      <c r="K35" s="23"/>
      <c r="L35" s="26"/>
      <c r="M35" s="26">
        <v>642.40800000000002</v>
      </c>
      <c r="N35" s="26">
        <v>642.40800000000002</v>
      </c>
      <c r="O35" s="26">
        <v>642.40800000000002</v>
      </c>
      <c r="P35" s="29">
        <v>642.40499999999997</v>
      </c>
      <c r="Q35" s="27">
        <v>642.40800000000002</v>
      </c>
      <c r="R35" s="27"/>
      <c r="S35" s="28">
        <v>3212.0369999999998</v>
      </c>
      <c r="U35" t="s">
        <v>77</v>
      </c>
      <c r="V35">
        <v>0.80549000000000004</v>
      </c>
      <c r="W35">
        <v>0.79437000000000002</v>
      </c>
      <c r="X35">
        <v>0.77312000000000003</v>
      </c>
      <c r="Y35">
        <v>0.74848000000000003</v>
      </c>
      <c r="Z35">
        <v>0.74348000000000003</v>
      </c>
      <c r="AA35">
        <v>0.72924</v>
      </c>
      <c r="AB35">
        <v>0.75575000000000003</v>
      </c>
      <c r="AC35">
        <v>0.74082999999999999</v>
      </c>
      <c r="AD35">
        <v>0.74399999999999999</v>
      </c>
      <c r="AE35">
        <v>0.76107999999999998</v>
      </c>
      <c r="AF35">
        <v>0.75609000000000004</v>
      </c>
      <c r="AG35">
        <v>0.74321999999999999</v>
      </c>
    </row>
    <row r="36" spans="1:34">
      <c r="A36" s="44"/>
      <c r="B36" s="44" t="s">
        <v>237</v>
      </c>
      <c r="C36" s="44" t="s">
        <v>22</v>
      </c>
      <c r="D36" s="44" t="s">
        <v>321</v>
      </c>
      <c r="E36" s="44" t="s">
        <v>322</v>
      </c>
      <c r="F36" s="45">
        <v>4652.03</v>
      </c>
      <c r="G36" s="46">
        <v>45047</v>
      </c>
      <c r="H36" s="46">
        <v>45413</v>
      </c>
      <c r="I36" s="46" t="s">
        <v>250</v>
      </c>
      <c r="J36" s="25"/>
      <c r="K36" s="23"/>
      <c r="L36" s="26"/>
      <c r="M36" s="26">
        <v>930.40599999999995</v>
      </c>
      <c r="N36" s="26">
        <v>930.40599999999995</v>
      </c>
      <c r="O36" s="26">
        <v>930.40599999999995</v>
      </c>
      <c r="P36" s="29">
        <v>930.40599999999995</v>
      </c>
      <c r="Q36" s="27">
        <v>930.40599999999995</v>
      </c>
      <c r="R36" s="27"/>
      <c r="S36" s="28">
        <v>4652.03</v>
      </c>
    </row>
    <row r="37" spans="1:34">
      <c r="A37" s="44"/>
      <c r="B37" s="44" t="s">
        <v>244</v>
      </c>
      <c r="C37" s="44" t="s">
        <v>32</v>
      </c>
      <c r="D37" s="44" t="s">
        <v>323</v>
      </c>
      <c r="E37" s="44" t="s">
        <v>324</v>
      </c>
      <c r="F37" s="45">
        <v>15525</v>
      </c>
      <c r="G37" s="46">
        <v>45383</v>
      </c>
      <c r="H37" s="46">
        <v>45748</v>
      </c>
      <c r="I37" s="46" t="s">
        <v>249</v>
      </c>
      <c r="J37" s="25"/>
      <c r="K37" s="23"/>
      <c r="L37" s="26"/>
      <c r="M37" s="26"/>
      <c r="N37" s="26">
        <v>3105</v>
      </c>
      <c r="O37" s="26">
        <v>3105</v>
      </c>
      <c r="P37" s="29">
        <v>3105</v>
      </c>
      <c r="Q37" s="27">
        <v>3105</v>
      </c>
      <c r="R37" s="27">
        <v>3105</v>
      </c>
      <c r="S37" s="28">
        <v>15525</v>
      </c>
      <c r="U37" t="s">
        <v>32</v>
      </c>
      <c r="V37" s="2">
        <f>V12/$V$35</f>
        <v>0</v>
      </c>
      <c r="W37" s="2">
        <f>W12/$W$35</f>
        <v>0</v>
      </c>
      <c r="X37" s="2">
        <f>X12/$X$35</f>
        <v>0</v>
      </c>
      <c r="Y37" s="2">
        <f>Y12/$Y$35</f>
        <v>4148.4074390765281</v>
      </c>
      <c r="Z37" s="2">
        <f>Z12/$Z$35</f>
        <v>0</v>
      </c>
      <c r="AA37" s="2">
        <f>AA12/$AA$35</f>
        <v>0</v>
      </c>
      <c r="AB37" s="2">
        <f>AB12/$AB$35</f>
        <v>0</v>
      </c>
      <c r="AC37" s="2">
        <f>AC12/$AC$35</f>
        <v>0</v>
      </c>
      <c r="AD37" s="2">
        <f>AD12/$AD$35</f>
        <v>4576.6129032258068</v>
      </c>
      <c r="AE37" s="2">
        <f>AE12/$AE$35</f>
        <v>0</v>
      </c>
      <c r="AF37" s="2">
        <f>AF12/$AF$35</f>
        <v>0</v>
      </c>
      <c r="AG37" s="2">
        <f>AG12/$AG$35</f>
        <v>0</v>
      </c>
      <c r="AH37" s="2">
        <f>SUM(V37:AG37)</f>
        <v>8725.020342302334</v>
      </c>
    </row>
    <row r="38" spans="1:34">
      <c r="A38" s="44"/>
      <c r="B38" s="44" t="s">
        <v>237</v>
      </c>
      <c r="C38" s="44" t="s">
        <v>22</v>
      </c>
      <c r="D38" s="44" t="s">
        <v>325</v>
      </c>
      <c r="E38" s="44" t="s">
        <v>326</v>
      </c>
      <c r="F38" s="45">
        <v>7749.14</v>
      </c>
      <c r="G38" s="46">
        <v>45413</v>
      </c>
      <c r="H38" s="46">
        <v>45778</v>
      </c>
      <c r="I38" s="46" t="s">
        <v>250</v>
      </c>
      <c r="J38" s="25"/>
      <c r="K38" s="23"/>
      <c r="L38" s="26"/>
      <c r="M38" s="26"/>
      <c r="N38" s="26">
        <v>1549.83</v>
      </c>
      <c r="O38" s="26">
        <v>1549.82</v>
      </c>
      <c r="P38" s="29">
        <v>1549.83</v>
      </c>
      <c r="Q38" s="27">
        <v>1549.83</v>
      </c>
      <c r="R38" s="27">
        <v>1549.82</v>
      </c>
      <c r="S38" s="28">
        <v>7749.1299999999992</v>
      </c>
      <c r="U38" t="s">
        <v>27</v>
      </c>
      <c r="V38" s="2">
        <f t="shared" ref="V38:V51" si="2">V13/$V$35</f>
        <v>2052.4153000037245</v>
      </c>
      <c r="W38" s="2">
        <f t="shared" ref="W38:W51" si="3">W13/$W$35</f>
        <v>0</v>
      </c>
      <c r="X38" s="2">
        <f t="shared" ref="X38:X51" si="4">X13/$X$35</f>
        <v>1940.1903973509934</v>
      </c>
      <c r="Y38" s="2">
        <f t="shared" ref="Y38:Y51" si="5">Y13/$Y$35</f>
        <v>0</v>
      </c>
      <c r="Z38" s="2">
        <f t="shared" ref="Z38:Z51" si="6">Z13/$Z$35</f>
        <v>0</v>
      </c>
      <c r="AA38" s="2">
        <f t="shared" ref="AA38:AA51" si="7">AA13/$AA$35</f>
        <v>0</v>
      </c>
      <c r="AB38" s="2">
        <f t="shared" ref="AB38:AB51" si="8">AB13/$AB$35</f>
        <v>0</v>
      </c>
      <c r="AC38" s="2">
        <f t="shared" ref="AC38:AC51" si="9">AC13/$AC$35</f>
        <v>0</v>
      </c>
      <c r="AD38" s="2">
        <f t="shared" ref="AD38:AD51" si="10">AD13/$AD$35</f>
        <v>0</v>
      </c>
      <c r="AE38" s="2">
        <f t="shared" ref="AE38:AE51" si="11">AE13/$AE$35</f>
        <v>0</v>
      </c>
      <c r="AF38" s="2">
        <f t="shared" ref="AF38:AF51" si="12">AF13/$AF$35</f>
        <v>0</v>
      </c>
      <c r="AG38" s="2">
        <f t="shared" ref="AG38:AG51" si="13">AG13/$AG$35</f>
        <v>0</v>
      </c>
      <c r="AH38" s="2">
        <f t="shared" ref="AH38:AH51" si="14">SUM(V38:AG38)</f>
        <v>3992.6056973547179</v>
      </c>
    </row>
    <row r="39" spans="1:34">
      <c r="A39" s="44"/>
      <c r="B39" s="44" t="s">
        <v>244</v>
      </c>
      <c r="C39" s="44" t="s">
        <v>14</v>
      </c>
      <c r="D39" s="44" t="s">
        <v>327</v>
      </c>
      <c r="E39" s="44" t="s">
        <v>328</v>
      </c>
      <c r="F39" s="45">
        <v>7000</v>
      </c>
      <c r="G39" s="46">
        <v>45444</v>
      </c>
      <c r="H39" s="46">
        <v>45809</v>
      </c>
      <c r="I39" s="46" t="s">
        <v>251</v>
      </c>
      <c r="J39" s="25"/>
      <c r="K39" s="23"/>
      <c r="L39" s="26"/>
      <c r="M39" s="26"/>
      <c r="N39" s="26">
        <v>1400</v>
      </c>
      <c r="O39" s="26">
        <v>1400</v>
      </c>
      <c r="P39" s="29">
        <v>1400</v>
      </c>
      <c r="Q39" s="27">
        <v>1400</v>
      </c>
      <c r="R39" s="27">
        <v>1400</v>
      </c>
      <c r="S39" s="28">
        <v>7000</v>
      </c>
      <c r="U39" t="s">
        <v>22</v>
      </c>
      <c r="V39" s="2">
        <f t="shared" si="2"/>
        <v>0</v>
      </c>
      <c r="W39" s="2">
        <f t="shared" si="3"/>
        <v>1751.3274670493597</v>
      </c>
      <c r="X39" s="2">
        <f t="shared" si="4"/>
        <v>0</v>
      </c>
      <c r="Y39" s="2">
        <f t="shared" si="5"/>
        <v>0</v>
      </c>
      <c r="Z39" s="2">
        <f t="shared" si="6"/>
        <v>3335.9686877925424</v>
      </c>
      <c r="AA39" s="2">
        <f t="shared" si="7"/>
        <v>2577.6671603313039</v>
      </c>
      <c r="AB39" s="2">
        <f t="shared" si="8"/>
        <v>0</v>
      </c>
      <c r="AC39" s="2">
        <f t="shared" si="9"/>
        <v>0</v>
      </c>
      <c r="AD39" s="2">
        <f t="shared" si="10"/>
        <v>0</v>
      </c>
      <c r="AE39" s="2">
        <f t="shared" si="11"/>
        <v>0</v>
      </c>
      <c r="AF39" s="2">
        <f t="shared" si="12"/>
        <v>0</v>
      </c>
      <c r="AG39" s="2">
        <f t="shared" si="13"/>
        <v>0</v>
      </c>
      <c r="AH39" s="2">
        <f t="shared" si="14"/>
        <v>7664.9633151732069</v>
      </c>
    </row>
    <row r="40" spans="1:34">
      <c r="A40" s="22"/>
      <c r="B40" s="22" t="s">
        <v>244</v>
      </c>
      <c r="C40" s="22" t="s">
        <v>23</v>
      </c>
      <c r="D40" s="22" t="s">
        <v>329</v>
      </c>
      <c r="E40" s="22" t="s">
        <v>330</v>
      </c>
      <c r="F40" s="23">
        <v>2611</v>
      </c>
      <c r="G40" s="24">
        <v>45474</v>
      </c>
      <c r="H40" s="24">
        <v>45839</v>
      </c>
      <c r="I40" s="24" t="s">
        <v>252</v>
      </c>
      <c r="J40" s="25"/>
      <c r="K40" s="23"/>
      <c r="L40" s="26"/>
      <c r="M40" s="26"/>
      <c r="N40" s="26">
        <v>522.20000000000005</v>
      </c>
      <c r="O40" s="29">
        <v>522.20000000000005</v>
      </c>
      <c r="P40" s="27">
        <v>522.20000000000005</v>
      </c>
      <c r="Q40" s="27">
        <v>522.20000000000005</v>
      </c>
      <c r="R40" s="27">
        <v>522.20000000000005</v>
      </c>
      <c r="S40" s="28">
        <v>2611</v>
      </c>
      <c r="U40" t="s">
        <v>57</v>
      </c>
      <c r="V40" s="2">
        <f t="shared" si="2"/>
        <v>0</v>
      </c>
      <c r="W40" s="2">
        <f t="shared" si="3"/>
        <v>0</v>
      </c>
      <c r="X40" s="2">
        <f t="shared" si="4"/>
        <v>0</v>
      </c>
      <c r="Y40" s="2">
        <f t="shared" si="5"/>
        <v>0</v>
      </c>
      <c r="Z40" s="2">
        <f t="shared" si="6"/>
        <v>0</v>
      </c>
      <c r="AA40" s="2">
        <f t="shared" si="7"/>
        <v>0</v>
      </c>
      <c r="AB40" s="2">
        <f t="shared" si="8"/>
        <v>0</v>
      </c>
      <c r="AC40" s="2">
        <f t="shared" si="9"/>
        <v>0</v>
      </c>
      <c r="AD40" s="2">
        <f t="shared" si="10"/>
        <v>0</v>
      </c>
      <c r="AE40" s="2">
        <f t="shared" si="11"/>
        <v>0</v>
      </c>
      <c r="AF40" s="2">
        <f t="shared" si="12"/>
        <v>0</v>
      </c>
      <c r="AG40" s="2">
        <f t="shared" si="13"/>
        <v>0</v>
      </c>
      <c r="AH40" s="2">
        <f t="shared" si="14"/>
        <v>0</v>
      </c>
    </row>
    <row r="41" spans="1:34">
      <c r="A41" s="22"/>
      <c r="B41" s="22" t="s">
        <v>244</v>
      </c>
      <c r="C41" s="1" t="s">
        <v>32</v>
      </c>
      <c r="D41" s="22" t="s">
        <v>323</v>
      </c>
      <c r="E41" s="22" t="s">
        <v>331</v>
      </c>
      <c r="F41" s="23">
        <v>17025</v>
      </c>
      <c r="G41" s="24">
        <v>45536</v>
      </c>
      <c r="H41" s="24">
        <v>45901</v>
      </c>
      <c r="I41" s="24" t="s">
        <v>254</v>
      </c>
      <c r="J41" s="25"/>
      <c r="K41" s="23"/>
      <c r="L41" s="26"/>
      <c r="M41" s="26"/>
      <c r="N41" s="26">
        <v>3405</v>
      </c>
      <c r="O41" s="29">
        <v>3405</v>
      </c>
      <c r="P41" s="27">
        <v>3405</v>
      </c>
      <c r="Q41" s="27">
        <v>3405</v>
      </c>
      <c r="R41" s="27">
        <v>3405</v>
      </c>
      <c r="S41" s="28">
        <v>17025</v>
      </c>
      <c r="U41" t="s">
        <v>28</v>
      </c>
      <c r="V41" s="2">
        <f t="shared" si="2"/>
        <v>0</v>
      </c>
      <c r="W41" s="2">
        <f t="shared" si="3"/>
        <v>0</v>
      </c>
      <c r="X41" s="2">
        <f t="shared" si="4"/>
        <v>0</v>
      </c>
      <c r="Y41" s="2">
        <f t="shared" si="5"/>
        <v>0</v>
      </c>
      <c r="Z41" s="2">
        <f t="shared" si="6"/>
        <v>0</v>
      </c>
      <c r="AA41" s="2">
        <f t="shared" si="7"/>
        <v>0</v>
      </c>
      <c r="AB41" s="2">
        <f t="shared" si="8"/>
        <v>0</v>
      </c>
      <c r="AC41" s="2">
        <f t="shared" si="9"/>
        <v>0</v>
      </c>
      <c r="AD41" s="2">
        <f t="shared" si="10"/>
        <v>0</v>
      </c>
      <c r="AE41" s="2">
        <f t="shared" si="11"/>
        <v>591.26504441057443</v>
      </c>
      <c r="AF41" s="2">
        <f t="shared" si="12"/>
        <v>0</v>
      </c>
      <c r="AG41" s="2">
        <f t="shared" si="13"/>
        <v>0</v>
      </c>
      <c r="AH41" s="2">
        <f t="shared" si="14"/>
        <v>591.26504441057443</v>
      </c>
    </row>
    <row r="42" spans="1:34">
      <c r="A42" s="22"/>
      <c r="B42" s="22" t="s">
        <v>244</v>
      </c>
      <c r="C42" s="22" t="s">
        <v>21</v>
      </c>
      <c r="D42" s="22" t="s">
        <v>327</v>
      </c>
      <c r="E42" s="22" t="s">
        <v>332</v>
      </c>
      <c r="F42" s="23">
        <v>1750</v>
      </c>
      <c r="G42" s="24">
        <v>45566</v>
      </c>
      <c r="H42" s="24">
        <v>45931</v>
      </c>
      <c r="I42" s="24" t="s">
        <v>255</v>
      </c>
      <c r="J42" s="25"/>
      <c r="K42" s="23"/>
      <c r="L42" s="26"/>
      <c r="M42" s="26"/>
      <c r="N42" s="26">
        <v>350</v>
      </c>
      <c r="O42" s="29">
        <v>350</v>
      </c>
      <c r="P42" s="27">
        <v>350</v>
      </c>
      <c r="Q42" s="27">
        <v>350</v>
      </c>
      <c r="R42" s="27">
        <v>350</v>
      </c>
      <c r="S42" s="28">
        <v>1750</v>
      </c>
      <c r="U42" t="s">
        <v>26</v>
      </c>
      <c r="V42" s="2">
        <f t="shared" si="2"/>
        <v>10104.408496691454</v>
      </c>
      <c r="W42" s="2">
        <f t="shared" si="3"/>
        <v>0</v>
      </c>
      <c r="X42" s="2">
        <f t="shared" si="4"/>
        <v>0</v>
      </c>
      <c r="Y42" s="2">
        <f t="shared" si="5"/>
        <v>0</v>
      </c>
      <c r="Z42" s="2">
        <f t="shared" si="6"/>
        <v>0</v>
      </c>
      <c r="AA42" s="2">
        <f t="shared" si="7"/>
        <v>0</v>
      </c>
      <c r="AB42" s="2">
        <f t="shared" si="8"/>
        <v>0</v>
      </c>
      <c r="AC42" s="2">
        <f t="shared" si="9"/>
        <v>0</v>
      </c>
      <c r="AD42" s="2">
        <f t="shared" si="10"/>
        <v>0</v>
      </c>
      <c r="AE42" s="2">
        <f t="shared" si="11"/>
        <v>0</v>
      </c>
      <c r="AF42" s="2">
        <f t="shared" si="12"/>
        <v>0</v>
      </c>
      <c r="AG42" s="2">
        <f t="shared" si="13"/>
        <v>0</v>
      </c>
      <c r="AH42" s="2">
        <f t="shared" si="14"/>
        <v>10104.408496691454</v>
      </c>
    </row>
    <row r="43" spans="1:34">
      <c r="A43" s="22"/>
      <c r="B43" s="22" t="s">
        <v>237</v>
      </c>
      <c r="C43" s="22" t="s">
        <v>13</v>
      </c>
      <c r="D43" s="22" t="s">
        <v>327</v>
      </c>
      <c r="E43" s="22" t="s">
        <v>333</v>
      </c>
      <c r="F43" s="23">
        <v>1770.7</v>
      </c>
      <c r="G43" s="24">
        <v>45566</v>
      </c>
      <c r="H43" s="24">
        <v>45931</v>
      </c>
      <c r="I43" s="24" t="s">
        <v>255</v>
      </c>
      <c r="J43" s="25"/>
      <c r="K43" s="23"/>
      <c r="L43" s="26"/>
      <c r="M43" s="26"/>
      <c r="N43" s="26">
        <v>354.14</v>
      </c>
      <c r="O43" s="29">
        <v>354.14</v>
      </c>
      <c r="P43" s="27">
        <v>354.14</v>
      </c>
      <c r="Q43" s="27">
        <v>354.14</v>
      </c>
      <c r="R43" s="27">
        <v>354.14</v>
      </c>
      <c r="S43" s="28">
        <v>1770.6999999999998</v>
      </c>
      <c r="U43" t="s">
        <v>21</v>
      </c>
      <c r="V43" s="2">
        <f t="shared" si="2"/>
        <v>0</v>
      </c>
      <c r="W43" s="2">
        <f t="shared" si="3"/>
        <v>0</v>
      </c>
      <c r="X43" s="2">
        <f t="shared" si="4"/>
        <v>0</v>
      </c>
      <c r="Y43" s="2">
        <f t="shared" si="5"/>
        <v>0</v>
      </c>
      <c r="Z43" s="2">
        <f t="shared" si="6"/>
        <v>0</v>
      </c>
      <c r="AA43" s="2">
        <f t="shared" si="7"/>
        <v>0</v>
      </c>
      <c r="AB43" s="2">
        <f t="shared" si="8"/>
        <v>0</v>
      </c>
      <c r="AC43" s="2">
        <f t="shared" si="9"/>
        <v>0</v>
      </c>
      <c r="AD43" s="2">
        <f t="shared" si="10"/>
        <v>0</v>
      </c>
      <c r="AE43" s="2">
        <f t="shared" si="11"/>
        <v>459.87281231933571</v>
      </c>
      <c r="AF43" s="2">
        <f t="shared" si="12"/>
        <v>0</v>
      </c>
      <c r="AG43" s="2">
        <f t="shared" si="13"/>
        <v>0</v>
      </c>
      <c r="AH43" s="2">
        <f t="shared" si="14"/>
        <v>459.87281231933571</v>
      </c>
    </row>
    <row r="44" spans="1:34">
      <c r="A44" s="22"/>
      <c r="B44" s="22" t="s">
        <v>237</v>
      </c>
      <c r="C44" s="22" t="s">
        <v>13</v>
      </c>
      <c r="D44" s="22" t="s">
        <v>334</v>
      </c>
      <c r="E44" s="22" t="s">
        <v>335</v>
      </c>
      <c r="F44" s="23">
        <v>1494</v>
      </c>
      <c r="G44" s="24">
        <v>45566</v>
      </c>
      <c r="H44" s="24">
        <v>45931</v>
      </c>
      <c r="I44" s="24" t="s">
        <v>255</v>
      </c>
      <c r="J44" s="25"/>
      <c r="K44" s="23"/>
      <c r="L44" s="26"/>
      <c r="M44" s="26"/>
      <c r="N44" s="26">
        <v>298.8</v>
      </c>
      <c r="O44" s="29">
        <v>298.8</v>
      </c>
      <c r="P44" s="27">
        <v>298.8</v>
      </c>
      <c r="Q44" s="27">
        <v>298.8</v>
      </c>
      <c r="R44" s="27">
        <v>298.8</v>
      </c>
      <c r="S44" s="28">
        <v>1494</v>
      </c>
      <c r="U44" t="s">
        <v>24</v>
      </c>
      <c r="V44" s="2">
        <f t="shared" si="2"/>
        <v>0</v>
      </c>
      <c r="W44" s="2">
        <f t="shared" si="3"/>
        <v>0</v>
      </c>
      <c r="X44" s="2">
        <f t="shared" si="4"/>
        <v>1293.4602649006622</v>
      </c>
      <c r="Y44" s="2">
        <f t="shared" si="5"/>
        <v>0</v>
      </c>
      <c r="Z44" s="2">
        <f t="shared" si="6"/>
        <v>0</v>
      </c>
      <c r="AA44" s="2">
        <f t="shared" si="7"/>
        <v>0</v>
      </c>
      <c r="AB44" s="2">
        <f t="shared" si="8"/>
        <v>0</v>
      </c>
      <c r="AC44" s="2">
        <f t="shared" si="9"/>
        <v>0</v>
      </c>
      <c r="AD44" s="2">
        <f t="shared" si="10"/>
        <v>0</v>
      </c>
      <c r="AE44" s="2">
        <f t="shared" si="11"/>
        <v>0</v>
      </c>
      <c r="AF44" s="2">
        <f t="shared" si="12"/>
        <v>0</v>
      </c>
      <c r="AG44" s="2">
        <f t="shared" si="13"/>
        <v>0</v>
      </c>
      <c r="AH44" s="2">
        <f t="shared" si="14"/>
        <v>1293.4602649006622</v>
      </c>
    </row>
    <row r="45" spans="1:34">
      <c r="A45" s="22"/>
      <c r="B45" s="22" t="s">
        <v>237</v>
      </c>
      <c r="C45" s="22" t="s">
        <v>57</v>
      </c>
      <c r="D45" s="22" t="s">
        <v>336</v>
      </c>
      <c r="E45" s="22" t="s">
        <v>337</v>
      </c>
      <c r="F45" s="23">
        <v>16235.1</v>
      </c>
      <c r="G45" s="24">
        <v>45992</v>
      </c>
      <c r="H45" s="24"/>
      <c r="I45" s="24" t="s">
        <v>257</v>
      </c>
      <c r="J45" s="25"/>
      <c r="K45" s="23"/>
      <c r="L45" s="26"/>
      <c r="M45" s="26"/>
      <c r="N45" s="26"/>
      <c r="O45" s="29"/>
      <c r="P45" s="27">
        <v>3247.04</v>
      </c>
      <c r="Q45" s="27">
        <v>3247.04</v>
      </c>
      <c r="R45" s="27">
        <v>6494.06</v>
      </c>
      <c r="S45" s="28">
        <v>16235.18</v>
      </c>
      <c r="U45" t="s">
        <v>23</v>
      </c>
      <c r="V45" s="2">
        <f t="shared" si="2"/>
        <v>0</v>
      </c>
      <c r="W45" s="2">
        <f t="shared" si="3"/>
        <v>0</v>
      </c>
      <c r="X45" s="2">
        <f t="shared" si="4"/>
        <v>0</v>
      </c>
      <c r="Y45" s="2">
        <f t="shared" si="5"/>
        <v>0</v>
      </c>
      <c r="Z45" s="2">
        <f t="shared" si="6"/>
        <v>0</v>
      </c>
      <c r="AA45" s="2">
        <f t="shared" si="7"/>
        <v>0</v>
      </c>
      <c r="AB45" s="2">
        <f t="shared" si="8"/>
        <v>690.96923585841887</v>
      </c>
      <c r="AC45" s="2">
        <f t="shared" si="9"/>
        <v>0</v>
      </c>
      <c r="AD45" s="2">
        <f t="shared" si="10"/>
        <v>0</v>
      </c>
      <c r="AE45" s="2">
        <f t="shared" si="11"/>
        <v>0</v>
      </c>
      <c r="AF45" s="2">
        <f t="shared" si="12"/>
        <v>0</v>
      </c>
      <c r="AG45" s="2">
        <f t="shared" si="13"/>
        <v>0</v>
      </c>
      <c r="AH45" s="2">
        <f t="shared" si="14"/>
        <v>690.96923585841887</v>
      </c>
    </row>
    <row r="46" spans="1:34">
      <c r="E46" s="33"/>
      <c r="F46" s="34">
        <v>373897.67</v>
      </c>
      <c r="G46" s="35"/>
      <c r="H46" s="35"/>
      <c r="I46" s="35"/>
      <c r="J46" s="34">
        <v>0</v>
      </c>
      <c r="K46" s="34">
        <v>43447.761999999995</v>
      </c>
      <c r="L46" s="34">
        <v>58974.731999999996</v>
      </c>
      <c r="M46" s="34">
        <v>60547.546000000002</v>
      </c>
      <c r="N46" s="34">
        <v>71532.516000000003</v>
      </c>
      <c r="O46" s="34">
        <f>SUM(O10:O45)</f>
        <v>71532.5</v>
      </c>
      <c r="P46" s="34">
        <v>31331.791000000005</v>
      </c>
      <c r="Q46" s="34">
        <v>15804.824000000001</v>
      </c>
      <c r="R46" s="34">
        <v>17479.02</v>
      </c>
      <c r="S46" s="34">
        <v>373897.73100000009</v>
      </c>
      <c r="U46" t="s">
        <v>49</v>
      </c>
      <c r="V46" s="2">
        <f t="shared" si="2"/>
        <v>1241.4803411587977</v>
      </c>
      <c r="W46" s="2">
        <f t="shared" si="3"/>
        <v>0</v>
      </c>
      <c r="X46" s="2">
        <f t="shared" si="4"/>
        <v>0</v>
      </c>
      <c r="Y46" s="2">
        <f t="shared" si="5"/>
        <v>0</v>
      </c>
      <c r="Z46" s="2">
        <f t="shared" si="6"/>
        <v>1345.026093506214</v>
      </c>
      <c r="AA46" s="2">
        <f t="shared" si="7"/>
        <v>0</v>
      </c>
      <c r="AB46" s="2">
        <f t="shared" si="8"/>
        <v>0</v>
      </c>
      <c r="AC46" s="2">
        <f t="shared" si="9"/>
        <v>0</v>
      </c>
      <c r="AD46" s="2">
        <f t="shared" si="10"/>
        <v>0</v>
      </c>
      <c r="AE46" s="2">
        <f t="shared" si="11"/>
        <v>0</v>
      </c>
      <c r="AF46" s="2">
        <f t="shared" si="12"/>
        <v>0</v>
      </c>
      <c r="AG46" s="2">
        <f t="shared" si="13"/>
        <v>0</v>
      </c>
      <c r="AH46" s="2">
        <f t="shared" si="14"/>
        <v>2586.5064346650115</v>
      </c>
    </row>
    <row r="47" spans="1:34">
      <c r="F47" s="3"/>
      <c r="G47" s="30"/>
      <c r="H47" s="30"/>
      <c r="I47" s="30"/>
      <c r="S47" s="3"/>
      <c r="U47" t="s">
        <v>37</v>
      </c>
      <c r="V47" s="2">
        <f t="shared" si="2"/>
        <v>0</v>
      </c>
      <c r="W47" s="2">
        <f t="shared" si="3"/>
        <v>0</v>
      </c>
      <c r="X47" s="2">
        <f t="shared" si="4"/>
        <v>0</v>
      </c>
      <c r="Y47" s="2">
        <f t="shared" si="5"/>
        <v>0</v>
      </c>
      <c r="Z47" s="2">
        <f t="shared" si="6"/>
        <v>0</v>
      </c>
      <c r="AA47" s="2">
        <f t="shared" si="7"/>
        <v>0</v>
      </c>
      <c r="AB47" s="2">
        <f t="shared" si="8"/>
        <v>0</v>
      </c>
      <c r="AC47" s="2">
        <f t="shared" si="9"/>
        <v>0</v>
      </c>
      <c r="AD47" s="2">
        <f t="shared" si="10"/>
        <v>0</v>
      </c>
      <c r="AE47" s="2">
        <f t="shared" si="11"/>
        <v>656.96116045619385</v>
      </c>
      <c r="AF47" s="2">
        <f t="shared" si="12"/>
        <v>0</v>
      </c>
      <c r="AG47" s="2">
        <f t="shared" si="13"/>
        <v>0</v>
      </c>
      <c r="AH47" s="2">
        <f t="shared" si="14"/>
        <v>656.96116045619385</v>
      </c>
    </row>
    <row r="48" spans="1:34">
      <c r="U48" t="s">
        <v>17</v>
      </c>
      <c r="V48" s="2">
        <f t="shared" si="2"/>
        <v>4518.9884418180236</v>
      </c>
      <c r="W48" s="2">
        <f t="shared" si="3"/>
        <v>2989.7906517114188</v>
      </c>
      <c r="X48" s="2">
        <f t="shared" si="4"/>
        <v>4562.0343543046356</v>
      </c>
      <c r="Y48" s="2">
        <f t="shared" si="5"/>
        <v>0</v>
      </c>
      <c r="Z48" s="2">
        <f t="shared" si="6"/>
        <v>0</v>
      </c>
      <c r="AA48" s="2">
        <f t="shared" si="7"/>
        <v>3256.8153145740771</v>
      </c>
      <c r="AB48" s="2">
        <f t="shared" si="8"/>
        <v>0</v>
      </c>
      <c r="AC48" s="2">
        <f t="shared" si="9"/>
        <v>0</v>
      </c>
      <c r="AD48" s="2">
        <f t="shared" si="10"/>
        <v>0</v>
      </c>
      <c r="AE48" s="2">
        <f t="shared" si="11"/>
        <v>0</v>
      </c>
      <c r="AF48" s="2">
        <f t="shared" si="12"/>
        <v>0</v>
      </c>
      <c r="AG48" s="2">
        <f t="shared" si="13"/>
        <v>0</v>
      </c>
      <c r="AH48" s="2">
        <f t="shared" si="14"/>
        <v>15327.628762408156</v>
      </c>
    </row>
    <row r="49" spans="1:34">
      <c r="J49" s="2"/>
      <c r="K49" s="2"/>
      <c r="U49" t="s">
        <v>14</v>
      </c>
      <c r="V49" s="2">
        <f t="shared" si="2"/>
        <v>0</v>
      </c>
      <c r="W49" s="2">
        <f t="shared" si="3"/>
        <v>0</v>
      </c>
      <c r="X49" s="2">
        <f t="shared" si="4"/>
        <v>0</v>
      </c>
      <c r="Y49" s="2">
        <f t="shared" si="5"/>
        <v>0</v>
      </c>
      <c r="Z49" s="2">
        <f t="shared" si="6"/>
        <v>0</v>
      </c>
      <c r="AA49" s="2">
        <f t="shared" si="7"/>
        <v>1919.8069222752454</v>
      </c>
      <c r="AB49" s="2">
        <f t="shared" si="8"/>
        <v>0</v>
      </c>
      <c r="AC49" s="2">
        <f t="shared" si="9"/>
        <v>10123.780084499818</v>
      </c>
      <c r="AD49" s="2">
        <f t="shared" si="10"/>
        <v>0</v>
      </c>
      <c r="AE49" s="2">
        <f t="shared" si="11"/>
        <v>8277.7106217480432</v>
      </c>
      <c r="AF49" s="2">
        <f t="shared" si="12"/>
        <v>0</v>
      </c>
      <c r="AG49" s="2">
        <f t="shared" si="13"/>
        <v>10091.230053012567</v>
      </c>
      <c r="AH49" s="2">
        <f t="shared" si="14"/>
        <v>30412.52768153567</v>
      </c>
    </row>
    <row r="50" spans="1:34" s="9" customFormat="1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 t="s">
        <v>13</v>
      </c>
      <c r="V50" s="2">
        <f t="shared" si="2"/>
        <v>0</v>
      </c>
      <c r="W50" s="2">
        <f t="shared" si="3"/>
        <v>923.05852436522025</v>
      </c>
      <c r="X50" s="2">
        <f t="shared" si="4"/>
        <v>0</v>
      </c>
      <c r="Y50" s="2">
        <f t="shared" si="5"/>
        <v>0</v>
      </c>
      <c r="Z50" s="2">
        <f t="shared" si="6"/>
        <v>0</v>
      </c>
      <c r="AA50" s="2">
        <f t="shared" si="7"/>
        <v>3353.2828698370904</v>
      </c>
      <c r="AB50" s="2">
        <f t="shared" si="8"/>
        <v>0</v>
      </c>
      <c r="AC50" s="2">
        <f t="shared" si="9"/>
        <v>0</v>
      </c>
      <c r="AD50" s="2">
        <f t="shared" si="10"/>
        <v>0</v>
      </c>
      <c r="AE50" s="2">
        <f t="shared" si="11"/>
        <v>3265.4280758921532</v>
      </c>
      <c r="AF50" s="2">
        <f t="shared" si="12"/>
        <v>3397.4526842042615</v>
      </c>
      <c r="AG50" s="2">
        <f t="shared" si="13"/>
        <v>0</v>
      </c>
      <c r="AH50" s="2">
        <f t="shared" si="14"/>
        <v>10939.222154298724</v>
      </c>
    </row>
    <row r="51" spans="1:34">
      <c r="U51" t="s">
        <v>15</v>
      </c>
      <c r="V51" s="2">
        <f t="shared" si="2"/>
        <v>0</v>
      </c>
      <c r="W51" s="2">
        <f t="shared" si="3"/>
        <v>0</v>
      </c>
      <c r="X51" s="2">
        <f t="shared" si="4"/>
        <v>0</v>
      </c>
      <c r="Y51" s="2">
        <f t="shared" si="5"/>
        <v>0</v>
      </c>
      <c r="Z51" s="2">
        <f t="shared" si="6"/>
        <v>413.32651853445958</v>
      </c>
      <c r="AA51" s="2">
        <f t="shared" si="7"/>
        <v>0</v>
      </c>
      <c r="AB51" s="2">
        <f t="shared" si="8"/>
        <v>0</v>
      </c>
      <c r="AC51" s="2">
        <f t="shared" si="9"/>
        <v>0</v>
      </c>
      <c r="AD51" s="2">
        <f t="shared" si="10"/>
        <v>0</v>
      </c>
      <c r="AE51" s="2">
        <f t="shared" si="11"/>
        <v>0</v>
      </c>
      <c r="AF51" s="2">
        <f t="shared" si="12"/>
        <v>0</v>
      </c>
      <c r="AG51" s="2">
        <f t="shared" si="13"/>
        <v>0</v>
      </c>
      <c r="AH51" s="2">
        <f t="shared" si="14"/>
        <v>413.32651853445958</v>
      </c>
    </row>
    <row r="52" spans="1:34">
      <c r="U52" s="9"/>
    </row>
    <row r="53" spans="1:34">
      <c r="AH53" s="96">
        <f>SUM(AH37:AH52)</f>
        <v>93858.737920908927</v>
      </c>
    </row>
  </sheetData>
  <mergeCells count="1">
    <mergeCell ref="J8:M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BC6A8-3168-4D06-BDCF-EFF8F3513D1E}">
  <dimension ref="A1:AA271"/>
  <sheetViews>
    <sheetView topLeftCell="G226" workbookViewId="0">
      <selection sqref="A1:Y271"/>
    </sheetView>
  </sheetViews>
  <sheetFormatPr defaultRowHeight="14.45"/>
  <cols>
    <col min="3" max="3" width="10.42578125" bestFit="1" customWidth="1"/>
    <col min="4" max="4" width="10.42578125" customWidth="1"/>
    <col min="5" max="5" width="17.7109375" bestFit="1" customWidth="1"/>
    <col min="6" max="6" width="37.140625" bestFit="1" customWidth="1"/>
    <col min="7" max="7" width="12.85546875" bestFit="1" customWidth="1"/>
    <col min="8" max="8" width="31.5703125" bestFit="1" customWidth="1"/>
    <col min="9" max="9" width="15.5703125" bestFit="1" customWidth="1"/>
    <col min="10" max="10" width="14.7109375" bestFit="1" customWidth="1"/>
    <col min="11" max="11" width="15.42578125" bestFit="1" customWidth="1"/>
    <col min="12" max="12" width="10.7109375" customWidth="1"/>
    <col min="15" max="15" width="25.7109375" bestFit="1" customWidth="1"/>
    <col min="16" max="16" width="27.28515625" bestFit="1" customWidth="1"/>
    <col min="17" max="17" width="29.85546875" bestFit="1" customWidth="1"/>
    <col min="18" max="18" width="21.5703125" bestFit="1" customWidth="1"/>
    <col min="19" max="19" width="23.7109375" bestFit="1" customWidth="1"/>
    <col min="24" max="24" width="17.7109375" bestFit="1" customWidth="1"/>
    <col min="25" max="25" width="27.7109375" bestFit="1" customWidth="1"/>
  </cols>
  <sheetData>
    <row r="1" spans="1:25">
      <c r="A1" t="s">
        <v>338</v>
      </c>
      <c r="B1" t="s">
        <v>339</v>
      </c>
      <c r="C1" t="s">
        <v>340</v>
      </c>
      <c r="D1" t="s">
        <v>341</v>
      </c>
      <c r="E1" t="s">
        <v>342</v>
      </c>
      <c r="F1" t="s">
        <v>343</v>
      </c>
      <c r="G1" t="s">
        <v>344</v>
      </c>
      <c r="H1" t="s">
        <v>345</v>
      </c>
      <c r="I1" t="s">
        <v>346</v>
      </c>
      <c r="J1" t="s">
        <v>347</v>
      </c>
      <c r="K1" t="s">
        <v>348</v>
      </c>
      <c r="L1" t="s">
        <v>349</v>
      </c>
      <c r="M1" t="s">
        <v>350</v>
      </c>
      <c r="N1" t="s">
        <v>351</v>
      </c>
      <c r="O1" t="s">
        <v>352</v>
      </c>
      <c r="P1" t="s">
        <v>353</v>
      </c>
      <c r="Q1" t="s">
        <v>354</v>
      </c>
      <c r="R1" t="s">
        <v>355</v>
      </c>
      <c r="S1" t="s">
        <v>356</v>
      </c>
      <c r="T1" t="s">
        <v>357</v>
      </c>
      <c r="U1" t="s">
        <v>358</v>
      </c>
      <c r="V1" t="s">
        <v>359</v>
      </c>
      <c r="W1" t="s">
        <v>81</v>
      </c>
      <c r="X1" t="s">
        <v>360</v>
      </c>
      <c r="Y1" t="s">
        <v>361</v>
      </c>
    </row>
    <row r="2" spans="1:25">
      <c r="A2">
        <v>101098</v>
      </c>
      <c r="B2" t="s">
        <v>362</v>
      </c>
      <c r="C2" s="30">
        <v>45658</v>
      </c>
      <c r="D2" s="30" t="str">
        <f t="shared" ref="D2:D65" si="0">TEXT(C2,"MMMM")</f>
        <v>January</v>
      </c>
      <c r="E2" s="30" t="s">
        <v>363</v>
      </c>
      <c r="F2" t="s">
        <v>364</v>
      </c>
      <c r="G2" t="s">
        <v>365</v>
      </c>
      <c r="H2" t="s">
        <v>366</v>
      </c>
      <c r="I2">
        <v>0</v>
      </c>
      <c r="J2" s="43">
        <v>2332</v>
      </c>
      <c r="K2" s="43">
        <v>0</v>
      </c>
      <c r="L2" s="43">
        <f t="shared" ref="L2:L65" si="1">J2-K2</f>
        <v>2332</v>
      </c>
      <c r="M2" s="43">
        <v>1062</v>
      </c>
      <c r="N2" s="43">
        <v>8790.18</v>
      </c>
      <c r="O2" s="43">
        <v>0</v>
      </c>
      <c r="P2" s="43"/>
      <c r="Q2" s="43"/>
      <c r="S2" s="30">
        <v>45693</v>
      </c>
      <c r="U2" s="30" t="s">
        <v>367</v>
      </c>
      <c r="V2" t="s">
        <v>368</v>
      </c>
      <c r="X2" t="s">
        <v>369</v>
      </c>
      <c r="Y2" t="s">
        <v>40</v>
      </c>
    </row>
    <row r="3" spans="1:25">
      <c r="A3">
        <v>101098</v>
      </c>
      <c r="B3" t="s">
        <v>362</v>
      </c>
      <c r="C3" s="30">
        <v>45658</v>
      </c>
      <c r="D3" s="30" t="str">
        <f t="shared" si="0"/>
        <v>January</v>
      </c>
      <c r="E3" s="30" t="s">
        <v>370</v>
      </c>
      <c r="F3" t="s">
        <v>371</v>
      </c>
      <c r="G3" t="s">
        <v>365</v>
      </c>
      <c r="H3" t="s">
        <v>366</v>
      </c>
      <c r="I3">
        <v>0</v>
      </c>
      <c r="J3" s="43">
        <v>1525.33</v>
      </c>
      <c r="K3" s="43">
        <v>0</v>
      </c>
      <c r="L3" s="43">
        <f t="shared" si="1"/>
        <v>1525.33</v>
      </c>
      <c r="M3" s="43">
        <v>1062</v>
      </c>
      <c r="N3" s="43">
        <v>18693.689999999999</v>
      </c>
      <c r="O3" s="43">
        <v>0</v>
      </c>
      <c r="P3" s="43"/>
      <c r="Q3" s="43"/>
      <c r="S3" s="30">
        <v>45693</v>
      </c>
      <c r="U3" s="30" t="s">
        <v>367</v>
      </c>
      <c r="V3" t="s">
        <v>368</v>
      </c>
      <c r="X3" t="s">
        <v>369</v>
      </c>
      <c r="Y3" t="s">
        <v>21</v>
      </c>
    </row>
    <row r="4" spans="1:25">
      <c r="A4">
        <v>101098</v>
      </c>
      <c r="B4" t="s">
        <v>362</v>
      </c>
      <c r="C4" s="30">
        <v>45658</v>
      </c>
      <c r="D4" s="30" t="str">
        <f t="shared" si="0"/>
        <v>January</v>
      </c>
      <c r="E4" s="30" t="s">
        <v>370</v>
      </c>
      <c r="F4" t="s">
        <v>371</v>
      </c>
      <c r="G4" t="s">
        <v>365</v>
      </c>
      <c r="H4" t="s">
        <v>366</v>
      </c>
      <c r="I4">
        <v>0</v>
      </c>
      <c r="J4" s="43">
        <v>15871.95</v>
      </c>
      <c r="K4" s="43">
        <v>0</v>
      </c>
      <c r="L4" s="43">
        <f t="shared" si="1"/>
        <v>15871.95</v>
      </c>
      <c r="M4" s="43">
        <v>1062</v>
      </c>
      <c r="N4" s="43">
        <v>18693.689999999999</v>
      </c>
      <c r="O4" s="43">
        <v>0</v>
      </c>
      <c r="P4" s="43"/>
      <c r="Q4" s="43"/>
      <c r="S4" s="30">
        <v>45693</v>
      </c>
      <c r="U4" s="30" t="s">
        <v>367</v>
      </c>
      <c r="V4" t="s">
        <v>368</v>
      </c>
      <c r="X4" t="s">
        <v>369</v>
      </c>
      <c r="Y4" s="1" t="s">
        <v>14</v>
      </c>
    </row>
    <row r="5" spans="1:25">
      <c r="A5">
        <v>101098</v>
      </c>
      <c r="B5" t="s">
        <v>362</v>
      </c>
      <c r="C5" s="30">
        <v>45658</v>
      </c>
      <c r="D5" s="30" t="str">
        <f t="shared" si="0"/>
        <v>January</v>
      </c>
      <c r="E5" s="30" t="s">
        <v>370</v>
      </c>
      <c r="F5" t="s">
        <v>371</v>
      </c>
      <c r="G5" t="s">
        <v>365</v>
      </c>
      <c r="H5" t="s">
        <v>366</v>
      </c>
      <c r="I5">
        <v>0</v>
      </c>
      <c r="J5" s="43">
        <v>1296.4100000000001</v>
      </c>
      <c r="K5" s="43">
        <v>0</v>
      </c>
      <c r="L5" s="43">
        <f t="shared" si="1"/>
        <v>1296.4100000000001</v>
      </c>
      <c r="M5" s="43">
        <v>1062</v>
      </c>
      <c r="N5" s="43">
        <v>18693.689999999999</v>
      </c>
      <c r="O5" s="43">
        <v>0</v>
      </c>
      <c r="P5" s="43"/>
      <c r="Q5" s="43"/>
      <c r="S5" s="30">
        <v>45693</v>
      </c>
      <c r="U5" s="30" t="s">
        <v>367</v>
      </c>
      <c r="V5" t="s">
        <v>368</v>
      </c>
      <c r="X5" t="s">
        <v>369</v>
      </c>
      <c r="Y5" s="1" t="s">
        <v>14</v>
      </c>
    </row>
    <row r="6" spans="1:25">
      <c r="A6">
        <v>101098</v>
      </c>
      <c r="B6" t="s">
        <v>362</v>
      </c>
      <c r="C6" s="30">
        <v>45658</v>
      </c>
      <c r="D6" s="30" t="str">
        <f t="shared" si="0"/>
        <v>January</v>
      </c>
      <c r="E6" s="30" t="s">
        <v>363</v>
      </c>
      <c r="F6" t="s">
        <v>364</v>
      </c>
      <c r="G6" t="s">
        <v>365</v>
      </c>
      <c r="H6" t="s">
        <v>366</v>
      </c>
      <c r="I6">
        <v>0</v>
      </c>
      <c r="J6" s="43">
        <v>6458.18</v>
      </c>
      <c r="K6" s="43">
        <v>0</v>
      </c>
      <c r="L6" s="43">
        <f t="shared" si="1"/>
        <v>6458.18</v>
      </c>
      <c r="M6" s="43">
        <v>1062</v>
      </c>
      <c r="N6" s="43">
        <v>8790.18</v>
      </c>
      <c r="O6" s="43">
        <v>0</v>
      </c>
      <c r="P6" s="43"/>
      <c r="Q6" s="43"/>
      <c r="S6" s="30">
        <v>45693</v>
      </c>
      <c r="U6" s="30" t="s">
        <v>367</v>
      </c>
      <c r="V6" t="s">
        <v>368</v>
      </c>
      <c r="X6" t="s">
        <v>369</v>
      </c>
      <c r="Y6" s="1" t="s">
        <v>13</v>
      </c>
    </row>
    <row r="7" spans="1:25">
      <c r="A7">
        <v>101035</v>
      </c>
      <c r="B7" t="s">
        <v>372</v>
      </c>
      <c r="C7" s="30">
        <v>45679</v>
      </c>
      <c r="D7" s="30" t="str">
        <f t="shared" si="0"/>
        <v>January</v>
      </c>
      <c r="E7" t="s">
        <v>373</v>
      </c>
      <c r="F7" t="s">
        <v>374</v>
      </c>
      <c r="G7" t="s">
        <v>365</v>
      </c>
      <c r="H7" t="s">
        <v>375</v>
      </c>
      <c r="I7">
        <v>0</v>
      </c>
      <c r="J7" s="43">
        <v>0</v>
      </c>
      <c r="K7" s="43">
        <v>15871.95</v>
      </c>
      <c r="L7" s="43">
        <f t="shared" si="1"/>
        <v>-15871.95</v>
      </c>
      <c r="M7">
        <v>1062</v>
      </c>
      <c r="N7" s="43">
        <v>0</v>
      </c>
      <c r="O7" s="43">
        <v>15871.95</v>
      </c>
      <c r="P7" t="s">
        <v>376</v>
      </c>
      <c r="Q7" t="s">
        <v>376</v>
      </c>
      <c r="R7">
        <v>4135</v>
      </c>
      <c r="S7" s="30">
        <v>45686</v>
      </c>
      <c r="T7" t="s">
        <v>377</v>
      </c>
      <c r="U7" t="s">
        <v>378</v>
      </c>
      <c r="V7" t="s">
        <v>379</v>
      </c>
      <c r="W7" t="s">
        <v>372</v>
      </c>
      <c r="X7" t="s">
        <v>369</v>
      </c>
      <c r="Y7" s="1" t="s">
        <v>14</v>
      </c>
    </row>
    <row r="8" spans="1:25">
      <c r="A8">
        <v>101103</v>
      </c>
      <c r="B8" t="s">
        <v>362</v>
      </c>
      <c r="C8" s="30">
        <v>45688</v>
      </c>
      <c r="D8" s="30" t="str">
        <f t="shared" si="0"/>
        <v>January</v>
      </c>
      <c r="E8" s="30" t="s">
        <v>370</v>
      </c>
      <c r="F8" t="s">
        <v>371</v>
      </c>
      <c r="G8" t="s">
        <v>365</v>
      </c>
      <c r="H8" t="s">
        <v>380</v>
      </c>
      <c r="I8">
        <v>0</v>
      </c>
      <c r="J8" s="43">
        <v>0</v>
      </c>
      <c r="K8" s="43">
        <v>1763.67</v>
      </c>
      <c r="L8" s="43">
        <f t="shared" si="1"/>
        <v>-1763.67</v>
      </c>
      <c r="M8" s="43">
        <v>1062</v>
      </c>
      <c r="N8" s="43">
        <v>0</v>
      </c>
      <c r="O8" s="43">
        <v>11622.69</v>
      </c>
      <c r="P8" s="43"/>
      <c r="Q8" s="43"/>
      <c r="S8" s="30">
        <v>45693</v>
      </c>
      <c r="U8" s="30" t="s">
        <v>367</v>
      </c>
      <c r="V8" t="s">
        <v>381</v>
      </c>
      <c r="X8" t="s">
        <v>382</v>
      </c>
      <c r="Y8" s="1" t="s">
        <v>29</v>
      </c>
    </row>
    <row r="9" spans="1:25">
      <c r="A9">
        <v>101103</v>
      </c>
      <c r="B9" t="s">
        <v>362</v>
      </c>
      <c r="C9" s="30">
        <v>45688</v>
      </c>
      <c r="D9" s="30" t="str">
        <f t="shared" si="0"/>
        <v>January</v>
      </c>
      <c r="E9" s="30" t="s">
        <v>363</v>
      </c>
      <c r="F9" t="s">
        <v>364</v>
      </c>
      <c r="G9" t="s">
        <v>365</v>
      </c>
      <c r="H9" t="s">
        <v>380</v>
      </c>
      <c r="I9">
        <v>0</v>
      </c>
      <c r="J9" s="43">
        <v>0</v>
      </c>
      <c r="K9" s="43">
        <v>2332</v>
      </c>
      <c r="L9" s="43">
        <f t="shared" si="1"/>
        <v>-2332</v>
      </c>
      <c r="M9" s="43">
        <v>1062</v>
      </c>
      <c r="N9" s="43">
        <v>0</v>
      </c>
      <c r="O9" s="43">
        <v>8790.18</v>
      </c>
      <c r="P9" s="43"/>
      <c r="Q9" s="43"/>
      <c r="S9" s="30">
        <v>45693</v>
      </c>
      <c r="U9" s="30" t="s">
        <v>367</v>
      </c>
      <c r="V9" t="s">
        <v>381</v>
      </c>
      <c r="X9" t="s">
        <v>382</v>
      </c>
      <c r="Y9" t="s">
        <v>40</v>
      </c>
    </row>
    <row r="10" spans="1:25">
      <c r="A10">
        <v>101103</v>
      </c>
      <c r="B10" t="s">
        <v>362</v>
      </c>
      <c r="C10" s="30">
        <v>45688</v>
      </c>
      <c r="D10" s="30" t="str">
        <f t="shared" si="0"/>
        <v>January</v>
      </c>
      <c r="E10" s="30" t="s">
        <v>370</v>
      </c>
      <c r="F10" t="s">
        <v>371</v>
      </c>
      <c r="G10" t="s">
        <v>365</v>
      </c>
      <c r="H10" t="s">
        <v>380</v>
      </c>
      <c r="I10">
        <v>0</v>
      </c>
      <c r="J10" s="43">
        <v>0</v>
      </c>
      <c r="K10" s="43">
        <v>1525.33</v>
      </c>
      <c r="L10" s="43">
        <f t="shared" si="1"/>
        <v>-1525.33</v>
      </c>
      <c r="M10" s="43">
        <v>1062</v>
      </c>
      <c r="N10" s="43">
        <v>0</v>
      </c>
      <c r="O10" s="43">
        <v>11622.69</v>
      </c>
      <c r="P10" s="43"/>
      <c r="Q10" s="43"/>
      <c r="S10" s="30">
        <v>45693</v>
      </c>
      <c r="U10" s="30" t="s">
        <v>367</v>
      </c>
      <c r="V10" t="s">
        <v>381</v>
      </c>
      <c r="X10" t="s">
        <v>382</v>
      </c>
      <c r="Y10" t="s">
        <v>21</v>
      </c>
    </row>
    <row r="11" spans="1:25">
      <c r="A11">
        <v>101103</v>
      </c>
      <c r="B11" t="s">
        <v>362</v>
      </c>
      <c r="C11" s="30">
        <v>45688</v>
      </c>
      <c r="D11" s="30" t="str">
        <f t="shared" si="0"/>
        <v>January</v>
      </c>
      <c r="E11" s="30" t="s">
        <v>370</v>
      </c>
      <c r="F11" t="s">
        <v>371</v>
      </c>
      <c r="G11" t="s">
        <v>365</v>
      </c>
      <c r="H11" t="s">
        <v>380</v>
      </c>
      <c r="I11">
        <v>0</v>
      </c>
      <c r="J11" s="43">
        <v>0</v>
      </c>
      <c r="K11" s="43">
        <v>3009.96</v>
      </c>
      <c r="L11" s="43">
        <f t="shared" si="1"/>
        <v>-3009.96</v>
      </c>
      <c r="M11" s="43">
        <v>1062</v>
      </c>
      <c r="N11" s="43">
        <v>0</v>
      </c>
      <c r="O11" s="43">
        <v>11622.69</v>
      </c>
      <c r="P11" s="43"/>
      <c r="Q11" s="43"/>
      <c r="S11" s="30">
        <v>45693</v>
      </c>
      <c r="U11" s="30" t="s">
        <v>367</v>
      </c>
      <c r="V11" t="s">
        <v>381</v>
      </c>
      <c r="X11" t="s">
        <v>382</v>
      </c>
      <c r="Y11" t="s">
        <v>12</v>
      </c>
    </row>
    <row r="12" spans="1:25">
      <c r="A12">
        <v>101103</v>
      </c>
      <c r="B12" t="s">
        <v>362</v>
      </c>
      <c r="C12" s="30">
        <v>45688</v>
      </c>
      <c r="D12" s="30" t="str">
        <f t="shared" si="0"/>
        <v>January</v>
      </c>
      <c r="E12" s="30" t="s">
        <v>370</v>
      </c>
      <c r="F12" t="s">
        <v>371</v>
      </c>
      <c r="G12" t="s">
        <v>365</v>
      </c>
      <c r="H12" t="s">
        <v>380</v>
      </c>
      <c r="I12">
        <v>0</v>
      </c>
      <c r="J12" s="43">
        <v>0</v>
      </c>
      <c r="K12" s="43">
        <v>3541.32</v>
      </c>
      <c r="L12" s="43">
        <f t="shared" si="1"/>
        <v>-3541.32</v>
      </c>
      <c r="M12" s="43">
        <v>1062</v>
      </c>
      <c r="N12" s="43">
        <v>0</v>
      </c>
      <c r="O12" s="43">
        <v>11622.69</v>
      </c>
      <c r="P12" s="43"/>
      <c r="Q12" s="43"/>
      <c r="S12" s="30">
        <v>45693</v>
      </c>
      <c r="U12" s="30" t="s">
        <v>367</v>
      </c>
      <c r="V12" t="s">
        <v>381</v>
      </c>
      <c r="X12" t="s">
        <v>382</v>
      </c>
      <c r="Y12" t="s">
        <v>12</v>
      </c>
    </row>
    <row r="13" spans="1:25">
      <c r="A13">
        <v>101083</v>
      </c>
      <c r="B13" t="s">
        <v>372</v>
      </c>
      <c r="C13" s="30">
        <v>45688</v>
      </c>
      <c r="D13" s="30" t="str">
        <f t="shared" si="0"/>
        <v>January</v>
      </c>
      <c r="E13" t="s">
        <v>373</v>
      </c>
      <c r="F13" t="s">
        <v>374</v>
      </c>
      <c r="G13" t="s">
        <v>365</v>
      </c>
      <c r="H13" t="s">
        <v>383</v>
      </c>
      <c r="I13">
        <v>0</v>
      </c>
      <c r="J13" s="43">
        <v>0</v>
      </c>
      <c r="K13" s="43">
        <v>1430</v>
      </c>
      <c r="L13" s="43">
        <f t="shared" si="1"/>
        <v>-1430</v>
      </c>
      <c r="M13">
        <v>1062</v>
      </c>
      <c r="N13" s="43">
        <v>0</v>
      </c>
      <c r="O13" s="43">
        <v>1430</v>
      </c>
      <c r="P13" t="s">
        <v>384</v>
      </c>
      <c r="Q13" t="s">
        <v>384</v>
      </c>
      <c r="R13">
        <v>892</v>
      </c>
      <c r="S13" s="30">
        <v>45691</v>
      </c>
      <c r="T13" t="s">
        <v>377</v>
      </c>
      <c r="U13" t="s">
        <v>378</v>
      </c>
      <c r="V13" t="s">
        <v>385</v>
      </c>
      <c r="W13" t="s">
        <v>372</v>
      </c>
      <c r="X13" t="s">
        <v>369</v>
      </c>
      <c r="Y13" t="s">
        <v>17</v>
      </c>
    </row>
    <row r="14" spans="1:25">
      <c r="A14">
        <v>101103</v>
      </c>
      <c r="B14" t="s">
        <v>362</v>
      </c>
      <c r="C14" s="30">
        <v>45688</v>
      </c>
      <c r="D14" s="30" t="str">
        <f t="shared" si="0"/>
        <v>January</v>
      </c>
      <c r="E14" s="30" t="s">
        <v>370</v>
      </c>
      <c r="F14" t="s">
        <v>371</v>
      </c>
      <c r="G14" t="s">
        <v>365</v>
      </c>
      <c r="H14" t="s">
        <v>380</v>
      </c>
      <c r="I14">
        <v>0</v>
      </c>
      <c r="J14" s="43">
        <v>0</v>
      </c>
      <c r="K14" s="43">
        <v>1782.41</v>
      </c>
      <c r="L14" s="43">
        <f t="shared" si="1"/>
        <v>-1782.41</v>
      </c>
      <c r="M14" s="43">
        <v>1062</v>
      </c>
      <c r="N14" s="43">
        <v>0</v>
      </c>
      <c r="O14" s="43">
        <v>11622.69</v>
      </c>
      <c r="P14" s="43"/>
      <c r="Q14" s="43"/>
      <c r="S14" s="30">
        <v>45693</v>
      </c>
      <c r="U14" s="30" t="s">
        <v>367</v>
      </c>
      <c r="V14" t="s">
        <v>381</v>
      </c>
      <c r="X14" t="s">
        <v>382</v>
      </c>
      <c r="Y14" s="1" t="s">
        <v>14</v>
      </c>
    </row>
    <row r="15" spans="1:25">
      <c r="A15">
        <v>101098</v>
      </c>
      <c r="B15" t="s">
        <v>362</v>
      </c>
      <c r="C15" s="30">
        <v>45688</v>
      </c>
      <c r="D15" s="30" t="str">
        <f t="shared" si="0"/>
        <v>January</v>
      </c>
      <c r="E15" s="30" t="s">
        <v>363</v>
      </c>
      <c r="F15" t="s">
        <v>364</v>
      </c>
      <c r="G15" t="s">
        <v>365</v>
      </c>
      <c r="H15" t="s">
        <v>380</v>
      </c>
      <c r="I15">
        <v>0</v>
      </c>
      <c r="J15" s="43">
        <v>0</v>
      </c>
      <c r="K15" s="43">
        <v>6458.18</v>
      </c>
      <c r="L15" s="43">
        <f t="shared" si="1"/>
        <v>-6458.18</v>
      </c>
      <c r="M15" s="43">
        <v>1062</v>
      </c>
      <c r="N15" s="43">
        <v>8790.18</v>
      </c>
      <c r="O15" s="43">
        <v>0</v>
      </c>
      <c r="P15" s="43"/>
      <c r="Q15" s="43"/>
      <c r="S15" s="30">
        <v>45693</v>
      </c>
      <c r="U15" s="30" t="s">
        <v>367</v>
      </c>
      <c r="V15" t="s">
        <v>368</v>
      </c>
      <c r="X15" t="s">
        <v>369</v>
      </c>
      <c r="Y15" s="1" t="s">
        <v>13</v>
      </c>
    </row>
    <row r="16" spans="1:25">
      <c r="A16">
        <v>101103</v>
      </c>
      <c r="B16" t="s">
        <v>362</v>
      </c>
      <c r="C16" s="30">
        <v>45689</v>
      </c>
      <c r="D16" s="30" t="str">
        <f t="shared" si="0"/>
        <v>February</v>
      </c>
      <c r="E16" s="30" t="s">
        <v>370</v>
      </c>
      <c r="F16" t="s">
        <v>371</v>
      </c>
      <c r="G16" t="s">
        <v>365</v>
      </c>
      <c r="H16" t="s">
        <v>380</v>
      </c>
      <c r="I16">
        <v>0</v>
      </c>
      <c r="J16" s="43">
        <v>1763.67</v>
      </c>
      <c r="K16" s="43">
        <v>0</v>
      </c>
      <c r="L16" s="43">
        <f t="shared" si="1"/>
        <v>1763.67</v>
      </c>
      <c r="M16" s="43">
        <v>1062</v>
      </c>
      <c r="N16" s="43">
        <v>0</v>
      </c>
      <c r="O16" s="43">
        <v>11622.69</v>
      </c>
      <c r="P16" s="43"/>
      <c r="Q16" s="43"/>
      <c r="S16" s="30">
        <v>45693</v>
      </c>
      <c r="U16" s="30" t="s">
        <v>367</v>
      </c>
      <c r="V16" t="s">
        <v>381</v>
      </c>
      <c r="X16" t="s">
        <v>382</v>
      </c>
      <c r="Y16" s="1" t="s">
        <v>29</v>
      </c>
    </row>
    <row r="17" spans="1:25">
      <c r="A17">
        <v>101103</v>
      </c>
      <c r="B17" t="s">
        <v>362</v>
      </c>
      <c r="C17" s="30">
        <v>45689</v>
      </c>
      <c r="D17" s="30" t="str">
        <f t="shared" si="0"/>
        <v>February</v>
      </c>
      <c r="E17" s="30" t="s">
        <v>363</v>
      </c>
      <c r="F17" t="s">
        <v>364</v>
      </c>
      <c r="G17" t="s">
        <v>365</v>
      </c>
      <c r="H17" t="s">
        <v>380</v>
      </c>
      <c r="I17">
        <v>0</v>
      </c>
      <c r="J17" s="43">
        <v>2332</v>
      </c>
      <c r="K17" s="43">
        <v>0</v>
      </c>
      <c r="L17" s="43">
        <f t="shared" si="1"/>
        <v>2332</v>
      </c>
      <c r="M17" s="43">
        <v>1062</v>
      </c>
      <c r="N17" s="43">
        <v>0</v>
      </c>
      <c r="O17" s="43">
        <v>8790.18</v>
      </c>
      <c r="P17" s="43"/>
      <c r="Q17" s="43"/>
      <c r="S17" s="30">
        <v>45693</v>
      </c>
      <c r="U17" s="30" t="s">
        <v>367</v>
      </c>
      <c r="V17" t="s">
        <v>381</v>
      </c>
      <c r="X17" t="s">
        <v>382</v>
      </c>
      <c r="Y17" t="s">
        <v>40</v>
      </c>
    </row>
    <row r="18" spans="1:25">
      <c r="A18">
        <v>101103</v>
      </c>
      <c r="B18" t="s">
        <v>362</v>
      </c>
      <c r="C18" s="30">
        <v>45689</v>
      </c>
      <c r="D18" s="30" t="str">
        <f t="shared" si="0"/>
        <v>February</v>
      </c>
      <c r="E18" s="30" t="s">
        <v>370</v>
      </c>
      <c r="F18" t="s">
        <v>371</v>
      </c>
      <c r="G18" t="s">
        <v>365</v>
      </c>
      <c r="H18" t="s">
        <v>380</v>
      </c>
      <c r="I18">
        <v>0</v>
      </c>
      <c r="J18" s="43">
        <v>1525.33</v>
      </c>
      <c r="K18" s="43">
        <v>0</v>
      </c>
      <c r="L18" s="43">
        <f t="shared" si="1"/>
        <v>1525.33</v>
      </c>
      <c r="M18" s="43">
        <v>1062</v>
      </c>
      <c r="N18" s="43">
        <v>0</v>
      </c>
      <c r="O18" s="43">
        <v>11622.69</v>
      </c>
      <c r="P18" s="43"/>
      <c r="Q18" s="43"/>
      <c r="S18" s="30">
        <v>45693</v>
      </c>
      <c r="U18" s="30" t="s">
        <v>367</v>
      </c>
      <c r="V18" t="s">
        <v>381</v>
      </c>
      <c r="X18" t="s">
        <v>382</v>
      </c>
      <c r="Y18" t="s">
        <v>21</v>
      </c>
    </row>
    <row r="19" spans="1:25">
      <c r="A19">
        <v>101103</v>
      </c>
      <c r="B19" t="s">
        <v>362</v>
      </c>
      <c r="C19" s="30">
        <v>45689</v>
      </c>
      <c r="D19" s="30" t="str">
        <f t="shared" si="0"/>
        <v>February</v>
      </c>
      <c r="E19" s="30" t="s">
        <v>370</v>
      </c>
      <c r="F19" t="s">
        <v>371</v>
      </c>
      <c r="G19" t="s">
        <v>365</v>
      </c>
      <c r="H19" t="s">
        <v>380</v>
      </c>
      <c r="I19">
        <v>0</v>
      </c>
      <c r="J19" s="43">
        <v>3009.96</v>
      </c>
      <c r="K19" s="43">
        <v>0</v>
      </c>
      <c r="L19" s="43">
        <f t="shared" si="1"/>
        <v>3009.96</v>
      </c>
      <c r="M19" s="43">
        <v>1062</v>
      </c>
      <c r="N19" s="43">
        <v>0</v>
      </c>
      <c r="O19" s="43">
        <v>11622.69</v>
      </c>
      <c r="P19" s="43"/>
      <c r="Q19" s="43"/>
      <c r="S19" s="30">
        <v>45693</v>
      </c>
      <c r="U19" s="30" t="s">
        <v>367</v>
      </c>
      <c r="V19" t="s">
        <v>381</v>
      </c>
      <c r="X19" t="s">
        <v>382</v>
      </c>
      <c r="Y19" t="s">
        <v>12</v>
      </c>
    </row>
    <row r="20" spans="1:25">
      <c r="A20">
        <v>101103</v>
      </c>
      <c r="B20" t="s">
        <v>362</v>
      </c>
      <c r="C20" s="30">
        <v>45689</v>
      </c>
      <c r="D20" s="30" t="str">
        <f t="shared" si="0"/>
        <v>February</v>
      </c>
      <c r="E20" s="30" t="s">
        <v>370</v>
      </c>
      <c r="F20" t="s">
        <v>371</v>
      </c>
      <c r="G20" t="s">
        <v>365</v>
      </c>
      <c r="H20" t="s">
        <v>380</v>
      </c>
      <c r="I20">
        <v>0</v>
      </c>
      <c r="J20" s="43">
        <v>3541.32</v>
      </c>
      <c r="K20" s="43">
        <v>0</v>
      </c>
      <c r="L20" s="43">
        <f t="shared" si="1"/>
        <v>3541.32</v>
      </c>
      <c r="M20" s="43">
        <v>1062</v>
      </c>
      <c r="N20" s="43">
        <v>0</v>
      </c>
      <c r="O20" s="43">
        <v>11622.69</v>
      </c>
      <c r="P20" s="43"/>
      <c r="Q20" s="43"/>
      <c r="S20" s="30">
        <v>45693</v>
      </c>
      <c r="U20" s="30" t="s">
        <v>367</v>
      </c>
      <c r="V20" t="s">
        <v>381</v>
      </c>
      <c r="X20" t="s">
        <v>382</v>
      </c>
      <c r="Y20" t="s">
        <v>12</v>
      </c>
    </row>
    <row r="21" spans="1:25">
      <c r="A21">
        <v>101103</v>
      </c>
      <c r="B21" t="s">
        <v>362</v>
      </c>
      <c r="C21" s="30">
        <v>45689</v>
      </c>
      <c r="D21" s="30" t="str">
        <f t="shared" si="0"/>
        <v>February</v>
      </c>
      <c r="E21" s="30" t="s">
        <v>370</v>
      </c>
      <c r="F21" t="s">
        <v>371</v>
      </c>
      <c r="G21" t="s">
        <v>365</v>
      </c>
      <c r="H21" t="s">
        <v>380</v>
      </c>
      <c r="I21">
        <v>0</v>
      </c>
      <c r="J21" s="43">
        <v>1782.41</v>
      </c>
      <c r="K21" s="43">
        <v>0</v>
      </c>
      <c r="L21" s="43">
        <f t="shared" si="1"/>
        <v>1782.41</v>
      </c>
      <c r="M21" s="43">
        <v>1062</v>
      </c>
      <c r="N21" s="43">
        <v>0</v>
      </c>
      <c r="O21" s="43">
        <v>11622.69</v>
      </c>
      <c r="P21" s="43"/>
      <c r="Q21" s="43"/>
      <c r="S21" s="30">
        <v>45693</v>
      </c>
      <c r="U21" s="30" t="s">
        <v>367</v>
      </c>
      <c r="V21" t="s">
        <v>381</v>
      </c>
      <c r="X21" t="s">
        <v>382</v>
      </c>
      <c r="Y21" s="1" t="s">
        <v>14</v>
      </c>
    </row>
    <row r="22" spans="1:25">
      <c r="A22">
        <v>101103</v>
      </c>
      <c r="B22" t="s">
        <v>362</v>
      </c>
      <c r="C22" s="30">
        <v>45689</v>
      </c>
      <c r="D22" s="30" t="str">
        <f t="shared" si="0"/>
        <v>February</v>
      </c>
      <c r="E22" s="30" t="s">
        <v>370</v>
      </c>
      <c r="F22" t="s">
        <v>371</v>
      </c>
      <c r="G22" t="s">
        <v>365</v>
      </c>
      <c r="H22" t="s">
        <v>380</v>
      </c>
      <c r="I22">
        <v>0</v>
      </c>
      <c r="J22" s="43">
        <v>6458.18</v>
      </c>
      <c r="K22" s="43">
        <v>0</v>
      </c>
      <c r="L22" s="43">
        <f t="shared" si="1"/>
        <v>6458.18</v>
      </c>
      <c r="M22" s="43">
        <v>1062</v>
      </c>
      <c r="N22" s="43">
        <v>0</v>
      </c>
      <c r="O22" s="43">
        <v>11622.69</v>
      </c>
      <c r="P22" s="43"/>
      <c r="Q22" s="43"/>
      <c r="S22" s="30">
        <v>45693</v>
      </c>
      <c r="U22" s="30" t="s">
        <v>367</v>
      </c>
      <c r="V22" t="s">
        <v>381</v>
      </c>
      <c r="X22" t="s">
        <v>382</v>
      </c>
      <c r="Y22" t="s">
        <v>13</v>
      </c>
    </row>
    <row r="23" spans="1:25">
      <c r="A23">
        <v>101257</v>
      </c>
      <c r="B23" t="s">
        <v>372</v>
      </c>
      <c r="C23" s="30">
        <v>45698</v>
      </c>
      <c r="D23" s="30" t="str">
        <f t="shared" si="0"/>
        <v>February</v>
      </c>
      <c r="E23" t="s">
        <v>373</v>
      </c>
      <c r="F23" t="s">
        <v>374</v>
      </c>
      <c r="G23" t="s">
        <v>365</v>
      </c>
      <c r="H23" t="s">
        <v>386</v>
      </c>
      <c r="I23">
        <v>0</v>
      </c>
      <c r="J23" s="43">
        <v>0</v>
      </c>
      <c r="K23" s="43">
        <v>3159</v>
      </c>
      <c r="L23" s="43">
        <f t="shared" si="1"/>
        <v>-3159</v>
      </c>
      <c r="M23">
        <v>1062</v>
      </c>
      <c r="N23" s="43">
        <v>0</v>
      </c>
      <c r="O23" s="43">
        <v>3159</v>
      </c>
      <c r="P23" t="s">
        <v>387</v>
      </c>
      <c r="Q23" t="s">
        <v>387</v>
      </c>
      <c r="R23">
        <v>4067</v>
      </c>
      <c r="S23" s="30">
        <v>45706</v>
      </c>
      <c r="T23" t="s">
        <v>377</v>
      </c>
      <c r="U23" t="s">
        <v>378</v>
      </c>
      <c r="V23" t="s">
        <v>388</v>
      </c>
      <c r="W23" t="s">
        <v>372</v>
      </c>
      <c r="X23" t="s">
        <v>369</v>
      </c>
      <c r="Y23" t="s">
        <v>12</v>
      </c>
    </row>
    <row r="24" spans="1:25">
      <c r="A24">
        <v>101256</v>
      </c>
      <c r="B24" t="s">
        <v>372</v>
      </c>
      <c r="C24" s="30">
        <v>45698</v>
      </c>
      <c r="D24" s="30" t="str">
        <f t="shared" si="0"/>
        <v>February</v>
      </c>
      <c r="E24" t="s">
        <v>373</v>
      </c>
      <c r="F24" t="s">
        <v>374</v>
      </c>
      <c r="G24" t="s">
        <v>365</v>
      </c>
      <c r="H24" t="s">
        <v>389</v>
      </c>
      <c r="I24">
        <v>0</v>
      </c>
      <c r="J24" s="43">
        <v>0</v>
      </c>
      <c r="K24" s="43">
        <v>1822.5</v>
      </c>
      <c r="L24" s="43">
        <f t="shared" si="1"/>
        <v>-1822.5</v>
      </c>
      <c r="M24">
        <v>1062</v>
      </c>
      <c r="N24" s="43">
        <v>0</v>
      </c>
      <c r="O24" s="43">
        <v>1822.5</v>
      </c>
      <c r="P24" t="s">
        <v>390</v>
      </c>
      <c r="Q24" t="s">
        <v>390</v>
      </c>
      <c r="R24">
        <v>4135</v>
      </c>
      <c r="S24" s="30">
        <v>45706</v>
      </c>
      <c r="T24" t="s">
        <v>377</v>
      </c>
      <c r="U24" t="s">
        <v>378</v>
      </c>
      <c r="V24" t="s">
        <v>388</v>
      </c>
      <c r="W24" t="s">
        <v>372</v>
      </c>
      <c r="X24" t="s">
        <v>369</v>
      </c>
      <c r="Y24" s="1" t="s">
        <v>14</v>
      </c>
    </row>
    <row r="25" spans="1:25">
      <c r="A25">
        <v>101280</v>
      </c>
      <c r="B25" t="s">
        <v>372</v>
      </c>
      <c r="C25" s="30">
        <v>45707</v>
      </c>
      <c r="D25" s="30" t="str">
        <f t="shared" si="0"/>
        <v>February</v>
      </c>
      <c r="E25" t="s">
        <v>391</v>
      </c>
      <c r="F25" t="s">
        <v>392</v>
      </c>
      <c r="G25" t="s">
        <v>365</v>
      </c>
      <c r="H25" t="s">
        <v>393</v>
      </c>
      <c r="I25">
        <v>0</v>
      </c>
      <c r="J25" s="43">
        <v>0</v>
      </c>
      <c r="K25" s="43">
        <v>2509.34</v>
      </c>
      <c r="L25" s="43">
        <f t="shared" si="1"/>
        <v>-2509.34</v>
      </c>
      <c r="M25">
        <v>1062</v>
      </c>
      <c r="N25" s="43">
        <v>0</v>
      </c>
      <c r="O25" s="43">
        <v>2509.34</v>
      </c>
      <c r="P25" t="s">
        <v>394</v>
      </c>
      <c r="Q25" t="s">
        <v>394</v>
      </c>
      <c r="R25">
        <v>9990</v>
      </c>
      <c r="S25" s="30">
        <v>45709</v>
      </c>
      <c r="T25" t="s">
        <v>377</v>
      </c>
      <c r="U25" t="s">
        <v>378</v>
      </c>
      <c r="V25" t="s">
        <v>395</v>
      </c>
      <c r="W25" t="s">
        <v>372</v>
      </c>
      <c r="X25" t="s">
        <v>369</v>
      </c>
      <c r="Y25" s="1" t="s">
        <v>22</v>
      </c>
    </row>
    <row r="26" spans="1:25">
      <c r="A26">
        <v>101279</v>
      </c>
      <c r="B26" t="s">
        <v>372</v>
      </c>
      <c r="C26" s="30">
        <v>45707</v>
      </c>
      <c r="D26" s="30" t="str">
        <f t="shared" si="0"/>
        <v>February</v>
      </c>
      <c r="E26" t="s">
        <v>391</v>
      </c>
      <c r="F26" t="s">
        <v>392</v>
      </c>
      <c r="G26" t="s">
        <v>365</v>
      </c>
      <c r="H26" t="s">
        <v>396</v>
      </c>
      <c r="I26">
        <v>0</v>
      </c>
      <c r="J26" s="43">
        <v>0</v>
      </c>
      <c r="K26" s="43">
        <v>1672.9</v>
      </c>
      <c r="L26" s="43">
        <f t="shared" si="1"/>
        <v>-1672.9</v>
      </c>
      <c r="M26">
        <v>1062</v>
      </c>
      <c r="N26" s="43">
        <v>0</v>
      </c>
      <c r="O26" s="43">
        <v>1672.9</v>
      </c>
      <c r="P26" t="s">
        <v>397</v>
      </c>
      <c r="Q26" t="s">
        <v>397</v>
      </c>
      <c r="R26">
        <v>9990</v>
      </c>
      <c r="S26" s="30">
        <v>45709</v>
      </c>
      <c r="T26" t="s">
        <v>377</v>
      </c>
      <c r="U26" t="s">
        <v>378</v>
      </c>
      <c r="V26" t="s">
        <v>395</v>
      </c>
      <c r="W26" t="s">
        <v>372</v>
      </c>
      <c r="X26" t="s">
        <v>369</v>
      </c>
      <c r="Y26" s="1" t="s">
        <v>22</v>
      </c>
    </row>
    <row r="27" spans="1:25">
      <c r="A27">
        <v>101281</v>
      </c>
      <c r="B27" t="s">
        <v>372</v>
      </c>
      <c r="C27" s="30">
        <v>45708</v>
      </c>
      <c r="D27" s="30" t="str">
        <f t="shared" si="0"/>
        <v>February</v>
      </c>
      <c r="E27" t="s">
        <v>373</v>
      </c>
      <c r="F27" t="s">
        <v>374</v>
      </c>
      <c r="G27" t="s">
        <v>365</v>
      </c>
      <c r="H27" t="s">
        <v>398</v>
      </c>
      <c r="I27">
        <v>0</v>
      </c>
      <c r="J27" s="43">
        <v>0</v>
      </c>
      <c r="K27" s="43">
        <v>1950</v>
      </c>
      <c r="L27" s="43">
        <f t="shared" si="1"/>
        <v>-1950</v>
      </c>
      <c r="M27">
        <v>1062</v>
      </c>
      <c r="N27" s="43">
        <v>0</v>
      </c>
      <c r="O27" s="43">
        <v>1950</v>
      </c>
      <c r="P27" t="s">
        <v>399</v>
      </c>
      <c r="Q27" t="s">
        <v>399</v>
      </c>
      <c r="R27">
        <v>4058</v>
      </c>
      <c r="S27" s="30">
        <v>45709</v>
      </c>
      <c r="T27" t="s">
        <v>377</v>
      </c>
      <c r="U27" t="s">
        <v>378</v>
      </c>
      <c r="V27" t="s">
        <v>400</v>
      </c>
      <c r="W27" t="s">
        <v>372</v>
      </c>
      <c r="X27" t="s">
        <v>369</v>
      </c>
      <c r="Y27" s="1" t="s">
        <v>37</v>
      </c>
    </row>
    <row r="28" spans="1:25">
      <c r="A28">
        <v>101339</v>
      </c>
      <c r="B28" t="s">
        <v>362</v>
      </c>
      <c r="C28" s="30">
        <v>45716</v>
      </c>
      <c r="D28" s="30" t="str">
        <f t="shared" si="0"/>
        <v>February</v>
      </c>
      <c r="E28" t="s">
        <v>370</v>
      </c>
      <c r="F28" t="s">
        <v>371</v>
      </c>
      <c r="G28" t="s">
        <v>365</v>
      </c>
      <c r="H28" t="s">
        <v>401</v>
      </c>
      <c r="I28">
        <v>0</v>
      </c>
      <c r="J28" s="43">
        <v>0</v>
      </c>
      <c r="K28" s="43">
        <v>1763.67</v>
      </c>
      <c r="L28" s="43">
        <f t="shared" si="1"/>
        <v>-1763.67</v>
      </c>
      <c r="M28">
        <v>1062</v>
      </c>
      <c r="N28" s="43">
        <v>0</v>
      </c>
      <c r="O28" s="43">
        <v>18792.61</v>
      </c>
      <c r="S28" s="30">
        <v>45720</v>
      </c>
      <c r="U28" t="s">
        <v>367</v>
      </c>
      <c r="V28" t="s">
        <v>402</v>
      </c>
      <c r="X28" t="s">
        <v>369</v>
      </c>
      <c r="Y28" s="1" t="s">
        <v>29</v>
      </c>
    </row>
    <row r="29" spans="1:25">
      <c r="A29">
        <v>101339</v>
      </c>
      <c r="B29" t="s">
        <v>362</v>
      </c>
      <c r="C29" s="30">
        <v>45716</v>
      </c>
      <c r="D29" s="30" t="str">
        <f t="shared" si="0"/>
        <v>February</v>
      </c>
      <c r="E29" t="s">
        <v>363</v>
      </c>
      <c r="F29" t="s">
        <v>364</v>
      </c>
      <c r="G29" t="s">
        <v>365</v>
      </c>
      <c r="H29" t="s">
        <v>401</v>
      </c>
      <c r="I29">
        <v>0</v>
      </c>
      <c r="J29" s="43">
        <v>0</v>
      </c>
      <c r="K29" s="43">
        <v>2332</v>
      </c>
      <c r="L29" s="43">
        <f t="shared" si="1"/>
        <v>-2332</v>
      </c>
      <c r="M29">
        <v>1062</v>
      </c>
      <c r="N29" s="43">
        <v>0</v>
      </c>
      <c r="O29" s="43">
        <v>9073.02</v>
      </c>
      <c r="S29" s="30">
        <v>45720</v>
      </c>
      <c r="U29" t="s">
        <v>367</v>
      </c>
      <c r="V29" t="s">
        <v>402</v>
      </c>
      <c r="X29" t="s">
        <v>369</v>
      </c>
      <c r="Y29" t="s">
        <v>40</v>
      </c>
    </row>
    <row r="30" spans="1:25">
      <c r="A30">
        <v>101339</v>
      </c>
      <c r="B30" t="s">
        <v>362</v>
      </c>
      <c r="C30" s="30">
        <v>45716</v>
      </c>
      <c r="D30" s="30" t="str">
        <f t="shared" si="0"/>
        <v>February</v>
      </c>
      <c r="E30" t="s">
        <v>370</v>
      </c>
      <c r="F30" t="s">
        <v>371</v>
      </c>
      <c r="G30" t="s">
        <v>365</v>
      </c>
      <c r="H30" t="s">
        <v>401</v>
      </c>
      <c r="I30">
        <v>0</v>
      </c>
      <c r="J30" s="43">
        <v>0</v>
      </c>
      <c r="K30" s="43">
        <v>715</v>
      </c>
      <c r="L30" s="43">
        <f t="shared" si="1"/>
        <v>-715</v>
      </c>
      <c r="M30">
        <v>1062</v>
      </c>
      <c r="N30" s="43">
        <v>0</v>
      </c>
      <c r="O30" s="43">
        <v>18792.61</v>
      </c>
      <c r="S30" s="30">
        <v>45720</v>
      </c>
      <c r="U30" t="s">
        <v>367</v>
      </c>
      <c r="V30" t="s">
        <v>402</v>
      </c>
      <c r="X30" t="s">
        <v>369</v>
      </c>
      <c r="Y30" t="s">
        <v>19</v>
      </c>
    </row>
    <row r="31" spans="1:25">
      <c r="A31">
        <v>101311</v>
      </c>
      <c r="B31" t="s">
        <v>372</v>
      </c>
      <c r="C31" s="30">
        <v>45716</v>
      </c>
      <c r="D31" s="30" t="str">
        <f t="shared" si="0"/>
        <v>February</v>
      </c>
      <c r="E31" t="s">
        <v>373</v>
      </c>
      <c r="F31" t="s">
        <v>374</v>
      </c>
      <c r="G31" t="s">
        <v>365</v>
      </c>
      <c r="H31" t="s">
        <v>403</v>
      </c>
      <c r="I31">
        <v>0</v>
      </c>
      <c r="J31" s="43">
        <v>0</v>
      </c>
      <c r="K31" s="43">
        <v>1480</v>
      </c>
      <c r="L31" s="43">
        <f t="shared" si="1"/>
        <v>-1480</v>
      </c>
      <c r="M31">
        <v>1062</v>
      </c>
      <c r="N31" s="43">
        <v>0</v>
      </c>
      <c r="O31" s="43">
        <v>1480</v>
      </c>
      <c r="P31" t="s">
        <v>404</v>
      </c>
      <c r="Q31" t="s">
        <v>404</v>
      </c>
      <c r="R31">
        <v>4136</v>
      </c>
      <c r="S31" s="30">
        <v>45719</v>
      </c>
      <c r="T31" t="s">
        <v>377</v>
      </c>
      <c r="U31" t="s">
        <v>378</v>
      </c>
      <c r="V31" t="s">
        <v>405</v>
      </c>
      <c r="W31" t="s">
        <v>404</v>
      </c>
      <c r="X31" t="s">
        <v>369</v>
      </c>
      <c r="Y31" s="1" t="s">
        <v>24</v>
      </c>
    </row>
    <row r="32" spans="1:25">
      <c r="A32">
        <v>101312</v>
      </c>
      <c r="B32" t="s">
        <v>372</v>
      </c>
      <c r="C32" s="30">
        <v>45716</v>
      </c>
      <c r="D32" s="30" t="str">
        <f t="shared" si="0"/>
        <v>February</v>
      </c>
      <c r="E32" t="s">
        <v>373</v>
      </c>
      <c r="F32" t="s">
        <v>374</v>
      </c>
      <c r="G32" t="s">
        <v>365</v>
      </c>
      <c r="H32" t="s">
        <v>406</v>
      </c>
      <c r="I32">
        <v>0</v>
      </c>
      <c r="J32" s="43">
        <v>0</v>
      </c>
      <c r="K32" s="43">
        <v>2145</v>
      </c>
      <c r="L32" s="43">
        <f t="shared" si="1"/>
        <v>-2145</v>
      </c>
      <c r="M32">
        <v>1062</v>
      </c>
      <c r="N32" s="43">
        <v>0</v>
      </c>
      <c r="O32" s="43">
        <v>2145</v>
      </c>
      <c r="P32" t="s">
        <v>407</v>
      </c>
      <c r="Q32" t="s">
        <v>407</v>
      </c>
      <c r="R32">
        <v>4136</v>
      </c>
      <c r="S32" s="30">
        <v>45719</v>
      </c>
      <c r="T32" t="s">
        <v>377</v>
      </c>
      <c r="U32" t="s">
        <v>378</v>
      </c>
      <c r="V32" t="s">
        <v>405</v>
      </c>
      <c r="W32" t="s">
        <v>407</v>
      </c>
      <c r="X32" t="s">
        <v>369</v>
      </c>
      <c r="Y32" s="1" t="s">
        <v>24</v>
      </c>
    </row>
    <row r="33" spans="1:25">
      <c r="A33">
        <v>101339</v>
      </c>
      <c r="B33" t="s">
        <v>362</v>
      </c>
      <c r="C33" s="30">
        <v>45716</v>
      </c>
      <c r="D33" s="30" t="str">
        <f t="shared" si="0"/>
        <v>February</v>
      </c>
      <c r="E33" t="s">
        <v>370</v>
      </c>
      <c r="F33" t="s">
        <v>371</v>
      </c>
      <c r="G33" t="s">
        <v>365</v>
      </c>
      <c r="H33" t="s">
        <v>401</v>
      </c>
      <c r="I33">
        <v>0</v>
      </c>
      <c r="J33" s="43">
        <v>0</v>
      </c>
      <c r="K33" s="43">
        <v>14983.38</v>
      </c>
      <c r="L33" s="43">
        <f t="shared" si="1"/>
        <v>-14983.38</v>
      </c>
      <c r="M33">
        <v>1062</v>
      </c>
      <c r="N33" s="43">
        <v>0</v>
      </c>
      <c r="O33" s="43">
        <v>18792.61</v>
      </c>
      <c r="S33" s="30">
        <v>45720</v>
      </c>
      <c r="U33" t="s">
        <v>367</v>
      </c>
      <c r="V33" t="s">
        <v>402</v>
      </c>
      <c r="X33" t="s">
        <v>369</v>
      </c>
      <c r="Y33" t="s">
        <v>12</v>
      </c>
    </row>
    <row r="34" spans="1:25">
      <c r="A34">
        <v>101316</v>
      </c>
      <c r="B34" t="s">
        <v>372</v>
      </c>
      <c r="C34" s="30">
        <v>45716</v>
      </c>
      <c r="D34" s="30" t="str">
        <f t="shared" si="0"/>
        <v>February</v>
      </c>
      <c r="E34" t="s">
        <v>373</v>
      </c>
      <c r="F34" t="s">
        <v>374</v>
      </c>
      <c r="G34" t="s">
        <v>365</v>
      </c>
      <c r="H34" t="s">
        <v>408</v>
      </c>
      <c r="I34">
        <v>0</v>
      </c>
      <c r="J34" s="43">
        <v>0</v>
      </c>
      <c r="K34" s="43">
        <v>7770</v>
      </c>
      <c r="L34" s="43">
        <f t="shared" si="1"/>
        <v>-7770</v>
      </c>
      <c r="M34">
        <v>1062</v>
      </c>
      <c r="N34" s="43">
        <v>0</v>
      </c>
      <c r="O34" s="43">
        <v>7770</v>
      </c>
      <c r="P34" t="s">
        <v>409</v>
      </c>
      <c r="Q34" t="s">
        <v>409</v>
      </c>
      <c r="R34">
        <v>892</v>
      </c>
      <c r="S34" s="30">
        <v>45719</v>
      </c>
      <c r="T34" t="s">
        <v>377</v>
      </c>
      <c r="U34" t="s">
        <v>378</v>
      </c>
      <c r="V34" t="s">
        <v>405</v>
      </c>
      <c r="W34" t="s">
        <v>409</v>
      </c>
      <c r="X34" t="s">
        <v>369</v>
      </c>
      <c r="Y34" t="s">
        <v>17</v>
      </c>
    </row>
    <row r="35" spans="1:25">
      <c r="A35">
        <v>101315</v>
      </c>
      <c r="B35" t="s">
        <v>372</v>
      </c>
      <c r="C35" s="30">
        <v>45716</v>
      </c>
      <c r="D35" s="30" t="str">
        <f t="shared" si="0"/>
        <v>February</v>
      </c>
      <c r="E35" t="s">
        <v>373</v>
      </c>
      <c r="F35" t="s">
        <v>374</v>
      </c>
      <c r="G35" t="s">
        <v>365</v>
      </c>
      <c r="H35" t="s">
        <v>410</v>
      </c>
      <c r="I35">
        <v>0</v>
      </c>
      <c r="J35" s="43">
        <v>0</v>
      </c>
      <c r="K35" s="43">
        <v>2220</v>
      </c>
      <c r="L35" s="43">
        <f t="shared" si="1"/>
        <v>-2220</v>
      </c>
      <c r="M35">
        <v>1062</v>
      </c>
      <c r="N35" s="43">
        <v>0</v>
      </c>
      <c r="O35" s="43">
        <v>2220</v>
      </c>
      <c r="P35" t="s">
        <v>411</v>
      </c>
      <c r="Q35" t="s">
        <v>411</v>
      </c>
      <c r="R35">
        <v>892</v>
      </c>
      <c r="S35" s="30">
        <v>45719</v>
      </c>
      <c r="T35" t="s">
        <v>377</v>
      </c>
      <c r="U35" t="s">
        <v>378</v>
      </c>
      <c r="V35" t="s">
        <v>405</v>
      </c>
      <c r="W35" t="s">
        <v>411</v>
      </c>
      <c r="X35" t="s">
        <v>369</v>
      </c>
      <c r="Y35" t="s">
        <v>17</v>
      </c>
    </row>
    <row r="36" spans="1:25">
      <c r="A36">
        <v>101339</v>
      </c>
      <c r="B36" t="s">
        <v>362</v>
      </c>
      <c r="C36" s="30">
        <v>45716</v>
      </c>
      <c r="D36" s="30" t="str">
        <f t="shared" si="0"/>
        <v>February</v>
      </c>
      <c r="E36" t="s">
        <v>370</v>
      </c>
      <c r="F36" t="s">
        <v>371</v>
      </c>
      <c r="G36" t="s">
        <v>365</v>
      </c>
      <c r="H36" t="s">
        <v>401</v>
      </c>
      <c r="I36">
        <v>0</v>
      </c>
      <c r="J36" s="43">
        <v>0</v>
      </c>
      <c r="K36" s="43">
        <v>1330.56</v>
      </c>
      <c r="L36" s="43">
        <f t="shared" si="1"/>
        <v>-1330.56</v>
      </c>
      <c r="M36">
        <v>1062</v>
      </c>
      <c r="N36" s="43">
        <v>0</v>
      </c>
      <c r="O36" s="43">
        <v>18792.61</v>
      </c>
      <c r="S36" s="30">
        <v>45720</v>
      </c>
      <c r="U36" t="s">
        <v>367</v>
      </c>
      <c r="V36" t="s">
        <v>402</v>
      </c>
      <c r="X36" t="s">
        <v>369</v>
      </c>
      <c r="Y36" s="1" t="s">
        <v>14</v>
      </c>
    </row>
    <row r="37" spans="1:25">
      <c r="A37">
        <v>101339</v>
      </c>
      <c r="B37" t="s">
        <v>362</v>
      </c>
      <c r="C37" s="30">
        <v>45716</v>
      </c>
      <c r="D37" s="30" t="str">
        <f t="shared" si="0"/>
        <v>February</v>
      </c>
      <c r="E37" t="s">
        <v>363</v>
      </c>
      <c r="F37" t="s">
        <v>364</v>
      </c>
      <c r="G37" t="s">
        <v>365</v>
      </c>
      <c r="H37" t="s">
        <v>401</v>
      </c>
      <c r="I37">
        <v>0</v>
      </c>
      <c r="J37" s="43">
        <v>0</v>
      </c>
      <c r="K37" s="43">
        <v>6741.02</v>
      </c>
      <c r="L37" s="43">
        <f t="shared" si="1"/>
        <v>-6741.02</v>
      </c>
      <c r="M37">
        <v>1062</v>
      </c>
      <c r="N37" s="43">
        <v>0</v>
      </c>
      <c r="O37" s="43">
        <v>9073.02</v>
      </c>
      <c r="S37" s="30">
        <v>45720</v>
      </c>
      <c r="U37" t="s">
        <v>367</v>
      </c>
      <c r="V37" t="s">
        <v>402</v>
      </c>
      <c r="X37" t="s">
        <v>369</v>
      </c>
      <c r="Y37" t="s">
        <v>13</v>
      </c>
    </row>
    <row r="38" spans="1:25">
      <c r="A38">
        <v>101339</v>
      </c>
      <c r="B38" t="s">
        <v>362</v>
      </c>
      <c r="C38" s="30">
        <v>45717</v>
      </c>
      <c r="D38" s="30" t="str">
        <f t="shared" si="0"/>
        <v>March</v>
      </c>
      <c r="E38" t="s">
        <v>370</v>
      </c>
      <c r="F38" t="s">
        <v>371</v>
      </c>
      <c r="G38" t="s">
        <v>365</v>
      </c>
      <c r="H38" t="s">
        <v>401</v>
      </c>
      <c r="I38">
        <v>0</v>
      </c>
      <c r="J38" s="43">
        <v>1763.67</v>
      </c>
      <c r="K38" s="43">
        <v>0</v>
      </c>
      <c r="L38" s="43">
        <f t="shared" si="1"/>
        <v>1763.67</v>
      </c>
      <c r="M38">
        <v>1062</v>
      </c>
      <c r="N38" s="43">
        <v>0</v>
      </c>
      <c r="O38" s="43">
        <v>18792.61</v>
      </c>
      <c r="S38" s="30">
        <v>45720</v>
      </c>
      <c r="U38" t="s">
        <v>367</v>
      </c>
      <c r="V38" t="s">
        <v>402</v>
      </c>
      <c r="X38" t="s">
        <v>369</v>
      </c>
      <c r="Y38" s="1" t="s">
        <v>29</v>
      </c>
    </row>
    <row r="39" spans="1:25">
      <c r="A39">
        <v>101339</v>
      </c>
      <c r="B39" t="s">
        <v>362</v>
      </c>
      <c r="C39" s="30">
        <v>45717</v>
      </c>
      <c r="D39" s="30" t="str">
        <f t="shared" si="0"/>
        <v>March</v>
      </c>
      <c r="E39" t="s">
        <v>363</v>
      </c>
      <c r="F39" t="s">
        <v>364</v>
      </c>
      <c r="G39" t="s">
        <v>365</v>
      </c>
      <c r="H39" t="s">
        <v>401</v>
      </c>
      <c r="I39">
        <v>0</v>
      </c>
      <c r="J39" s="43">
        <v>2332</v>
      </c>
      <c r="K39" s="43">
        <v>0</v>
      </c>
      <c r="L39" s="43">
        <f t="shared" si="1"/>
        <v>2332</v>
      </c>
      <c r="M39">
        <v>1062</v>
      </c>
      <c r="N39" s="43">
        <v>0</v>
      </c>
      <c r="O39" s="43">
        <v>9073.02</v>
      </c>
      <c r="S39" s="30">
        <v>45720</v>
      </c>
      <c r="U39" t="s">
        <v>367</v>
      </c>
      <c r="V39" t="s">
        <v>402</v>
      </c>
      <c r="X39" t="s">
        <v>369</v>
      </c>
      <c r="Y39" t="s">
        <v>40</v>
      </c>
    </row>
    <row r="40" spans="1:25">
      <c r="A40">
        <v>101339</v>
      </c>
      <c r="B40" t="s">
        <v>362</v>
      </c>
      <c r="C40" s="30">
        <v>45717</v>
      </c>
      <c r="D40" s="30" t="str">
        <f t="shared" si="0"/>
        <v>March</v>
      </c>
      <c r="E40" t="s">
        <v>370</v>
      </c>
      <c r="F40" t="s">
        <v>371</v>
      </c>
      <c r="G40" t="s">
        <v>365</v>
      </c>
      <c r="H40" t="s">
        <v>401</v>
      </c>
      <c r="I40">
        <v>0</v>
      </c>
      <c r="J40" s="43">
        <v>715</v>
      </c>
      <c r="K40" s="43">
        <v>0</v>
      </c>
      <c r="L40" s="43">
        <f t="shared" si="1"/>
        <v>715</v>
      </c>
      <c r="M40">
        <v>1062</v>
      </c>
      <c r="N40" s="43">
        <v>0</v>
      </c>
      <c r="O40" s="43">
        <v>18792.61</v>
      </c>
      <c r="S40" s="30">
        <v>45720</v>
      </c>
      <c r="U40" t="s">
        <v>367</v>
      </c>
      <c r="V40" t="s">
        <v>402</v>
      </c>
      <c r="X40" t="s">
        <v>369</v>
      </c>
      <c r="Y40" t="s">
        <v>19</v>
      </c>
    </row>
    <row r="41" spans="1:25">
      <c r="A41">
        <v>101339</v>
      </c>
      <c r="B41" t="s">
        <v>362</v>
      </c>
      <c r="C41" s="30">
        <v>45717</v>
      </c>
      <c r="D41" s="30" t="str">
        <f t="shared" si="0"/>
        <v>March</v>
      </c>
      <c r="E41" t="s">
        <v>370</v>
      </c>
      <c r="F41" t="s">
        <v>371</v>
      </c>
      <c r="G41" t="s">
        <v>365</v>
      </c>
      <c r="H41" t="s">
        <v>401</v>
      </c>
      <c r="I41">
        <v>0</v>
      </c>
      <c r="J41" s="43">
        <v>14983.38</v>
      </c>
      <c r="K41" s="43">
        <v>0</v>
      </c>
      <c r="L41" s="43">
        <f t="shared" si="1"/>
        <v>14983.38</v>
      </c>
      <c r="M41">
        <v>1062</v>
      </c>
      <c r="N41" s="43">
        <v>0</v>
      </c>
      <c r="O41" s="43">
        <v>18792.61</v>
      </c>
      <c r="S41" s="30">
        <v>45720</v>
      </c>
      <c r="U41" t="s">
        <v>367</v>
      </c>
      <c r="V41" t="s">
        <v>402</v>
      </c>
      <c r="X41" t="s">
        <v>369</v>
      </c>
      <c r="Y41" t="s">
        <v>12</v>
      </c>
    </row>
    <row r="42" spans="1:25">
      <c r="A42">
        <v>101339</v>
      </c>
      <c r="B42" t="s">
        <v>362</v>
      </c>
      <c r="C42" s="30">
        <v>45717</v>
      </c>
      <c r="D42" s="30" t="str">
        <f t="shared" si="0"/>
        <v>March</v>
      </c>
      <c r="E42" t="s">
        <v>370</v>
      </c>
      <c r="F42" t="s">
        <v>371</v>
      </c>
      <c r="G42" t="s">
        <v>365</v>
      </c>
      <c r="H42" t="s">
        <v>401</v>
      </c>
      <c r="I42">
        <v>0</v>
      </c>
      <c r="J42" s="43">
        <v>1330.56</v>
      </c>
      <c r="K42" s="43">
        <v>0</v>
      </c>
      <c r="L42" s="43">
        <f t="shared" si="1"/>
        <v>1330.56</v>
      </c>
      <c r="M42">
        <v>1062</v>
      </c>
      <c r="N42" s="43">
        <v>0</v>
      </c>
      <c r="O42" s="43">
        <v>18792.61</v>
      </c>
      <c r="S42" s="30">
        <v>45720</v>
      </c>
      <c r="U42" t="s">
        <v>367</v>
      </c>
      <c r="V42" t="s">
        <v>402</v>
      </c>
      <c r="X42" t="s">
        <v>369</v>
      </c>
      <c r="Y42" s="1" t="s">
        <v>14</v>
      </c>
    </row>
    <row r="43" spans="1:25">
      <c r="A43">
        <v>101339</v>
      </c>
      <c r="B43" t="s">
        <v>362</v>
      </c>
      <c r="C43" s="30">
        <v>45717</v>
      </c>
      <c r="D43" s="30" t="str">
        <f t="shared" si="0"/>
        <v>March</v>
      </c>
      <c r="E43" t="s">
        <v>363</v>
      </c>
      <c r="F43" t="s">
        <v>364</v>
      </c>
      <c r="G43" t="s">
        <v>365</v>
      </c>
      <c r="H43" t="s">
        <v>401</v>
      </c>
      <c r="I43">
        <v>0</v>
      </c>
      <c r="J43" s="43">
        <v>6741.02</v>
      </c>
      <c r="K43" s="43">
        <v>0</v>
      </c>
      <c r="L43" s="43">
        <f t="shared" si="1"/>
        <v>6741.02</v>
      </c>
      <c r="M43">
        <v>1062</v>
      </c>
      <c r="N43" s="43">
        <v>0</v>
      </c>
      <c r="O43" s="43">
        <v>9073.02</v>
      </c>
      <c r="S43" s="30">
        <v>45720</v>
      </c>
      <c r="U43" t="s">
        <v>367</v>
      </c>
      <c r="V43" t="s">
        <v>402</v>
      </c>
      <c r="X43" t="s">
        <v>369</v>
      </c>
      <c r="Y43" t="s">
        <v>13</v>
      </c>
    </row>
    <row r="44" spans="1:25">
      <c r="A44">
        <v>101546</v>
      </c>
      <c r="B44" t="s">
        <v>372</v>
      </c>
      <c r="C44" s="30">
        <v>45726</v>
      </c>
      <c r="D44" s="30" t="str">
        <f t="shared" si="0"/>
        <v>March</v>
      </c>
      <c r="E44" t="s">
        <v>373</v>
      </c>
      <c r="F44" t="s">
        <v>374</v>
      </c>
      <c r="G44" t="s">
        <v>365</v>
      </c>
      <c r="H44" t="s">
        <v>412</v>
      </c>
      <c r="I44">
        <v>0</v>
      </c>
      <c r="J44" s="43">
        <v>0</v>
      </c>
      <c r="K44" s="43">
        <v>18565.2</v>
      </c>
      <c r="L44" s="43">
        <f t="shared" si="1"/>
        <v>-18565.2</v>
      </c>
      <c r="M44">
        <v>1062</v>
      </c>
      <c r="N44" s="43">
        <v>0</v>
      </c>
      <c r="O44" s="43">
        <v>18565.2</v>
      </c>
      <c r="P44" t="s">
        <v>413</v>
      </c>
      <c r="Q44" t="s">
        <v>413</v>
      </c>
      <c r="R44">
        <v>4067</v>
      </c>
      <c r="S44" s="30">
        <v>45735</v>
      </c>
      <c r="T44" t="s">
        <v>377</v>
      </c>
      <c r="U44" t="s">
        <v>378</v>
      </c>
      <c r="V44" t="s">
        <v>414</v>
      </c>
      <c r="W44" t="s">
        <v>413</v>
      </c>
      <c r="X44" t="s">
        <v>369</v>
      </c>
      <c r="Y44" t="s">
        <v>12</v>
      </c>
    </row>
    <row r="45" spans="1:25">
      <c r="A45">
        <v>101545</v>
      </c>
      <c r="B45" t="s">
        <v>372</v>
      </c>
      <c r="C45" s="30">
        <v>45730</v>
      </c>
      <c r="D45" s="30" t="str">
        <f t="shared" si="0"/>
        <v>March</v>
      </c>
      <c r="E45" t="s">
        <v>373</v>
      </c>
      <c r="F45" t="s">
        <v>374</v>
      </c>
      <c r="G45" t="s">
        <v>365</v>
      </c>
      <c r="H45" t="s">
        <v>415</v>
      </c>
      <c r="I45">
        <v>0</v>
      </c>
      <c r="J45" s="43">
        <v>0</v>
      </c>
      <c r="K45" s="43">
        <v>715</v>
      </c>
      <c r="L45" s="43">
        <f t="shared" si="1"/>
        <v>-715</v>
      </c>
      <c r="M45">
        <v>1062</v>
      </c>
      <c r="N45" s="43">
        <v>0</v>
      </c>
      <c r="O45" s="43">
        <v>715</v>
      </c>
      <c r="P45" t="s">
        <v>416</v>
      </c>
      <c r="Q45" t="s">
        <v>416</v>
      </c>
      <c r="R45">
        <v>4117</v>
      </c>
      <c r="S45" s="30">
        <v>45735</v>
      </c>
      <c r="T45" t="s">
        <v>377</v>
      </c>
      <c r="U45" t="s">
        <v>378</v>
      </c>
      <c r="V45" t="s">
        <v>414</v>
      </c>
      <c r="W45" t="s">
        <v>416</v>
      </c>
      <c r="X45" t="s">
        <v>369</v>
      </c>
      <c r="Y45" t="s">
        <v>19</v>
      </c>
    </row>
    <row r="46" spans="1:25">
      <c r="A46">
        <v>101610</v>
      </c>
      <c r="B46" t="s">
        <v>372</v>
      </c>
      <c r="C46" s="30">
        <v>45741</v>
      </c>
      <c r="D46" s="30" t="str">
        <f t="shared" si="0"/>
        <v>March</v>
      </c>
      <c r="E46" t="s">
        <v>417</v>
      </c>
      <c r="F46" t="s">
        <v>418</v>
      </c>
      <c r="G46" t="s">
        <v>365</v>
      </c>
      <c r="H46" t="s">
        <v>419</v>
      </c>
      <c r="I46">
        <v>0</v>
      </c>
      <c r="J46" s="43">
        <v>0</v>
      </c>
      <c r="K46" s="43">
        <v>6849.7</v>
      </c>
      <c r="L46" s="43">
        <f t="shared" si="1"/>
        <v>-6849.7</v>
      </c>
      <c r="M46">
        <v>1062</v>
      </c>
      <c r="N46" s="43">
        <v>0</v>
      </c>
      <c r="O46" s="43">
        <v>6849.7</v>
      </c>
      <c r="P46" t="s">
        <v>420</v>
      </c>
      <c r="Q46" t="s">
        <v>420</v>
      </c>
      <c r="R46">
        <v>9017</v>
      </c>
      <c r="S46" s="30">
        <v>45747</v>
      </c>
      <c r="T46" t="s">
        <v>377</v>
      </c>
      <c r="U46" t="s">
        <v>378</v>
      </c>
      <c r="V46" t="s">
        <v>421</v>
      </c>
      <c r="W46" t="s">
        <v>420</v>
      </c>
      <c r="X46" t="s">
        <v>369</v>
      </c>
      <c r="Y46" s="1" t="s">
        <v>29</v>
      </c>
    </row>
    <row r="47" spans="1:25">
      <c r="A47">
        <v>101641</v>
      </c>
      <c r="B47" t="s">
        <v>372</v>
      </c>
      <c r="C47" s="30">
        <v>45747</v>
      </c>
      <c r="D47" s="30" t="str">
        <f t="shared" si="0"/>
        <v>March</v>
      </c>
      <c r="E47" t="s">
        <v>391</v>
      </c>
      <c r="F47" t="s">
        <v>392</v>
      </c>
      <c r="G47" t="s">
        <v>365</v>
      </c>
      <c r="H47" t="s">
        <v>422</v>
      </c>
      <c r="I47">
        <v>0</v>
      </c>
      <c r="J47" s="43">
        <v>0</v>
      </c>
      <c r="K47" s="43">
        <v>412.2</v>
      </c>
      <c r="L47" s="43">
        <f t="shared" si="1"/>
        <v>-412.2</v>
      </c>
      <c r="M47">
        <v>1062</v>
      </c>
      <c r="N47" s="43">
        <v>0</v>
      </c>
      <c r="O47" s="43">
        <v>412.2</v>
      </c>
      <c r="P47" t="s">
        <v>423</v>
      </c>
      <c r="Q47" t="s">
        <v>423</v>
      </c>
      <c r="R47">
        <v>9990</v>
      </c>
      <c r="S47" s="30">
        <v>45749</v>
      </c>
      <c r="T47" t="s">
        <v>377</v>
      </c>
      <c r="U47" t="s">
        <v>378</v>
      </c>
      <c r="V47" t="s">
        <v>424</v>
      </c>
      <c r="W47" t="s">
        <v>372</v>
      </c>
      <c r="X47" t="s">
        <v>369</v>
      </c>
      <c r="Y47" s="1" t="s">
        <v>22</v>
      </c>
    </row>
    <row r="48" spans="1:25">
      <c r="A48">
        <v>101643</v>
      </c>
      <c r="B48" t="s">
        <v>362</v>
      </c>
      <c r="C48" s="30">
        <v>45747</v>
      </c>
      <c r="D48" s="30" t="str">
        <f t="shared" si="0"/>
        <v>March</v>
      </c>
      <c r="E48" s="30" t="s">
        <v>363</v>
      </c>
      <c r="F48" s="30" t="s">
        <v>364</v>
      </c>
      <c r="G48" t="s">
        <v>365</v>
      </c>
      <c r="H48" t="s">
        <v>425</v>
      </c>
      <c r="I48">
        <v>0</v>
      </c>
      <c r="J48" s="43">
        <v>0</v>
      </c>
      <c r="K48" s="43">
        <v>2215.4</v>
      </c>
      <c r="L48" s="43">
        <f t="shared" si="1"/>
        <v>-2215.4</v>
      </c>
      <c r="M48" s="43">
        <v>1062</v>
      </c>
      <c r="N48" s="43">
        <v>0</v>
      </c>
      <c r="O48" s="43">
        <v>9632.7000000000007</v>
      </c>
      <c r="P48" s="43"/>
      <c r="Q48" s="43"/>
      <c r="R48" s="43"/>
      <c r="S48" s="30">
        <v>45749</v>
      </c>
      <c r="U48" s="30" t="s">
        <v>367</v>
      </c>
      <c r="V48" t="s">
        <v>426</v>
      </c>
      <c r="W48" s="30"/>
      <c r="X48" t="s">
        <v>369</v>
      </c>
      <c r="Y48" s="30" t="s">
        <v>40</v>
      </c>
    </row>
    <row r="49" spans="1:27">
      <c r="A49">
        <v>101643</v>
      </c>
      <c r="B49" t="s">
        <v>362</v>
      </c>
      <c r="C49" s="30">
        <v>45747</v>
      </c>
      <c r="D49" s="30" t="str">
        <f t="shared" si="0"/>
        <v>March</v>
      </c>
      <c r="E49" s="30" t="s">
        <v>370</v>
      </c>
      <c r="F49" s="30" t="s">
        <v>371</v>
      </c>
      <c r="G49" t="s">
        <v>365</v>
      </c>
      <c r="H49" t="s">
        <v>425</v>
      </c>
      <c r="I49">
        <v>0</v>
      </c>
      <c r="J49" s="43">
        <v>0</v>
      </c>
      <c r="K49" s="68">
        <v>5821.333333333333</v>
      </c>
      <c r="L49" s="43">
        <f t="shared" si="1"/>
        <v>-5821.333333333333</v>
      </c>
      <c r="M49" s="43">
        <v>1062</v>
      </c>
      <c r="N49" s="43">
        <v>0</v>
      </c>
      <c r="O49" s="43">
        <v>28216</v>
      </c>
      <c r="P49" s="43"/>
      <c r="Q49" s="43"/>
      <c r="R49" s="43"/>
      <c r="S49" s="30">
        <v>45749</v>
      </c>
      <c r="U49" s="30" t="s">
        <v>367</v>
      </c>
      <c r="V49" t="s">
        <v>426</v>
      </c>
      <c r="W49" s="30"/>
      <c r="X49" t="s">
        <v>369</v>
      </c>
      <c r="Y49" s="30" t="s">
        <v>19</v>
      </c>
    </row>
    <row r="50" spans="1:27">
      <c r="A50">
        <v>101643</v>
      </c>
      <c r="B50" t="s">
        <v>362</v>
      </c>
      <c r="C50" s="30">
        <v>45747</v>
      </c>
      <c r="D50" s="30" t="str">
        <f t="shared" si="0"/>
        <v>March</v>
      </c>
      <c r="E50" s="30" t="s">
        <v>370</v>
      </c>
      <c r="F50" s="30" t="s">
        <v>371</v>
      </c>
      <c r="G50" t="s">
        <v>365</v>
      </c>
      <c r="H50" t="s">
        <v>425</v>
      </c>
      <c r="I50">
        <v>0</v>
      </c>
      <c r="J50" s="43">
        <v>0</v>
      </c>
      <c r="K50" s="68">
        <v>729</v>
      </c>
      <c r="L50" s="43">
        <f t="shared" si="1"/>
        <v>-729</v>
      </c>
      <c r="M50" s="43">
        <v>1062</v>
      </c>
      <c r="N50" s="43">
        <v>0</v>
      </c>
      <c r="O50" s="43">
        <v>28216</v>
      </c>
      <c r="P50" s="43"/>
      <c r="Q50" s="43"/>
      <c r="R50" s="43"/>
      <c r="S50" s="30">
        <v>45749</v>
      </c>
      <c r="U50" s="30" t="s">
        <v>367</v>
      </c>
      <c r="V50" t="s">
        <v>426</v>
      </c>
      <c r="W50" s="30"/>
      <c r="X50" t="s">
        <v>369</v>
      </c>
      <c r="Y50" t="s">
        <v>12</v>
      </c>
    </row>
    <row r="51" spans="1:27">
      <c r="A51">
        <v>101643</v>
      </c>
      <c r="B51" t="s">
        <v>362</v>
      </c>
      <c r="C51" s="30">
        <v>45747</v>
      </c>
      <c r="D51" s="30" t="str">
        <f t="shared" si="0"/>
        <v>March</v>
      </c>
      <c r="E51" s="30" t="s">
        <v>370</v>
      </c>
      <c r="F51" s="30" t="s">
        <v>371</v>
      </c>
      <c r="G51" t="s">
        <v>365</v>
      </c>
      <c r="H51" t="s">
        <v>425</v>
      </c>
      <c r="I51">
        <v>0</v>
      </c>
      <c r="J51" s="43">
        <v>0</v>
      </c>
      <c r="K51" s="69">
        <v>2148.12</v>
      </c>
      <c r="L51" s="43">
        <f t="shared" si="1"/>
        <v>-2148.12</v>
      </c>
      <c r="M51" s="43">
        <v>1062</v>
      </c>
      <c r="N51" s="43">
        <v>0</v>
      </c>
      <c r="O51" s="43">
        <v>28216</v>
      </c>
      <c r="P51" s="43"/>
      <c r="Q51" s="43"/>
      <c r="R51" s="43"/>
      <c r="S51" s="30">
        <v>45749</v>
      </c>
      <c r="U51" s="30" t="s">
        <v>367</v>
      </c>
      <c r="V51" t="s">
        <v>426</v>
      </c>
      <c r="W51" s="30"/>
      <c r="X51" t="s">
        <v>369</v>
      </c>
      <c r="Y51" t="s">
        <v>12</v>
      </c>
    </row>
    <row r="52" spans="1:27">
      <c r="A52">
        <v>101643</v>
      </c>
      <c r="B52" t="s">
        <v>362</v>
      </c>
      <c r="C52" s="30">
        <v>45747</v>
      </c>
      <c r="D52" s="30" t="str">
        <f t="shared" si="0"/>
        <v>March</v>
      </c>
      <c r="E52" s="30" t="s">
        <v>370</v>
      </c>
      <c r="F52" s="30" t="s">
        <v>371</v>
      </c>
      <c r="G52" t="s">
        <v>365</v>
      </c>
      <c r="H52" t="s">
        <v>425</v>
      </c>
      <c r="I52">
        <v>0</v>
      </c>
      <c r="J52" s="43">
        <v>0</v>
      </c>
      <c r="K52" s="69">
        <v>5821.333333333333</v>
      </c>
      <c r="L52" s="43">
        <f t="shared" si="1"/>
        <v>-5821.333333333333</v>
      </c>
      <c r="M52" s="43">
        <v>1062</v>
      </c>
      <c r="N52" s="43">
        <v>0</v>
      </c>
      <c r="O52" s="43">
        <v>28216</v>
      </c>
      <c r="P52" s="43"/>
      <c r="Q52" s="43"/>
      <c r="R52" s="43"/>
      <c r="S52" s="30">
        <v>45749</v>
      </c>
      <c r="U52" s="30" t="s">
        <v>367</v>
      </c>
      <c r="V52" t="s">
        <v>426</v>
      </c>
      <c r="W52" s="30"/>
      <c r="X52" t="s">
        <v>369</v>
      </c>
      <c r="Y52" t="s">
        <v>17</v>
      </c>
    </row>
    <row r="53" spans="1:27">
      <c r="A53">
        <v>101643</v>
      </c>
      <c r="B53" t="s">
        <v>362</v>
      </c>
      <c r="C53" s="30">
        <v>45747</v>
      </c>
      <c r="D53" s="30" t="str">
        <f t="shared" si="0"/>
        <v>March</v>
      </c>
      <c r="E53" s="30" t="s">
        <v>370</v>
      </c>
      <c r="F53" s="30" t="s">
        <v>371</v>
      </c>
      <c r="G53" t="s">
        <v>365</v>
      </c>
      <c r="H53" t="s">
        <v>425</v>
      </c>
      <c r="I53">
        <v>0</v>
      </c>
      <c r="J53" s="43">
        <v>0</v>
      </c>
      <c r="K53" s="69">
        <v>5016.213333333334</v>
      </c>
      <c r="L53" s="43">
        <f t="shared" si="1"/>
        <v>-5016.213333333334</v>
      </c>
      <c r="M53" s="43">
        <v>1062</v>
      </c>
      <c r="N53" s="43">
        <v>0</v>
      </c>
      <c r="O53" s="43">
        <v>28216</v>
      </c>
      <c r="P53" s="43"/>
      <c r="Q53" s="43"/>
      <c r="R53" s="43"/>
      <c r="S53" s="30">
        <v>45749</v>
      </c>
      <c r="U53" s="30" t="s">
        <v>367</v>
      </c>
      <c r="V53" t="s">
        <v>426</v>
      </c>
      <c r="W53" s="30"/>
      <c r="X53" t="s">
        <v>369</v>
      </c>
      <c r="Y53" t="s">
        <v>17</v>
      </c>
    </row>
    <row r="54" spans="1:27">
      <c r="A54">
        <v>101643</v>
      </c>
      <c r="B54" t="s">
        <v>362</v>
      </c>
      <c r="C54" s="30">
        <v>45747</v>
      </c>
      <c r="D54" s="30" t="str">
        <f t="shared" si="0"/>
        <v>March</v>
      </c>
      <c r="E54" s="30" t="s">
        <v>370</v>
      </c>
      <c r="F54" s="30" t="s">
        <v>371</v>
      </c>
      <c r="G54" t="s">
        <v>365</v>
      </c>
      <c r="H54" t="s">
        <v>425</v>
      </c>
      <c r="I54">
        <v>0</v>
      </c>
      <c r="J54" s="43">
        <v>0</v>
      </c>
      <c r="K54" s="69">
        <v>2762.6666666666665</v>
      </c>
      <c r="L54" s="43">
        <f t="shared" si="1"/>
        <v>-2762.6666666666665</v>
      </c>
      <c r="M54" s="43">
        <v>1062</v>
      </c>
      <c r="N54" s="43">
        <v>0</v>
      </c>
      <c r="O54" s="43">
        <v>28216</v>
      </c>
      <c r="P54" s="43"/>
      <c r="Q54" s="43"/>
      <c r="R54" s="43"/>
      <c r="S54" s="30">
        <v>45749</v>
      </c>
      <c r="U54" s="30" t="s">
        <v>367</v>
      </c>
      <c r="V54" t="s">
        <v>426</v>
      </c>
      <c r="W54" s="30"/>
      <c r="X54" t="s">
        <v>369</v>
      </c>
      <c r="Y54" t="s">
        <v>17</v>
      </c>
    </row>
    <row r="55" spans="1:27">
      <c r="A55">
        <v>101643</v>
      </c>
      <c r="B55" t="s">
        <v>362</v>
      </c>
      <c r="C55" s="30">
        <v>45747</v>
      </c>
      <c r="D55" s="30" t="str">
        <f t="shared" si="0"/>
        <v>March</v>
      </c>
      <c r="E55" s="30" t="s">
        <v>370</v>
      </c>
      <c r="F55" s="30" t="s">
        <v>371</v>
      </c>
      <c r="G55" t="s">
        <v>365</v>
      </c>
      <c r="H55" t="s">
        <v>425</v>
      </c>
      <c r="I55">
        <v>0</v>
      </c>
      <c r="J55" s="43">
        <v>0</v>
      </c>
      <c r="K55" s="69">
        <v>1381.3333333333333</v>
      </c>
      <c r="L55" s="43">
        <f t="shared" si="1"/>
        <v>-1381.3333333333333</v>
      </c>
      <c r="M55" s="43">
        <v>1062</v>
      </c>
      <c r="N55" s="43">
        <v>0</v>
      </c>
      <c r="O55" s="43">
        <v>28216</v>
      </c>
      <c r="P55" s="43"/>
      <c r="Q55" s="43"/>
      <c r="R55" s="43"/>
      <c r="S55" s="30">
        <v>45749</v>
      </c>
      <c r="U55" s="30" t="s">
        <v>367</v>
      </c>
      <c r="V55" t="s">
        <v>426</v>
      </c>
      <c r="W55" s="30"/>
      <c r="X55" t="s">
        <v>369</v>
      </c>
      <c r="Y55" t="s">
        <v>17</v>
      </c>
    </row>
    <row r="56" spans="1:27">
      <c r="A56">
        <v>101642</v>
      </c>
      <c r="B56" t="s">
        <v>372</v>
      </c>
      <c r="C56" s="30">
        <v>45747</v>
      </c>
      <c r="D56" s="30" t="str">
        <f t="shared" si="0"/>
        <v>March</v>
      </c>
      <c r="E56" t="s">
        <v>373</v>
      </c>
      <c r="F56" t="s">
        <v>374</v>
      </c>
      <c r="G56" t="s">
        <v>365</v>
      </c>
      <c r="H56" t="s">
        <v>427</v>
      </c>
      <c r="I56">
        <v>0</v>
      </c>
      <c r="J56" s="43">
        <v>0</v>
      </c>
      <c r="K56" s="43">
        <v>2835</v>
      </c>
      <c r="L56" s="43">
        <f t="shared" si="1"/>
        <v>-2835</v>
      </c>
      <c r="M56">
        <v>1062</v>
      </c>
      <c r="N56" s="43">
        <v>0</v>
      </c>
      <c r="O56" s="43">
        <v>2835</v>
      </c>
      <c r="P56" t="s">
        <v>428</v>
      </c>
      <c r="Q56" t="s">
        <v>428</v>
      </c>
      <c r="R56">
        <v>4135</v>
      </c>
      <c r="S56" s="30">
        <v>45749</v>
      </c>
      <c r="T56" t="s">
        <v>377</v>
      </c>
      <c r="U56" t="s">
        <v>378</v>
      </c>
      <c r="V56" t="s">
        <v>424</v>
      </c>
      <c r="W56" t="s">
        <v>372</v>
      </c>
      <c r="X56" t="s">
        <v>369</v>
      </c>
      <c r="Y56" s="1" t="s">
        <v>14</v>
      </c>
    </row>
    <row r="57" spans="1:27">
      <c r="A57">
        <v>101643</v>
      </c>
      <c r="B57" t="s">
        <v>362</v>
      </c>
      <c r="C57" s="30">
        <v>45747</v>
      </c>
      <c r="D57" s="30" t="str">
        <f t="shared" si="0"/>
        <v>March</v>
      </c>
      <c r="E57" s="30" t="s">
        <v>370</v>
      </c>
      <c r="F57" s="30" t="s">
        <v>371</v>
      </c>
      <c r="G57" t="s">
        <v>365</v>
      </c>
      <c r="H57" t="s">
        <v>425</v>
      </c>
      <c r="I57">
        <v>0</v>
      </c>
      <c r="J57" s="43">
        <v>0</v>
      </c>
      <c r="K57" s="69">
        <v>4536</v>
      </c>
      <c r="L57" s="43">
        <f t="shared" si="1"/>
        <v>-4536</v>
      </c>
      <c r="M57" s="43">
        <v>1062</v>
      </c>
      <c r="N57" s="43">
        <v>0</v>
      </c>
      <c r="O57" s="43">
        <v>28216</v>
      </c>
      <c r="P57" s="43"/>
      <c r="Q57" s="43"/>
      <c r="R57" s="43"/>
      <c r="S57" s="30">
        <v>45749</v>
      </c>
      <c r="U57" s="30" t="s">
        <v>367</v>
      </c>
      <c r="V57" t="s">
        <v>426</v>
      </c>
      <c r="W57" s="30"/>
      <c r="X57" t="s">
        <v>369</v>
      </c>
      <c r="Y57" s="1" t="s">
        <v>14</v>
      </c>
    </row>
    <row r="58" spans="1:27">
      <c r="A58">
        <v>101657</v>
      </c>
      <c r="B58" t="s">
        <v>362</v>
      </c>
      <c r="C58" s="30">
        <v>45747</v>
      </c>
      <c r="D58" s="30" t="str">
        <f t="shared" si="0"/>
        <v>March</v>
      </c>
      <c r="E58" s="30" t="s">
        <v>370</v>
      </c>
      <c r="F58" s="30" t="s">
        <v>371</v>
      </c>
      <c r="G58" s="30" t="s">
        <v>365</v>
      </c>
      <c r="H58" t="s">
        <v>429</v>
      </c>
      <c r="I58">
        <v>0</v>
      </c>
      <c r="J58" s="43">
        <v>2145</v>
      </c>
      <c r="K58" s="43">
        <v>0</v>
      </c>
      <c r="L58" s="43">
        <f t="shared" si="1"/>
        <v>2145</v>
      </c>
      <c r="M58" s="69">
        <v>1062</v>
      </c>
      <c r="N58" s="43">
        <v>2145</v>
      </c>
      <c r="O58" s="43">
        <v>0</v>
      </c>
      <c r="P58" s="43"/>
      <c r="Q58" s="43"/>
      <c r="R58" s="43"/>
      <c r="S58" s="30">
        <v>45750</v>
      </c>
      <c r="T58" s="43"/>
      <c r="U58" s="30" t="s">
        <v>367</v>
      </c>
      <c r="V58" t="s">
        <v>430</v>
      </c>
      <c r="W58" s="30"/>
      <c r="X58" t="s">
        <v>382</v>
      </c>
      <c r="Y58" t="s">
        <v>47</v>
      </c>
    </row>
    <row r="59" spans="1:27">
      <c r="A59">
        <v>101643</v>
      </c>
      <c r="B59" t="s">
        <v>362</v>
      </c>
      <c r="C59" s="30">
        <v>45747</v>
      </c>
      <c r="D59" s="30" t="str">
        <f t="shared" si="0"/>
        <v>March</v>
      </c>
      <c r="E59" s="30" t="s">
        <v>363</v>
      </c>
      <c r="F59" s="30" t="s">
        <v>364</v>
      </c>
      <c r="G59" t="s">
        <v>365</v>
      </c>
      <c r="H59" t="s">
        <v>425</v>
      </c>
      <c r="I59">
        <v>0</v>
      </c>
      <c r="J59" s="43">
        <v>0</v>
      </c>
      <c r="K59" s="43">
        <v>6741.02</v>
      </c>
      <c r="L59" s="43">
        <f t="shared" si="1"/>
        <v>-6741.02</v>
      </c>
      <c r="M59" s="43">
        <v>1062</v>
      </c>
      <c r="N59" s="43">
        <v>0</v>
      </c>
      <c r="O59" s="43">
        <v>9632.7000000000007</v>
      </c>
      <c r="P59" s="43"/>
      <c r="Q59" s="43"/>
      <c r="R59" s="43"/>
      <c r="S59" s="30">
        <v>45749</v>
      </c>
      <c r="U59" s="30" t="s">
        <v>367</v>
      </c>
      <c r="V59" t="s">
        <v>426</v>
      </c>
      <c r="W59" s="30"/>
      <c r="X59" t="s">
        <v>369</v>
      </c>
      <c r="Y59" s="30" t="s">
        <v>13</v>
      </c>
      <c r="AA59" s="30"/>
    </row>
    <row r="60" spans="1:27">
      <c r="A60">
        <v>101643</v>
      </c>
      <c r="B60" t="s">
        <v>362</v>
      </c>
      <c r="C60" s="30">
        <v>45748</v>
      </c>
      <c r="D60" s="30" t="str">
        <f t="shared" si="0"/>
        <v>April</v>
      </c>
      <c r="E60" s="30" t="s">
        <v>363</v>
      </c>
      <c r="F60" s="30" t="s">
        <v>364</v>
      </c>
      <c r="G60" t="s">
        <v>365</v>
      </c>
      <c r="H60" t="s">
        <v>425</v>
      </c>
      <c r="I60">
        <v>0</v>
      </c>
      <c r="J60" s="43">
        <v>2215.4</v>
      </c>
      <c r="K60" s="43">
        <v>0</v>
      </c>
      <c r="L60" s="43">
        <f t="shared" si="1"/>
        <v>2215.4</v>
      </c>
      <c r="M60" s="43">
        <v>1062</v>
      </c>
      <c r="N60" s="43">
        <v>0</v>
      </c>
      <c r="O60" s="43">
        <v>9632.7000000000007</v>
      </c>
      <c r="P60" s="43"/>
      <c r="Q60" s="43"/>
      <c r="R60" s="43"/>
      <c r="S60" s="30">
        <v>45749</v>
      </c>
      <c r="U60" s="30" t="s">
        <v>367</v>
      </c>
      <c r="V60" t="s">
        <v>426</v>
      </c>
      <c r="W60" s="30"/>
      <c r="X60" t="s">
        <v>369</v>
      </c>
      <c r="Y60" s="30" t="s">
        <v>40</v>
      </c>
    </row>
    <row r="61" spans="1:27">
      <c r="A61">
        <v>101643</v>
      </c>
      <c r="B61" t="s">
        <v>362</v>
      </c>
      <c r="C61" s="30">
        <v>45748</v>
      </c>
      <c r="D61" s="30" t="str">
        <f t="shared" si="0"/>
        <v>April</v>
      </c>
      <c r="E61" s="30" t="s">
        <v>370</v>
      </c>
      <c r="F61" s="30" t="s">
        <v>371</v>
      </c>
      <c r="G61" t="s">
        <v>365</v>
      </c>
      <c r="H61" t="s">
        <v>425</v>
      </c>
      <c r="I61">
        <v>0</v>
      </c>
      <c r="J61" s="43">
        <v>5821.333333333333</v>
      </c>
      <c r="K61" s="43">
        <v>0</v>
      </c>
      <c r="L61" s="43">
        <f t="shared" si="1"/>
        <v>5821.333333333333</v>
      </c>
      <c r="M61" s="43">
        <v>1062</v>
      </c>
      <c r="N61" s="43">
        <v>0</v>
      </c>
      <c r="O61" s="43">
        <v>28216</v>
      </c>
      <c r="P61" s="43"/>
      <c r="Q61" s="43"/>
      <c r="R61" s="43"/>
      <c r="S61" s="30">
        <v>45749</v>
      </c>
      <c r="U61" s="30" t="s">
        <v>367</v>
      </c>
      <c r="V61" t="s">
        <v>426</v>
      </c>
      <c r="W61" s="30"/>
      <c r="X61" t="s">
        <v>369</v>
      </c>
      <c r="Y61" s="30" t="s">
        <v>19</v>
      </c>
    </row>
    <row r="62" spans="1:27">
      <c r="A62">
        <v>101643</v>
      </c>
      <c r="B62" t="s">
        <v>362</v>
      </c>
      <c r="C62" s="30">
        <v>45748</v>
      </c>
      <c r="D62" s="30" t="str">
        <f t="shared" si="0"/>
        <v>April</v>
      </c>
      <c r="E62" s="30" t="s">
        <v>370</v>
      </c>
      <c r="F62" s="30" t="s">
        <v>371</v>
      </c>
      <c r="G62" t="s">
        <v>365</v>
      </c>
      <c r="H62" t="s">
        <v>425</v>
      </c>
      <c r="I62">
        <v>0</v>
      </c>
      <c r="J62" s="43">
        <v>729</v>
      </c>
      <c r="K62" s="43">
        <v>0</v>
      </c>
      <c r="L62" s="43">
        <f t="shared" si="1"/>
        <v>729</v>
      </c>
      <c r="M62" s="43">
        <v>1062</v>
      </c>
      <c r="N62" s="43">
        <v>0</v>
      </c>
      <c r="O62" s="43">
        <v>28216</v>
      </c>
      <c r="P62" s="43"/>
      <c r="Q62" s="43"/>
      <c r="R62" s="43"/>
      <c r="S62" s="30">
        <v>45749</v>
      </c>
      <c r="U62" s="30" t="s">
        <v>367</v>
      </c>
      <c r="V62" t="s">
        <v>426</v>
      </c>
      <c r="W62" s="30"/>
      <c r="X62" t="s">
        <v>369</v>
      </c>
      <c r="Y62" t="s">
        <v>12</v>
      </c>
    </row>
    <row r="63" spans="1:27">
      <c r="A63">
        <v>101643</v>
      </c>
      <c r="B63" t="s">
        <v>362</v>
      </c>
      <c r="C63" s="30">
        <v>45748</v>
      </c>
      <c r="D63" s="30" t="str">
        <f t="shared" si="0"/>
        <v>April</v>
      </c>
      <c r="E63" s="30" t="s">
        <v>370</v>
      </c>
      <c r="F63" s="30" t="s">
        <v>371</v>
      </c>
      <c r="G63" t="s">
        <v>365</v>
      </c>
      <c r="H63" t="s">
        <v>425</v>
      </c>
      <c r="I63">
        <v>0</v>
      </c>
      <c r="J63" s="43">
        <v>2148.12</v>
      </c>
      <c r="K63" s="43">
        <v>0</v>
      </c>
      <c r="L63" s="43">
        <f t="shared" si="1"/>
        <v>2148.12</v>
      </c>
      <c r="M63" s="43">
        <v>1062</v>
      </c>
      <c r="N63" s="43">
        <v>0</v>
      </c>
      <c r="O63" s="43">
        <v>28216</v>
      </c>
      <c r="P63" s="43"/>
      <c r="Q63" s="43"/>
      <c r="R63" s="43"/>
      <c r="S63" s="30">
        <v>45749</v>
      </c>
      <c r="U63" s="30" t="s">
        <v>367</v>
      </c>
      <c r="V63" t="s">
        <v>426</v>
      </c>
      <c r="W63" s="30"/>
      <c r="X63" t="s">
        <v>369</v>
      </c>
      <c r="Y63" t="s">
        <v>12</v>
      </c>
    </row>
    <row r="64" spans="1:27">
      <c r="A64">
        <v>101643</v>
      </c>
      <c r="B64" t="s">
        <v>362</v>
      </c>
      <c r="C64" s="30">
        <v>45748</v>
      </c>
      <c r="D64" s="30" t="str">
        <f t="shared" si="0"/>
        <v>April</v>
      </c>
      <c r="E64" s="30" t="s">
        <v>370</v>
      </c>
      <c r="F64" s="30" t="s">
        <v>371</v>
      </c>
      <c r="G64" t="s">
        <v>365</v>
      </c>
      <c r="H64" t="s">
        <v>425</v>
      </c>
      <c r="I64">
        <v>0</v>
      </c>
      <c r="J64" s="43">
        <v>5821.333333333333</v>
      </c>
      <c r="K64" s="43">
        <v>0</v>
      </c>
      <c r="L64" s="43">
        <f t="shared" si="1"/>
        <v>5821.333333333333</v>
      </c>
      <c r="M64" s="43">
        <v>1062</v>
      </c>
      <c r="N64" s="43">
        <v>0</v>
      </c>
      <c r="O64" s="43">
        <v>28216</v>
      </c>
      <c r="P64" s="43"/>
      <c r="Q64" s="43"/>
      <c r="R64" s="43"/>
      <c r="S64" s="30">
        <v>45749</v>
      </c>
      <c r="U64" s="30" t="s">
        <v>367</v>
      </c>
      <c r="V64" t="s">
        <v>426</v>
      </c>
      <c r="W64" s="30"/>
      <c r="X64" t="s">
        <v>369</v>
      </c>
      <c r="Y64" t="s">
        <v>17</v>
      </c>
    </row>
    <row r="65" spans="1:25">
      <c r="A65">
        <v>101643</v>
      </c>
      <c r="B65" t="s">
        <v>362</v>
      </c>
      <c r="C65" s="30">
        <v>45748</v>
      </c>
      <c r="D65" s="30" t="str">
        <f t="shared" si="0"/>
        <v>April</v>
      </c>
      <c r="E65" s="30" t="s">
        <v>370</v>
      </c>
      <c r="F65" s="30" t="s">
        <v>371</v>
      </c>
      <c r="G65" t="s">
        <v>365</v>
      </c>
      <c r="H65" t="s">
        <v>425</v>
      </c>
      <c r="I65">
        <v>0</v>
      </c>
      <c r="J65" s="43">
        <v>5016.213333333334</v>
      </c>
      <c r="K65" s="43">
        <v>0</v>
      </c>
      <c r="L65" s="43">
        <f t="shared" si="1"/>
        <v>5016.213333333334</v>
      </c>
      <c r="M65" s="43">
        <v>1062</v>
      </c>
      <c r="N65" s="43">
        <v>0</v>
      </c>
      <c r="O65" s="43">
        <v>28216</v>
      </c>
      <c r="P65" s="43"/>
      <c r="Q65" s="43"/>
      <c r="R65" s="43"/>
      <c r="S65" s="30">
        <v>45749</v>
      </c>
      <c r="U65" s="30" t="s">
        <v>367</v>
      </c>
      <c r="V65" t="s">
        <v>426</v>
      </c>
      <c r="W65" s="30"/>
      <c r="X65" t="s">
        <v>369</v>
      </c>
      <c r="Y65" t="s">
        <v>17</v>
      </c>
    </row>
    <row r="66" spans="1:25">
      <c r="A66">
        <v>101643</v>
      </c>
      <c r="B66" t="s">
        <v>362</v>
      </c>
      <c r="C66" s="30">
        <v>45748</v>
      </c>
      <c r="D66" s="30" t="str">
        <f t="shared" ref="D66:D129" si="2">TEXT(C66,"MMMM")</f>
        <v>April</v>
      </c>
      <c r="E66" s="30" t="s">
        <v>370</v>
      </c>
      <c r="F66" s="30" t="s">
        <v>371</v>
      </c>
      <c r="G66" t="s">
        <v>365</v>
      </c>
      <c r="H66" t="s">
        <v>425</v>
      </c>
      <c r="I66">
        <v>0</v>
      </c>
      <c r="J66" s="43">
        <v>2762.6666666666665</v>
      </c>
      <c r="K66" s="43">
        <v>0</v>
      </c>
      <c r="L66" s="43">
        <f t="shared" ref="L66:L129" si="3">J66-K66</f>
        <v>2762.6666666666665</v>
      </c>
      <c r="M66" s="43">
        <v>1062</v>
      </c>
      <c r="N66" s="43">
        <v>0</v>
      </c>
      <c r="O66" s="43">
        <v>28216</v>
      </c>
      <c r="P66" s="43"/>
      <c r="Q66" s="43"/>
      <c r="R66" s="43"/>
      <c r="S66" s="30">
        <v>45749</v>
      </c>
      <c r="U66" s="30" t="s">
        <v>367</v>
      </c>
      <c r="V66" t="s">
        <v>426</v>
      </c>
      <c r="W66" s="30"/>
      <c r="X66" t="s">
        <v>369</v>
      </c>
      <c r="Y66" t="s">
        <v>17</v>
      </c>
    </row>
    <row r="67" spans="1:25">
      <c r="A67">
        <v>101643</v>
      </c>
      <c r="B67" t="s">
        <v>362</v>
      </c>
      <c r="C67" s="30">
        <v>45748</v>
      </c>
      <c r="D67" s="30" t="str">
        <f t="shared" si="2"/>
        <v>April</v>
      </c>
      <c r="E67" s="30" t="s">
        <v>370</v>
      </c>
      <c r="F67" s="30" t="s">
        <v>371</v>
      </c>
      <c r="G67" t="s">
        <v>365</v>
      </c>
      <c r="H67" t="s">
        <v>425</v>
      </c>
      <c r="I67">
        <v>0</v>
      </c>
      <c r="J67" s="43">
        <v>1381.3333333333333</v>
      </c>
      <c r="K67" s="43">
        <v>0</v>
      </c>
      <c r="L67" s="43">
        <f t="shared" si="3"/>
        <v>1381.3333333333333</v>
      </c>
      <c r="M67" s="43">
        <v>1062</v>
      </c>
      <c r="N67" s="43">
        <v>0</v>
      </c>
      <c r="O67" s="43">
        <v>28216</v>
      </c>
      <c r="P67" s="43"/>
      <c r="Q67" s="43"/>
      <c r="R67" s="43"/>
      <c r="S67" s="30">
        <v>45749</v>
      </c>
      <c r="U67" s="30" t="s">
        <v>367</v>
      </c>
      <c r="V67" t="s">
        <v>426</v>
      </c>
      <c r="W67" s="30"/>
      <c r="X67" t="s">
        <v>369</v>
      </c>
      <c r="Y67" t="s">
        <v>17</v>
      </c>
    </row>
    <row r="68" spans="1:25">
      <c r="A68">
        <v>101643</v>
      </c>
      <c r="B68" t="s">
        <v>362</v>
      </c>
      <c r="C68" s="30">
        <v>45748</v>
      </c>
      <c r="D68" s="30" t="str">
        <f t="shared" si="2"/>
        <v>April</v>
      </c>
      <c r="E68" s="30" t="s">
        <v>370</v>
      </c>
      <c r="F68" s="30" t="s">
        <v>371</v>
      </c>
      <c r="G68" t="s">
        <v>365</v>
      </c>
      <c r="H68" t="s">
        <v>425</v>
      </c>
      <c r="I68">
        <v>0</v>
      </c>
      <c r="J68" s="43">
        <v>4536</v>
      </c>
      <c r="K68" s="43">
        <v>0</v>
      </c>
      <c r="L68" s="43">
        <f t="shared" si="3"/>
        <v>4536</v>
      </c>
      <c r="M68" s="43">
        <v>1062</v>
      </c>
      <c r="N68" s="43">
        <v>0</v>
      </c>
      <c r="O68" s="43">
        <v>28216</v>
      </c>
      <c r="P68" s="43"/>
      <c r="Q68" s="43"/>
      <c r="R68" s="43"/>
      <c r="S68" s="30">
        <v>45749</v>
      </c>
      <c r="U68" s="30" t="s">
        <v>367</v>
      </c>
      <c r="V68" t="s">
        <v>426</v>
      </c>
      <c r="W68" s="30"/>
      <c r="X68" t="s">
        <v>369</v>
      </c>
      <c r="Y68" s="1" t="s">
        <v>14</v>
      </c>
    </row>
    <row r="69" spans="1:25">
      <c r="A69">
        <v>101643</v>
      </c>
      <c r="B69" t="s">
        <v>362</v>
      </c>
      <c r="C69" s="30">
        <v>45748</v>
      </c>
      <c r="D69" s="30" t="str">
        <f t="shared" si="2"/>
        <v>April</v>
      </c>
      <c r="E69" s="30" t="s">
        <v>363</v>
      </c>
      <c r="F69" s="30" t="s">
        <v>364</v>
      </c>
      <c r="G69" t="s">
        <v>365</v>
      </c>
      <c r="H69" t="s">
        <v>425</v>
      </c>
      <c r="I69">
        <v>0</v>
      </c>
      <c r="J69" s="43">
        <v>6741.02</v>
      </c>
      <c r="K69" s="43">
        <v>0</v>
      </c>
      <c r="L69" s="43">
        <f t="shared" si="3"/>
        <v>6741.02</v>
      </c>
      <c r="M69" s="43">
        <v>1062</v>
      </c>
      <c r="N69" s="43">
        <v>0</v>
      </c>
      <c r="O69" s="43">
        <v>9632.7000000000007</v>
      </c>
      <c r="P69" s="43"/>
      <c r="Q69" s="43"/>
      <c r="R69" s="43"/>
      <c r="S69" s="30">
        <v>45749</v>
      </c>
      <c r="U69" s="30" t="s">
        <v>367</v>
      </c>
      <c r="V69" t="s">
        <v>426</v>
      </c>
      <c r="W69" s="30"/>
      <c r="X69" t="s">
        <v>369</v>
      </c>
      <c r="Y69" s="30" t="s">
        <v>13</v>
      </c>
    </row>
    <row r="70" spans="1:25">
      <c r="A70">
        <v>101883</v>
      </c>
      <c r="B70" t="s">
        <v>372</v>
      </c>
      <c r="C70" s="30">
        <v>45762</v>
      </c>
      <c r="D70" s="30" t="str">
        <f t="shared" si="2"/>
        <v>April</v>
      </c>
      <c r="E70" s="30" t="s">
        <v>391</v>
      </c>
      <c r="F70" s="30" t="s">
        <v>392</v>
      </c>
      <c r="G70" s="30" t="s">
        <v>365</v>
      </c>
      <c r="H70" t="s">
        <v>431</v>
      </c>
      <c r="I70">
        <v>0</v>
      </c>
      <c r="J70" s="43">
        <v>0</v>
      </c>
      <c r="K70" s="43">
        <v>1073.3</v>
      </c>
      <c r="L70" s="43">
        <f t="shared" si="3"/>
        <v>-1073.3</v>
      </c>
      <c r="M70" s="68">
        <v>1062</v>
      </c>
      <c r="N70" s="43">
        <v>0</v>
      </c>
      <c r="O70" s="43">
        <v>1073.3</v>
      </c>
      <c r="P70" s="43" t="s">
        <v>432</v>
      </c>
      <c r="Q70" s="43" t="s">
        <v>432</v>
      </c>
      <c r="R70" s="43">
        <v>9990</v>
      </c>
      <c r="S70" s="30">
        <v>45777</v>
      </c>
      <c r="T70" s="43" t="s">
        <v>377</v>
      </c>
      <c r="U70" s="30" t="s">
        <v>378</v>
      </c>
      <c r="V70" t="s">
        <v>433</v>
      </c>
      <c r="W70" s="30" t="s">
        <v>372</v>
      </c>
      <c r="X70" t="s">
        <v>369</v>
      </c>
      <c r="Y70" s="1" t="s">
        <v>22</v>
      </c>
    </row>
    <row r="71" spans="1:25">
      <c r="A71">
        <v>101904</v>
      </c>
      <c r="B71" t="s">
        <v>362</v>
      </c>
      <c r="C71" s="30">
        <v>45777</v>
      </c>
      <c r="D71" s="30" t="str">
        <f t="shared" si="2"/>
        <v>April</v>
      </c>
      <c r="E71" s="30" t="s">
        <v>370</v>
      </c>
      <c r="F71" s="30" t="s">
        <v>371</v>
      </c>
      <c r="G71" t="s">
        <v>365</v>
      </c>
      <c r="H71" t="s">
        <v>434</v>
      </c>
      <c r="I71">
        <v>0</v>
      </c>
      <c r="J71" s="43">
        <v>0</v>
      </c>
      <c r="K71" s="43">
        <v>2543.4899999999998</v>
      </c>
      <c r="L71" s="43">
        <f t="shared" si="3"/>
        <v>-2543.4899999999998</v>
      </c>
      <c r="M71" s="43">
        <v>1062</v>
      </c>
      <c r="N71" s="43">
        <v>0</v>
      </c>
      <c r="O71" s="43">
        <v>26014.02</v>
      </c>
      <c r="P71" s="43"/>
      <c r="R71" s="43"/>
      <c r="S71" s="30">
        <v>45779</v>
      </c>
      <c r="U71" t="s">
        <v>367</v>
      </c>
      <c r="V71" t="s">
        <v>435</v>
      </c>
      <c r="W71" s="30"/>
      <c r="X71" t="s">
        <v>369</v>
      </c>
      <c r="Y71" s="1" t="s">
        <v>28</v>
      </c>
    </row>
    <row r="72" spans="1:25">
      <c r="A72">
        <v>101886</v>
      </c>
      <c r="B72" t="s">
        <v>372</v>
      </c>
      <c r="C72" s="30">
        <v>45777</v>
      </c>
      <c r="D72" s="30" t="str">
        <f t="shared" si="2"/>
        <v>April</v>
      </c>
      <c r="E72" s="30" t="s">
        <v>370</v>
      </c>
      <c r="F72" s="30" t="s">
        <v>371</v>
      </c>
      <c r="G72" s="30" t="s">
        <v>365</v>
      </c>
      <c r="H72" t="s">
        <v>436</v>
      </c>
      <c r="I72">
        <v>0</v>
      </c>
      <c r="J72" s="43">
        <v>0</v>
      </c>
      <c r="K72" s="43">
        <v>4144</v>
      </c>
      <c r="L72" s="43">
        <f t="shared" si="3"/>
        <v>-4144</v>
      </c>
      <c r="M72" s="69">
        <v>1062</v>
      </c>
      <c r="N72" s="43">
        <v>0</v>
      </c>
      <c r="O72" s="43">
        <v>4144</v>
      </c>
      <c r="P72" s="43" t="s">
        <v>437</v>
      </c>
      <c r="Q72" s="43" t="s">
        <v>437</v>
      </c>
      <c r="R72" s="43">
        <v>4138</v>
      </c>
      <c r="S72" s="30">
        <v>45778</v>
      </c>
      <c r="T72" s="43" t="s">
        <v>377</v>
      </c>
      <c r="U72" s="30" t="s">
        <v>378</v>
      </c>
      <c r="V72" t="s">
        <v>438</v>
      </c>
      <c r="W72" s="30" t="s">
        <v>372</v>
      </c>
      <c r="X72" t="s">
        <v>382</v>
      </c>
      <c r="Y72" s="1" t="s">
        <v>42</v>
      </c>
    </row>
    <row r="73" spans="1:25">
      <c r="A73">
        <v>101904</v>
      </c>
      <c r="B73" t="s">
        <v>362</v>
      </c>
      <c r="C73" s="30">
        <v>45777</v>
      </c>
      <c r="D73" s="30" t="str">
        <f t="shared" si="2"/>
        <v>April</v>
      </c>
      <c r="E73" s="30" t="s">
        <v>370</v>
      </c>
      <c r="F73" s="30" t="s">
        <v>371</v>
      </c>
      <c r="G73" t="s">
        <v>365</v>
      </c>
      <c r="H73" t="s">
        <v>434</v>
      </c>
      <c r="I73">
        <v>0</v>
      </c>
      <c r="J73" s="43">
        <v>0</v>
      </c>
      <c r="K73" s="43">
        <v>5821.33</v>
      </c>
      <c r="L73" s="43">
        <f t="shared" si="3"/>
        <v>-5821.33</v>
      </c>
      <c r="M73" s="43">
        <v>1062</v>
      </c>
      <c r="N73" s="43">
        <v>0</v>
      </c>
      <c r="O73" s="43">
        <v>26014.02</v>
      </c>
      <c r="P73" s="43"/>
      <c r="R73" s="43"/>
      <c r="S73" s="30">
        <v>45779</v>
      </c>
      <c r="U73" t="s">
        <v>367</v>
      </c>
      <c r="V73" t="s">
        <v>435</v>
      </c>
      <c r="W73" s="30"/>
      <c r="X73" t="s">
        <v>369</v>
      </c>
      <c r="Y73" t="s">
        <v>19</v>
      </c>
    </row>
    <row r="74" spans="1:25">
      <c r="A74">
        <v>101904</v>
      </c>
      <c r="B74" t="s">
        <v>362</v>
      </c>
      <c r="C74" s="30">
        <v>45777</v>
      </c>
      <c r="D74" s="30" t="str">
        <f t="shared" si="2"/>
        <v>April</v>
      </c>
      <c r="E74" s="30" t="s">
        <v>370</v>
      </c>
      <c r="F74" s="30" t="s">
        <v>371</v>
      </c>
      <c r="G74" t="s">
        <v>365</v>
      </c>
      <c r="H74" t="s">
        <v>434</v>
      </c>
      <c r="I74">
        <v>0</v>
      </c>
      <c r="J74" s="43">
        <v>0</v>
      </c>
      <c r="K74" s="43">
        <v>197.33</v>
      </c>
      <c r="L74" s="43">
        <f t="shared" si="3"/>
        <v>-197.33</v>
      </c>
      <c r="M74" s="43">
        <v>1062</v>
      </c>
      <c r="N74" s="43">
        <v>0</v>
      </c>
      <c r="O74" s="43">
        <v>26014.02</v>
      </c>
      <c r="P74" s="43"/>
      <c r="R74" s="43"/>
      <c r="S74" s="30">
        <v>45779</v>
      </c>
      <c r="U74" t="s">
        <v>367</v>
      </c>
      <c r="V74" t="s">
        <v>435</v>
      </c>
      <c r="W74" s="30"/>
      <c r="X74" t="s">
        <v>369</v>
      </c>
      <c r="Y74" t="s">
        <v>19</v>
      </c>
    </row>
    <row r="75" spans="1:25">
      <c r="A75">
        <v>101887</v>
      </c>
      <c r="B75" t="s">
        <v>372</v>
      </c>
      <c r="C75" s="30">
        <v>45777</v>
      </c>
      <c r="D75" s="30" t="str">
        <f t="shared" si="2"/>
        <v>April</v>
      </c>
      <c r="E75" s="30" t="s">
        <v>370</v>
      </c>
      <c r="F75" s="30" t="s">
        <v>371</v>
      </c>
      <c r="G75" s="30" t="s">
        <v>365</v>
      </c>
      <c r="H75" t="s">
        <v>439</v>
      </c>
      <c r="I75">
        <v>0</v>
      </c>
      <c r="J75" s="43">
        <v>0</v>
      </c>
      <c r="K75" s="43">
        <v>850.5</v>
      </c>
      <c r="L75" s="43">
        <f t="shared" si="3"/>
        <v>-850.5</v>
      </c>
      <c r="M75" s="69">
        <v>1062</v>
      </c>
      <c r="N75" s="43">
        <v>0</v>
      </c>
      <c r="O75" s="43">
        <v>850.5</v>
      </c>
      <c r="P75" s="43" t="s">
        <v>440</v>
      </c>
      <c r="Q75" s="43" t="s">
        <v>440</v>
      </c>
      <c r="R75" s="43">
        <v>4067</v>
      </c>
      <c r="S75" s="30">
        <v>45778</v>
      </c>
      <c r="T75" s="43" t="s">
        <v>377</v>
      </c>
      <c r="U75" s="30" t="s">
        <v>378</v>
      </c>
      <c r="V75" t="s">
        <v>438</v>
      </c>
      <c r="W75" s="30" t="s">
        <v>372</v>
      </c>
      <c r="X75" t="s">
        <v>382</v>
      </c>
      <c r="Y75" t="s">
        <v>12</v>
      </c>
    </row>
    <row r="76" spans="1:25">
      <c r="A76">
        <v>101888</v>
      </c>
      <c r="B76" t="s">
        <v>372</v>
      </c>
      <c r="C76" s="30">
        <v>45777</v>
      </c>
      <c r="D76" s="30" t="str">
        <f t="shared" si="2"/>
        <v>April</v>
      </c>
      <c r="E76" s="30" t="s">
        <v>370</v>
      </c>
      <c r="F76" s="30" t="s">
        <v>371</v>
      </c>
      <c r="G76" s="30" t="s">
        <v>365</v>
      </c>
      <c r="H76" t="s">
        <v>441</v>
      </c>
      <c r="I76">
        <v>0</v>
      </c>
      <c r="J76" s="43">
        <v>0</v>
      </c>
      <c r="K76" s="43">
        <v>1197</v>
      </c>
      <c r="L76" s="43">
        <f t="shared" si="3"/>
        <v>-1197</v>
      </c>
      <c r="M76" s="69">
        <v>1062</v>
      </c>
      <c r="N76" s="43">
        <v>0</v>
      </c>
      <c r="O76" s="43">
        <v>1197</v>
      </c>
      <c r="P76" s="43" t="s">
        <v>442</v>
      </c>
      <c r="Q76" s="43" t="s">
        <v>442</v>
      </c>
      <c r="R76" s="43">
        <v>4067</v>
      </c>
      <c r="S76" s="30">
        <v>45778</v>
      </c>
      <c r="T76" s="43" t="s">
        <v>377</v>
      </c>
      <c r="U76" s="30" t="s">
        <v>378</v>
      </c>
      <c r="V76" t="s">
        <v>438</v>
      </c>
      <c r="W76" s="30" t="s">
        <v>372</v>
      </c>
      <c r="X76" t="s">
        <v>382</v>
      </c>
      <c r="Y76" t="s">
        <v>12</v>
      </c>
    </row>
    <row r="77" spans="1:25">
      <c r="A77">
        <v>101889</v>
      </c>
      <c r="B77" t="s">
        <v>372</v>
      </c>
      <c r="C77" s="30">
        <v>45777</v>
      </c>
      <c r="D77" s="30" t="str">
        <f t="shared" si="2"/>
        <v>April</v>
      </c>
      <c r="E77" s="30" t="s">
        <v>370</v>
      </c>
      <c r="F77" s="30" t="s">
        <v>371</v>
      </c>
      <c r="G77" s="30" t="s">
        <v>365</v>
      </c>
      <c r="H77" t="s">
        <v>443</v>
      </c>
      <c r="I77">
        <v>0</v>
      </c>
      <c r="J77" s="43">
        <v>0</v>
      </c>
      <c r="K77" s="43">
        <v>630</v>
      </c>
      <c r="L77" s="43">
        <f t="shared" si="3"/>
        <v>-630</v>
      </c>
      <c r="M77" s="69">
        <v>1062</v>
      </c>
      <c r="N77" s="43">
        <v>0</v>
      </c>
      <c r="O77" s="43">
        <v>630</v>
      </c>
      <c r="P77" s="43" t="s">
        <v>444</v>
      </c>
      <c r="Q77" s="43" t="s">
        <v>444</v>
      </c>
      <c r="R77" s="43">
        <v>4067</v>
      </c>
      <c r="S77" s="30">
        <v>45778</v>
      </c>
      <c r="T77" s="43" t="s">
        <v>377</v>
      </c>
      <c r="U77" s="30" t="s">
        <v>378</v>
      </c>
      <c r="V77" t="s">
        <v>438</v>
      </c>
      <c r="W77" s="30" t="s">
        <v>372</v>
      </c>
      <c r="X77" t="s">
        <v>382</v>
      </c>
      <c r="Y77" t="s">
        <v>12</v>
      </c>
    </row>
    <row r="78" spans="1:25">
      <c r="A78">
        <v>101892</v>
      </c>
      <c r="B78" t="s">
        <v>372</v>
      </c>
      <c r="C78" s="30">
        <v>45777</v>
      </c>
      <c r="D78" s="30" t="str">
        <f t="shared" si="2"/>
        <v>April</v>
      </c>
      <c r="E78" s="30" t="s">
        <v>370</v>
      </c>
      <c r="F78" s="30" t="s">
        <v>371</v>
      </c>
      <c r="G78" s="30" t="s">
        <v>365</v>
      </c>
      <c r="H78" t="s">
        <v>445</v>
      </c>
      <c r="I78">
        <v>0</v>
      </c>
      <c r="J78" s="43">
        <v>0</v>
      </c>
      <c r="K78" s="43">
        <v>6427.35</v>
      </c>
      <c r="L78" s="43">
        <f t="shared" si="3"/>
        <v>-6427.35</v>
      </c>
      <c r="M78" s="43">
        <v>1062</v>
      </c>
      <c r="N78" s="43">
        <v>0</v>
      </c>
      <c r="O78" s="43">
        <v>6427.35</v>
      </c>
      <c r="P78" s="43" t="s">
        <v>446</v>
      </c>
      <c r="Q78" s="43" t="s">
        <v>446</v>
      </c>
      <c r="R78" s="43">
        <v>4067</v>
      </c>
      <c r="S78" s="30">
        <v>45778</v>
      </c>
      <c r="T78" s="43" t="s">
        <v>377</v>
      </c>
      <c r="U78" s="30" t="s">
        <v>378</v>
      </c>
      <c r="V78" t="s">
        <v>438</v>
      </c>
      <c r="W78" s="30" t="s">
        <v>372</v>
      </c>
      <c r="X78" t="s">
        <v>382</v>
      </c>
      <c r="Y78" t="s">
        <v>12</v>
      </c>
    </row>
    <row r="79" spans="1:25">
      <c r="A79">
        <v>101890</v>
      </c>
      <c r="B79" t="s">
        <v>372</v>
      </c>
      <c r="C79" s="30">
        <v>45777</v>
      </c>
      <c r="D79" s="30" t="str">
        <f t="shared" si="2"/>
        <v>April</v>
      </c>
      <c r="E79" s="30" t="s">
        <v>370</v>
      </c>
      <c r="F79" s="30" t="s">
        <v>371</v>
      </c>
      <c r="G79" s="30" t="s">
        <v>365</v>
      </c>
      <c r="H79" t="s">
        <v>447</v>
      </c>
      <c r="I79">
        <v>0</v>
      </c>
      <c r="J79" s="43">
        <v>0</v>
      </c>
      <c r="K79" s="43">
        <v>5920</v>
      </c>
      <c r="L79" s="43">
        <f t="shared" si="3"/>
        <v>-5920</v>
      </c>
      <c r="M79" s="69">
        <v>1062</v>
      </c>
      <c r="N79" s="43">
        <v>0</v>
      </c>
      <c r="O79" s="43">
        <v>5920</v>
      </c>
      <c r="P79" s="43" t="s">
        <v>448</v>
      </c>
      <c r="Q79" s="43" t="s">
        <v>448</v>
      </c>
      <c r="R79" s="43">
        <v>892</v>
      </c>
      <c r="S79" s="30">
        <v>45778</v>
      </c>
      <c r="T79" s="43" t="s">
        <v>377</v>
      </c>
      <c r="U79" s="30" t="s">
        <v>378</v>
      </c>
      <c r="V79" t="s">
        <v>438</v>
      </c>
      <c r="W79" s="30" t="s">
        <v>372</v>
      </c>
      <c r="X79" t="s">
        <v>382</v>
      </c>
      <c r="Y79" t="s">
        <v>17</v>
      </c>
    </row>
    <row r="80" spans="1:25">
      <c r="A80">
        <v>101891</v>
      </c>
      <c r="B80" t="s">
        <v>372</v>
      </c>
      <c r="C80" s="30">
        <v>45777</v>
      </c>
      <c r="D80" s="30" t="str">
        <f t="shared" si="2"/>
        <v>April</v>
      </c>
      <c r="E80" s="30" t="s">
        <v>370</v>
      </c>
      <c r="F80" s="30" t="s">
        <v>371</v>
      </c>
      <c r="G80" s="30" t="s">
        <v>365</v>
      </c>
      <c r="H80" t="s">
        <v>449</v>
      </c>
      <c r="I80">
        <v>0</v>
      </c>
      <c r="J80" s="43">
        <v>0</v>
      </c>
      <c r="K80" s="43">
        <v>1776</v>
      </c>
      <c r="L80" s="43">
        <f t="shared" si="3"/>
        <v>-1776</v>
      </c>
      <c r="M80" s="69">
        <v>1062</v>
      </c>
      <c r="N80" s="43">
        <v>0</v>
      </c>
      <c r="O80" s="43">
        <v>1776</v>
      </c>
      <c r="P80" s="43" t="s">
        <v>450</v>
      </c>
      <c r="Q80" s="43" t="s">
        <v>450</v>
      </c>
      <c r="R80" s="43">
        <v>892</v>
      </c>
      <c r="S80" s="30">
        <v>45778</v>
      </c>
      <c r="T80" s="43" t="s">
        <v>377</v>
      </c>
      <c r="U80" s="30" t="s">
        <v>378</v>
      </c>
      <c r="V80" t="s">
        <v>438</v>
      </c>
      <c r="W80" s="30" t="s">
        <v>372</v>
      </c>
      <c r="X80" t="s">
        <v>382</v>
      </c>
      <c r="Y80" t="s">
        <v>17</v>
      </c>
    </row>
    <row r="81" spans="1:27">
      <c r="A81">
        <v>101904</v>
      </c>
      <c r="B81" t="s">
        <v>362</v>
      </c>
      <c r="C81" s="30">
        <v>45777</v>
      </c>
      <c r="D81" s="30" t="str">
        <f t="shared" si="2"/>
        <v>April</v>
      </c>
      <c r="E81" s="30" t="s">
        <v>370</v>
      </c>
      <c r="F81" s="30" t="s">
        <v>371</v>
      </c>
      <c r="G81" t="s">
        <v>365</v>
      </c>
      <c r="H81" t="s">
        <v>434</v>
      </c>
      <c r="I81">
        <v>0</v>
      </c>
      <c r="J81" s="43">
        <v>0</v>
      </c>
      <c r="K81" s="43">
        <v>6512</v>
      </c>
      <c r="L81" s="43">
        <f t="shared" si="3"/>
        <v>-6512</v>
      </c>
      <c r="M81" s="43">
        <v>1062</v>
      </c>
      <c r="N81" s="43">
        <v>0</v>
      </c>
      <c r="O81" s="43">
        <v>26014.02</v>
      </c>
      <c r="P81" s="43"/>
      <c r="R81" s="43"/>
      <c r="S81" s="30">
        <v>45779</v>
      </c>
      <c r="U81" t="s">
        <v>367</v>
      </c>
      <c r="V81" t="s">
        <v>435</v>
      </c>
      <c r="W81" s="30"/>
      <c r="X81" t="s">
        <v>369</v>
      </c>
      <c r="Y81" t="s">
        <v>17</v>
      </c>
    </row>
    <row r="82" spans="1:27">
      <c r="A82">
        <v>101904</v>
      </c>
      <c r="B82" t="s">
        <v>362</v>
      </c>
      <c r="C82" s="30">
        <v>45777</v>
      </c>
      <c r="D82" s="30" t="str">
        <f t="shared" si="2"/>
        <v>April</v>
      </c>
      <c r="E82" s="30" t="s">
        <v>370</v>
      </c>
      <c r="F82" s="30" t="s">
        <v>371</v>
      </c>
      <c r="G82" t="s">
        <v>365</v>
      </c>
      <c r="H82" t="s">
        <v>434</v>
      </c>
      <c r="I82">
        <v>0</v>
      </c>
      <c r="J82" s="43">
        <v>0</v>
      </c>
      <c r="K82" s="43">
        <v>2877.12</v>
      </c>
      <c r="L82" s="43">
        <f t="shared" si="3"/>
        <v>-2877.12</v>
      </c>
      <c r="M82" s="43">
        <v>1062</v>
      </c>
      <c r="N82" s="43">
        <v>0</v>
      </c>
      <c r="O82" s="43">
        <v>26014.02</v>
      </c>
      <c r="P82" s="43"/>
      <c r="R82" s="43"/>
      <c r="S82" s="30">
        <v>45779</v>
      </c>
      <c r="U82" t="s">
        <v>367</v>
      </c>
      <c r="V82" t="s">
        <v>435</v>
      </c>
      <c r="W82" s="30"/>
      <c r="X82" t="s">
        <v>369</v>
      </c>
      <c r="Y82" t="s">
        <v>17</v>
      </c>
    </row>
    <row r="83" spans="1:27">
      <c r="A83">
        <v>101904</v>
      </c>
      <c r="B83" t="s">
        <v>362</v>
      </c>
      <c r="C83" s="30">
        <v>45777</v>
      </c>
      <c r="D83" s="30" t="str">
        <f t="shared" si="2"/>
        <v>April</v>
      </c>
      <c r="E83" s="30" t="s">
        <v>370</v>
      </c>
      <c r="F83" s="30" t="s">
        <v>371</v>
      </c>
      <c r="G83" t="s">
        <v>365</v>
      </c>
      <c r="H83" t="s">
        <v>434</v>
      </c>
      <c r="I83">
        <v>0</v>
      </c>
      <c r="J83" s="43">
        <v>0</v>
      </c>
      <c r="K83" s="43">
        <v>4536</v>
      </c>
      <c r="L83" s="43">
        <f t="shared" si="3"/>
        <v>-4536</v>
      </c>
      <c r="M83" s="43">
        <v>1062</v>
      </c>
      <c r="N83" s="43">
        <v>0</v>
      </c>
      <c r="O83" s="43">
        <v>26014.02</v>
      </c>
      <c r="P83" s="43"/>
      <c r="R83" s="43"/>
      <c r="S83" s="30">
        <v>45779</v>
      </c>
      <c r="U83" t="s">
        <v>367</v>
      </c>
      <c r="V83" t="s">
        <v>435</v>
      </c>
      <c r="W83" s="30"/>
      <c r="X83" t="s">
        <v>369</v>
      </c>
      <c r="Y83" s="1" t="s">
        <v>14</v>
      </c>
    </row>
    <row r="84" spans="1:27">
      <c r="A84">
        <v>101894</v>
      </c>
      <c r="B84" t="s">
        <v>372</v>
      </c>
      <c r="C84" s="30">
        <v>45777</v>
      </c>
      <c r="D84" s="30" t="str">
        <f t="shared" si="2"/>
        <v>April</v>
      </c>
      <c r="E84" s="30" t="s">
        <v>363</v>
      </c>
      <c r="F84" s="30" t="s">
        <v>364</v>
      </c>
      <c r="G84" s="30" t="s">
        <v>365</v>
      </c>
      <c r="H84" t="s">
        <v>451</v>
      </c>
      <c r="I84">
        <v>0</v>
      </c>
      <c r="J84" s="43">
        <v>0</v>
      </c>
      <c r="K84" s="43">
        <v>7410</v>
      </c>
      <c r="L84" s="43">
        <f t="shared" si="3"/>
        <v>-7410</v>
      </c>
      <c r="M84" s="43">
        <v>1062</v>
      </c>
      <c r="N84" s="43">
        <v>0</v>
      </c>
      <c r="O84" s="43">
        <v>7410</v>
      </c>
      <c r="P84" s="43" t="s">
        <v>452</v>
      </c>
      <c r="Q84" s="43" t="s">
        <v>452</v>
      </c>
      <c r="R84" s="43">
        <v>9995</v>
      </c>
      <c r="S84" s="30">
        <v>45778</v>
      </c>
      <c r="T84" s="43" t="s">
        <v>377</v>
      </c>
      <c r="U84" s="30" t="s">
        <v>378</v>
      </c>
      <c r="V84" t="s">
        <v>453</v>
      </c>
      <c r="W84" s="30" t="s">
        <v>372</v>
      </c>
      <c r="X84" t="s">
        <v>382</v>
      </c>
      <c r="Y84" s="1" t="s">
        <v>13</v>
      </c>
    </row>
    <row r="85" spans="1:27">
      <c r="A85">
        <v>101904</v>
      </c>
      <c r="B85" t="s">
        <v>362</v>
      </c>
      <c r="C85" s="30">
        <v>45778</v>
      </c>
      <c r="D85" s="30" t="str">
        <f t="shared" si="2"/>
        <v>May</v>
      </c>
      <c r="E85" s="30" t="s">
        <v>370</v>
      </c>
      <c r="F85" s="30" t="s">
        <v>371</v>
      </c>
      <c r="G85" t="s">
        <v>365</v>
      </c>
      <c r="H85" t="s">
        <v>434</v>
      </c>
      <c r="I85">
        <v>0</v>
      </c>
      <c r="J85" s="43">
        <v>2543.4899999999998</v>
      </c>
      <c r="K85" s="43">
        <v>0</v>
      </c>
      <c r="L85" s="43">
        <f t="shared" si="3"/>
        <v>2543.4899999999998</v>
      </c>
      <c r="M85" s="43">
        <v>1062</v>
      </c>
      <c r="N85" s="43">
        <v>0</v>
      </c>
      <c r="O85" s="43">
        <v>26014.02</v>
      </c>
      <c r="P85" s="43"/>
      <c r="R85" s="43"/>
      <c r="S85" s="30">
        <v>45779</v>
      </c>
      <c r="U85" t="s">
        <v>367</v>
      </c>
      <c r="V85" t="s">
        <v>435</v>
      </c>
      <c r="W85" s="30"/>
      <c r="X85" t="s">
        <v>369</v>
      </c>
      <c r="Y85" s="1" t="s">
        <v>28</v>
      </c>
    </row>
    <row r="86" spans="1:27">
      <c r="A86">
        <v>101904</v>
      </c>
      <c r="B86" t="s">
        <v>362</v>
      </c>
      <c r="C86" s="30">
        <v>45778</v>
      </c>
      <c r="D86" s="30" t="str">
        <f t="shared" si="2"/>
        <v>May</v>
      </c>
      <c r="E86" s="30" t="s">
        <v>370</v>
      </c>
      <c r="F86" s="30" t="s">
        <v>371</v>
      </c>
      <c r="G86" t="s">
        <v>365</v>
      </c>
      <c r="H86" t="s">
        <v>434</v>
      </c>
      <c r="I86">
        <v>0</v>
      </c>
      <c r="J86" s="43">
        <v>5821.33</v>
      </c>
      <c r="K86" s="43">
        <v>0</v>
      </c>
      <c r="L86" s="43">
        <f t="shared" si="3"/>
        <v>5821.33</v>
      </c>
      <c r="M86" s="43">
        <v>1062</v>
      </c>
      <c r="N86" s="43">
        <v>0</v>
      </c>
      <c r="O86" s="43">
        <v>26014.02</v>
      </c>
      <c r="P86" s="43"/>
      <c r="R86" s="43"/>
      <c r="S86" s="30">
        <v>45779</v>
      </c>
      <c r="U86" t="s">
        <v>367</v>
      </c>
      <c r="V86" t="s">
        <v>435</v>
      </c>
      <c r="W86" s="30"/>
      <c r="X86" t="s">
        <v>369</v>
      </c>
      <c r="Y86" t="s">
        <v>19</v>
      </c>
    </row>
    <row r="87" spans="1:27">
      <c r="A87">
        <v>101904</v>
      </c>
      <c r="B87" t="s">
        <v>362</v>
      </c>
      <c r="C87" s="30">
        <v>45778</v>
      </c>
      <c r="D87" s="30" t="str">
        <f t="shared" si="2"/>
        <v>May</v>
      </c>
      <c r="E87" s="30" t="s">
        <v>370</v>
      </c>
      <c r="F87" s="30" t="s">
        <v>371</v>
      </c>
      <c r="G87" t="s">
        <v>365</v>
      </c>
      <c r="H87" t="s">
        <v>434</v>
      </c>
      <c r="I87">
        <v>0</v>
      </c>
      <c r="J87" s="43">
        <v>197.33</v>
      </c>
      <c r="K87" s="43">
        <v>0</v>
      </c>
      <c r="L87" s="43">
        <f t="shared" si="3"/>
        <v>197.33</v>
      </c>
      <c r="M87" s="43">
        <v>1062</v>
      </c>
      <c r="N87" s="43">
        <v>0</v>
      </c>
      <c r="O87" s="43">
        <v>26014.02</v>
      </c>
      <c r="P87" s="43"/>
      <c r="R87" s="43"/>
      <c r="S87" s="30">
        <v>45779</v>
      </c>
      <c r="U87" t="s">
        <v>367</v>
      </c>
      <c r="V87" t="s">
        <v>435</v>
      </c>
      <c r="W87" s="30"/>
      <c r="X87" t="s">
        <v>369</v>
      </c>
      <c r="Y87" t="s">
        <v>19</v>
      </c>
      <c r="AA87" s="30"/>
    </row>
    <row r="88" spans="1:27">
      <c r="A88">
        <v>101904</v>
      </c>
      <c r="B88" t="s">
        <v>362</v>
      </c>
      <c r="C88" s="30">
        <v>45778</v>
      </c>
      <c r="D88" s="30" t="str">
        <f t="shared" si="2"/>
        <v>May</v>
      </c>
      <c r="E88" s="30" t="s">
        <v>370</v>
      </c>
      <c r="F88" s="30" t="s">
        <v>371</v>
      </c>
      <c r="G88" t="s">
        <v>365</v>
      </c>
      <c r="H88" t="s">
        <v>434</v>
      </c>
      <c r="I88">
        <v>0</v>
      </c>
      <c r="J88" s="43">
        <v>6512</v>
      </c>
      <c r="K88" s="43">
        <v>0</v>
      </c>
      <c r="L88" s="43">
        <f t="shared" si="3"/>
        <v>6512</v>
      </c>
      <c r="M88" s="43">
        <v>1062</v>
      </c>
      <c r="N88" s="43">
        <v>0</v>
      </c>
      <c r="O88" s="43">
        <v>26014.02</v>
      </c>
      <c r="P88" s="43"/>
      <c r="R88" s="43"/>
      <c r="S88" s="30">
        <v>45779</v>
      </c>
      <c r="U88" t="s">
        <v>367</v>
      </c>
      <c r="V88" t="s">
        <v>435</v>
      </c>
      <c r="W88" s="30"/>
      <c r="X88" t="s">
        <v>369</v>
      </c>
      <c r="Y88" t="s">
        <v>17</v>
      </c>
      <c r="AA88" s="30"/>
    </row>
    <row r="89" spans="1:27">
      <c r="A89">
        <v>101904</v>
      </c>
      <c r="B89" t="s">
        <v>362</v>
      </c>
      <c r="C89" s="30">
        <v>45778</v>
      </c>
      <c r="D89" s="30" t="str">
        <f t="shared" si="2"/>
        <v>May</v>
      </c>
      <c r="E89" s="30" t="s">
        <v>370</v>
      </c>
      <c r="F89" s="30" t="s">
        <v>371</v>
      </c>
      <c r="G89" t="s">
        <v>365</v>
      </c>
      <c r="H89" t="s">
        <v>434</v>
      </c>
      <c r="I89">
        <v>0</v>
      </c>
      <c r="J89" s="43">
        <v>2877.12</v>
      </c>
      <c r="K89" s="43">
        <v>0</v>
      </c>
      <c r="L89" s="43">
        <f t="shared" si="3"/>
        <v>2877.12</v>
      </c>
      <c r="M89" s="43">
        <v>1062</v>
      </c>
      <c r="N89" s="43">
        <v>0</v>
      </c>
      <c r="O89" s="43">
        <v>26014.02</v>
      </c>
      <c r="P89" s="43"/>
      <c r="R89" s="43"/>
      <c r="S89" s="30">
        <v>45779</v>
      </c>
      <c r="U89" t="s">
        <v>367</v>
      </c>
      <c r="V89" t="s">
        <v>435</v>
      </c>
      <c r="W89" s="30"/>
      <c r="X89" t="s">
        <v>369</v>
      </c>
      <c r="Y89" t="s">
        <v>17</v>
      </c>
      <c r="AA89" s="30"/>
    </row>
    <row r="90" spans="1:27">
      <c r="A90">
        <v>101904</v>
      </c>
      <c r="B90" t="s">
        <v>362</v>
      </c>
      <c r="C90" s="30">
        <v>45778</v>
      </c>
      <c r="D90" s="30" t="str">
        <f t="shared" si="2"/>
        <v>May</v>
      </c>
      <c r="E90" s="30" t="s">
        <v>370</v>
      </c>
      <c r="F90" s="30" t="s">
        <v>371</v>
      </c>
      <c r="G90" t="s">
        <v>365</v>
      </c>
      <c r="H90" t="s">
        <v>434</v>
      </c>
      <c r="I90">
        <v>0</v>
      </c>
      <c r="J90" s="43">
        <v>4536</v>
      </c>
      <c r="K90" s="43">
        <v>0</v>
      </c>
      <c r="L90" s="43">
        <f t="shared" si="3"/>
        <v>4536</v>
      </c>
      <c r="M90" s="43">
        <v>1062</v>
      </c>
      <c r="N90" s="43">
        <v>0</v>
      </c>
      <c r="O90" s="43">
        <v>26014.02</v>
      </c>
      <c r="P90" s="43"/>
      <c r="R90" s="43"/>
      <c r="S90" s="30">
        <v>45779</v>
      </c>
      <c r="U90" t="s">
        <v>367</v>
      </c>
      <c r="V90" t="s">
        <v>435</v>
      </c>
      <c r="W90" s="30"/>
      <c r="X90" t="s">
        <v>369</v>
      </c>
      <c r="Y90" s="1" t="s">
        <v>14</v>
      </c>
      <c r="AA90" s="30"/>
    </row>
    <row r="91" spans="1:27">
      <c r="A91">
        <v>102117</v>
      </c>
      <c r="B91" t="s">
        <v>372</v>
      </c>
      <c r="C91" s="30">
        <v>45790</v>
      </c>
      <c r="D91" s="30" t="str">
        <f t="shared" si="2"/>
        <v>May</v>
      </c>
      <c r="E91" t="s">
        <v>373</v>
      </c>
      <c r="F91" t="s">
        <v>374</v>
      </c>
      <c r="G91" t="s">
        <v>365</v>
      </c>
      <c r="H91" t="s">
        <v>454</v>
      </c>
      <c r="I91">
        <v>0</v>
      </c>
      <c r="J91" s="43">
        <v>0</v>
      </c>
      <c r="K91" s="43">
        <v>3700</v>
      </c>
      <c r="L91" s="43">
        <f t="shared" si="3"/>
        <v>-3700</v>
      </c>
      <c r="M91" s="43">
        <v>1062</v>
      </c>
      <c r="N91" s="43">
        <v>0</v>
      </c>
      <c r="O91" s="43">
        <v>3700</v>
      </c>
      <c r="P91" t="s">
        <v>455</v>
      </c>
      <c r="Q91" t="s">
        <v>455</v>
      </c>
      <c r="R91">
        <v>4138</v>
      </c>
      <c r="S91" s="30">
        <v>45804</v>
      </c>
      <c r="T91" t="s">
        <v>377</v>
      </c>
      <c r="U91" t="s">
        <v>378</v>
      </c>
      <c r="V91" t="s">
        <v>456</v>
      </c>
      <c r="W91" t="s">
        <v>455</v>
      </c>
      <c r="X91" t="s">
        <v>369</v>
      </c>
      <c r="Y91" s="1" t="s">
        <v>42</v>
      </c>
    </row>
    <row r="92" spans="1:27">
      <c r="A92">
        <v>102116</v>
      </c>
      <c r="B92" t="s">
        <v>372</v>
      </c>
      <c r="C92" s="30">
        <v>45790</v>
      </c>
      <c r="D92" s="30" t="str">
        <f t="shared" si="2"/>
        <v>May</v>
      </c>
      <c r="E92" t="s">
        <v>373</v>
      </c>
      <c r="F92" t="s">
        <v>374</v>
      </c>
      <c r="G92" t="s">
        <v>365</v>
      </c>
      <c r="H92" t="s">
        <v>457</v>
      </c>
      <c r="I92">
        <v>0</v>
      </c>
      <c r="J92" s="43">
        <v>0</v>
      </c>
      <c r="K92" s="43">
        <v>5920</v>
      </c>
      <c r="L92" s="43">
        <f t="shared" si="3"/>
        <v>-5920</v>
      </c>
      <c r="M92" s="43">
        <v>1062</v>
      </c>
      <c r="N92" s="43">
        <v>0</v>
      </c>
      <c r="O92" s="43">
        <v>5920</v>
      </c>
      <c r="P92" t="s">
        <v>458</v>
      </c>
      <c r="Q92" t="s">
        <v>458</v>
      </c>
      <c r="R92">
        <v>4117</v>
      </c>
      <c r="S92" s="30">
        <v>45804</v>
      </c>
      <c r="T92" t="s">
        <v>377</v>
      </c>
      <c r="U92" t="s">
        <v>378</v>
      </c>
      <c r="V92" t="s">
        <v>456</v>
      </c>
      <c r="W92" t="s">
        <v>458</v>
      </c>
      <c r="X92" t="s">
        <v>369</v>
      </c>
      <c r="Y92" t="s">
        <v>19</v>
      </c>
    </row>
    <row r="93" spans="1:27">
      <c r="A93">
        <v>102119</v>
      </c>
      <c r="B93" t="s">
        <v>372</v>
      </c>
      <c r="C93" s="30">
        <v>45791</v>
      </c>
      <c r="D93" s="30" t="str">
        <f t="shared" si="2"/>
        <v>May</v>
      </c>
      <c r="E93" t="s">
        <v>373</v>
      </c>
      <c r="F93" t="s">
        <v>374</v>
      </c>
      <c r="G93" t="s">
        <v>365</v>
      </c>
      <c r="H93" t="s">
        <v>459</v>
      </c>
      <c r="I93">
        <v>0</v>
      </c>
      <c r="J93" s="43">
        <v>0</v>
      </c>
      <c r="K93" s="43">
        <v>5148</v>
      </c>
      <c r="L93" s="43">
        <f t="shared" si="3"/>
        <v>-5148</v>
      </c>
      <c r="M93" s="43">
        <v>1062</v>
      </c>
      <c r="N93" s="43">
        <v>0</v>
      </c>
      <c r="O93" s="43">
        <v>5148</v>
      </c>
      <c r="P93" t="s">
        <v>460</v>
      </c>
      <c r="Q93" t="s">
        <v>460</v>
      </c>
      <c r="R93">
        <v>4112</v>
      </c>
      <c r="S93" s="30">
        <v>45804</v>
      </c>
      <c r="T93" t="s">
        <v>377</v>
      </c>
      <c r="U93" t="s">
        <v>378</v>
      </c>
      <c r="V93" t="s">
        <v>456</v>
      </c>
      <c r="W93" t="s">
        <v>460</v>
      </c>
      <c r="X93" t="s">
        <v>369</v>
      </c>
      <c r="Y93" s="1" t="s">
        <v>28</v>
      </c>
    </row>
    <row r="94" spans="1:27">
      <c r="A94">
        <v>102223</v>
      </c>
      <c r="B94" t="s">
        <v>362</v>
      </c>
      <c r="C94" s="30">
        <v>45808</v>
      </c>
      <c r="D94" s="30" t="str">
        <f t="shared" si="2"/>
        <v>May</v>
      </c>
      <c r="E94" t="s">
        <v>370</v>
      </c>
      <c r="F94" t="s">
        <v>371</v>
      </c>
      <c r="G94" t="s">
        <v>365</v>
      </c>
      <c r="H94" t="s">
        <v>461</v>
      </c>
      <c r="I94">
        <v>0</v>
      </c>
      <c r="J94" s="43">
        <v>0</v>
      </c>
      <c r="K94" s="43">
        <v>2960</v>
      </c>
      <c r="L94" s="43">
        <f t="shared" si="3"/>
        <v>-2960</v>
      </c>
      <c r="M94">
        <v>1062</v>
      </c>
      <c r="N94" s="43">
        <v>0</v>
      </c>
      <c r="O94" s="43">
        <v>2960</v>
      </c>
      <c r="S94" s="30">
        <v>45811</v>
      </c>
      <c r="U94" t="s">
        <v>367</v>
      </c>
      <c r="V94" t="s">
        <v>462</v>
      </c>
      <c r="X94" t="s">
        <v>369</v>
      </c>
      <c r="Y94" s="1" t="s">
        <v>35</v>
      </c>
    </row>
    <row r="95" spans="1:27">
      <c r="A95">
        <v>102225</v>
      </c>
      <c r="B95" t="s">
        <v>372</v>
      </c>
      <c r="C95" s="30">
        <v>45808</v>
      </c>
      <c r="D95" s="30" t="str">
        <f t="shared" si="2"/>
        <v>May</v>
      </c>
      <c r="E95" t="s">
        <v>391</v>
      </c>
      <c r="F95" t="s">
        <v>392</v>
      </c>
      <c r="G95" t="s">
        <v>365</v>
      </c>
      <c r="H95" t="s">
        <v>463</v>
      </c>
      <c r="I95">
        <v>0</v>
      </c>
      <c r="J95" s="43">
        <v>0</v>
      </c>
      <c r="K95" s="43">
        <v>4359.07</v>
      </c>
      <c r="L95" s="43">
        <f t="shared" si="3"/>
        <v>-4359.07</v>
      </c>
      <c r="M95" s="43">
        <v>1062</v>
      </c>
      <c r="N95" s="43">
        <v>0</v>
      </c>
      <c r="O95" s="43">
        <v>4359.07</v>
      </c>
      <c r="P95" t="s">
        <v>464</v>
      </c>
      <c r="Q95" t="s">
        <v>464</v>
      </c>
      <c r="R95">
        <v>9092</v>
      </c>
      <c r="S95" s="30">
        <v>45811</v>
      </c>
      <c r="T95" t="s">
        <v>377</v>
      </c>
      <c r="U95" t="s">
        <v>378</v>
      </c>
      <c r="V95" t="s">
        <v>465</v>
      </c>
      <c r="W95" t="s">
        <v>372</v>
      </c>
      <c r="X95" t="s">
        <v>369</v>
      </c>
      <c r="Y95" t="s">
        <v>40</v>
      </c>
    </row>
    <row r="96" spans="1:27">
      <c r="A96">
        <v>102224</v>
      </c>
      <c r="B96" t="s">
        <v>362</v>
      </c>
      <c r="C96" s="30">
        <v>45808</v>
      </c>
      <c r="D96" s="30" t="str">
        <f t="shared" si="2"/>
        <v>May</v>
      </c>
      <c r="E96" t="s">
        <v>370</v>
      </c>
      <c r="F96" t="s">
        <v>371</v>
      </c>
      <c r="G96" t="s">
        <v>365</v>
      </c>
      <c r="H96" t="s">
        <v>466</v>
      </c>
      <c r="I96">
        <v>0</v>
      </c>
      <c r="J96" s="43">
        <v>0</v>
      </c>
      <c r="K96" s="43">
        <v>197.33</v>
      </c>
      <c r="L96" s="43">
        <f t="shared" si="3"/>
        <v>-197.33</v>
      </c>
      <c r="M96">
        <v>1062</v>
      </c>
      <c r="N96" s="43">
        <v>0</v>
      </c>
      <c r="O96" s="43">
        <v>13207.57</v>
      </c>
      <c r="S96" s="30">
        <v>45811</v>
      </c>
      <c r="U96" t="s">
        <v>367</v>
      </c>
      <c r="V96" t="s">
        <v>467</v>
      </c>
      <c r="X96" t="s">
        <v>369</v>
      </c>
      <c r="Y96" t="s">
        <v>19</v>
      </c>
    </row>
    <row r="97" spans="1:25">
      <c r="A97">
        <v>102224</v>
      </c>
      <c r="B97" t="s">
        <v>362</v>
      </c>
      <c r="C97" s="30">
        <v>45808</v>
      </c>
      <c r="D97" s="30" t="str">
        <f t="shared" si="2"/>
        <v>May</v>
      </c>
      <c r="E97" t="s">
        <v>370</v>
      </c>
      <c r="F97" t="s">
        <v>371</v>
      </c>
      <c r="G97" t="s">
        <v>365</v>
      </c>
      <c r="H97" t="s">
        <v>466</v>
      </c>
      <c r="I97">
        <v>0</v>
      </c>
      <c r="J97" s="43">
        <v>0</v>
      </c>
      <c r="K97" s="43">
        <v>2417.33</v>
      </c>
      <c r="L97" s="43">
        <f t="shared" si="3"/>
        <v>-2417.33</v>
      </c>
      <c r="M97">
        <v>1062</v>
      </c>
      <c r="N97" s="43">
        <v>0</v>
      </c>
      <c r="O97" s="43">
        <v>13207.57</v>
      </c>
      <c r="S97" s="30">
        <v>45811</v>
      </c>
      <c r="U97" t="s">
        <v>367</v>
      </c>
      <c r="V97" t="s">
        <v>467</v>
      </c>
      <c r="X97" t="s">
        <v>369</v>
      </c>
      <c r="Y97" t="s">
        <v>19</v>
      </c>
    </row>
    <row r="98" spans="1:25">
      <c r="A98">
        <v>102224</v>
      </c>
      <c r="B98" t="s">
        <v>362</v>
      </c>
      <c r="C98" s="30">
        <v>45808</v>
      </c>
      <c r="D98" s="30" t="str">
        <f t="shared" si="2"/>
        <v>May</v>
      </c>
      <c r="E98" t="s">
        <v>370</v>
      </c>
      <c r="F98" t="s">
        <v>371</v>
      </c>
      <c r="G98" t="s">
        <v>365</v>
      </c>
      <c r="H98" t="s">
        <v>466</v>
      </c>
      <c r="I98">
        <v>0</v>
      </c>
      <c r="J98" s="43">
        <v>0</v>
      </c>
      <c r="K98" s="43">
        <v>714</v>
      </c>
      <c r="L98" s="43">
        <f t="shared" si="3"/>
        <v>-714</v>
      </c>
      <c r="M98">
        <v>1062</v>
      </c>
      <c r="N98" s="43">
        <v>0</v>
      </c>
      <c r="O98" s="43">
        <v>13207.57</v>
      </c>
      <c r="S98" s="30">
        <v>45811</v>
      </c>
      <c r="U98" t="s">
        <v>367</v>
      </c>
      <c r="V98" t="s">
        <v>467</v>
      </c>
      <c r="X98" t="s">
        <v>369</v>
      </c>
      <c r="Y98" t="s">
        <v>12</v>
      </c>
    </row>
    <row r="99" spans="1:25">
      <c r="A99">
        <v>102224</v>
      </c>
      <c r="B99" t="s">
        <v>362</v>
      </c>
      <c r="C99" s="30">
        <v>45808</v>
      </c>
      <c r="D99" s="30" t="str">
        <f t="shared" si="2"/>
        <v>May</v>
      </c>
      <c r="E99" t="s">
        <v>370</v>
      </c>
      <c r="F99" t="s">
        <v>371</v>
      </c>
      <c r="G99" t="s">
        <v>365</v>
      </c>
      <c r="H99" t="s">
        <v>466</v>
      </c>
      <c r="I99">
        <v>0</v>
      </c>
      <c r="J99" s="43">
        <v>0</v>
      </c>
      <c r="K99" s="43">
        <v>4356.24</v>
      </c>
      <c r="L99" s="43">
        <f t="shared" si="3"/>
        <v>-4356.24</v>
      </c>
      <c r="M99">
        <v>1062</v>
      </c>
      <c r="N99" s="43">
        <v>0</v>
      </c>
      <c r="O99" s="43">
        <v>13207.57</v>
      </c>
      <c r="S99" s="30">
        <v>45811</v>
      </c>
      <c r="U99" t="s">
        <v>367</v>
      </c>
      <c r="V99" t="s">
        <v>467</v>
      </c>
      <c r="X99" t="s">
        <v>369</v>
      </c>
      <c r="Y99" t="s">
        <v>12</v>
      </c>
    </row>
    <row r="100" spans="1:25">
      <c r="A100">
        <v>102224</v>
      </c>
      <c r="B100" t="s">
        <v>362</v>
      </c>
      <c r="C100" s="30">
        <v>45808</v>
      </c>
      <c r="D100" s="30" t="str">
        <f t="shared" si="2"/>
        <v>May</v>
      </c>
      <c r="E100" t="s">
        <v>370</v>
      </c>
      <c r="F100" t="s">
        <v>371</v>
      </c>
      <c r="G100" t="s">
        <v>365</v>
      </c>
      <c r="H100" t="s">
        <v>466</v>
      </c>
      <c r="I100">
        <v>0</v>
      </c>
      <c r="J100" s="43">
        <v>0</v>
      </c>
      <c r="K100" s="43">
        <v>986.67</v>
      </c>
      <c r="L100" s="43">
        <f t="shared" si="3"/>
        <v>-986.67</v>
      </c>
      <c r="M100">
        <v>1062</v>
      </c>
      <c r="N100" s="43">
        <v>0</v>
      </c>
      <c r="O100" s="43">
        <v>13207.57</v>
      </c>
      <c r="S100" s="30">
        <v>45811</v>
      </c>
      <c r="U100" t="s">
        <v>367</v>
      </c>
      <c r="V100" t="s">
        <v>467</v>
      </c>
      <c r="X100" t="s">
        <v>369</v>
      </c>
      <c r="Y100" t="s">
        <v>30</v>
      </c>
    </row>
    <row r="101" spans="1:25">
      <c r="A101">
        <v>102193</v>
      </c>
      <c r="B101" t="s">
        <v>372</v>
      </c>
      <c r="C101" s="30">
        <v>45808</v>
      </c>
      <c r="D101" s="30" t="str">
        <f t="shared" si="2"/>
        <v>May</v>
      </c>
      <c r="E101" t="s">
        <v>373</v>
      </c>
      <c r="F101" t="s">
        <v>374</v>
      </c>
      <c r="G101" t="s">
        <v>365</v>
      </c>
      <c r="H101" t="s">
        <v>468</v>
      </c>
      <c r="I101">
        <v>0</v>
      </c>
      <c r="J101" s="43">
        <v>0</v>
      </c>
      <c r="K101" s="43">
        <v>10360</v>
      </c>
      <c r="L101" s="43">
        <f t="shared" si="3"/>
        <v>-10360</v>
      </c>
      <c r="M101" s="43">
        <v>1062</v>
      </c>
      <c r="N101" s="43">
        <v>0</v>
      </c>
      <c r="O101" s="43">
        <v>10360</v>
      </c>
      <c r="P101" t="s">
        <v>469</v>
      </c>
      <c r="Q101" t="s">
        <v>469</v>
      </c>
      <c r="R101">
        <v>892</v>
      </c>
      <c r="S101" s="30">
        <v>45810</v>
      </c>
      <c r="T101" t="s">
        <v>377</v>
      </c>
      <c r="U101" t="s">
        <v>378</v>
      </c>
      <c r="V101" t="s">
        <v>470</v>
      </c>
      <c r="W101" t="s">
        <v>469</v>
      </c>
      <c r="X101" t="s">
        <v>369</v>
      </c>
      <c r="Y101" t="s">
        <v>17</v>
      </c>
    </row>
    <row r="102" spans="1:25">
      <c r="A102">
        <v>102194</v>
      </c>
      <c r="B102" t="s">
        <v>372</v>
      </c>
      <c r="C102" s="30">
        <v>45808</v>
      </c>
      <c r="D102" s="30" t="str">
        <f t="shared" si="2"/>
        <v>May</v>
      </c>
      <c r="E102" t="s">
        <v>373</v>
      </c>
      <c r="F102" t="s">
        <v>374</v>
      </c>
      <c r="G102" t="s">
        <v>365</v>
      </c>
      <c r="H102" t="s">
        <v>471</v>
      </c>
      <c r="I102">
        <v>0</v>
      </c>
      <c r="J102" s="43">
        <v>0</v>
      </c>
      <c r="K102" s="43">
        <v>8140</v>
      </c>
      <c r="L102" s="43">
        <f t="shared" si="3"/>
        <v>-8140</v>
      </c>
      <c r="M102" s="43">
        <v>1062</v>
      </c>
      <c r="N102" s="43">
        <v>0</v>
      </c>
      <c r="O102" s="43">
        <v>8140</v>
      </c>
      <c r="P102" t="s">
        <v>472</v>
      </c>
      <c r="Q102" t="s">
        <v>472</v>
      </c>
      <c r="R102">
        <v>892</v>
      </c>
      <c r="S102" s="30">
        <v>45810</v>
      </c>
      <c r="T102" t="s">
        <v>377</v>
      </c>
      <c r="U102" t="s">
        <v>378</v>
      </c>
      <c r="V102" t="s">
        <v>470</v>
      </c>
      <c r="W102" t="s">
        <v>472</v>
      </c>
      <c r="X102" t="s">
        <v>369</v>
      </c>
      <c r="Y102" t="s">
        <v>17</v>
      </c>
    </row>
    <row r="103" spans="1:25">
      <c r="A103">
        <v>102224</v>
      </c>
      <c r="B103" t="s">
        <v>362</v>
      </c>
      <c r="C103" s="30">
        <v>45808</v>
      </c>
      <c r="D103" s="30" t="str">
        <f t="shared" si="2"/>
        <v>May</v>
      </c>
      <c r="E103" t="s">
        <v>370</v>
      </c>
      <c r="F103" t="s">
        <v>371</v>
      </c>
      <c r="G103" t="s">
        <v>365</v>
      </c>
      <c r="H103" t="s">
        <v>466</v>
      </c>
      <c r="I103">
        <v>0</v>
      </c>
      <c r="J103" s="43">
        <v>0</v>
      </c>
      <c r="K103" s="43">
        <v>4536</v>
      </c>
      <c r="L103" s="43">
        <f t="shared" si="3"/>
        <v>-4536</v>
      </c>
      <c r="M103">
        <v>1062</v>
      </c>
      <c r="N103" s="43">
        <v>0</v>
      </c>
      <c r="O103" s="43">
        <v>13207.57</v>
      </c>
      <c r="S103" s="30">
        <v>45811</v>
      </c>
      <c r="U103" t="s">
        <v>367</v>
      </c>
      <c r="V103" t="s">
        <v>467</v>
      </c>
      <c r="X103" t="s">
        <v>369</v>
      </c>
      <c r="Y103" s="1" t="s">
        <v>14</v>
      </c>
    </row>
    <row r="104" spans="1:25">
      <c r="A104">
        <v>102224</v>
      </c>
      <c r="B104" t="s">
        <v>362</v>
      </c>
      <c r="C104" s="30">
        <v>45809</v>
      </c>
      <c r="D104" s="30" t="str">
        <f t="shared" si="2"/>
        <v>June</v>
      </c>
      <c r="E104" t="s">
        <v>370</v>
      </c>
      <c r="F104" t="s">
        <v>371</v>
      </c>
      <c r="G104" t="s">
        <v>365</v>
      </c>
      <c r="H104" t="s">
        <v>466</v>
      </c>
      <c r="I104">
        <v>0</v>
      </c>
      <c r="J104" s="43">
        <v>197.33</v>
      </c>
      <c r="K104" s="43">
        <v>0</v>
      </c>
      <c r="L104" s="43">
        <f t="shared" si="3"/>
        <v>197.33</v>
      </c>
      <c r="M104">
        <v>1062</v>
      </c>
      <c r="N104" s="43">
        <v>0</v>
      </c>
      <c r="O104" s="43">
        <v>13207.57</v>
      </c>
      <c r="S104" s="30">
        <v>45811</v>
      </c>
      <c r="U104" t="s">
        <v>367</v>
      </c>
      <c r="V104" t="s">
        <v>467</v>
      </c>
      <c r="X104" t="s">
        <v>369</v>
      </c>
      <c r="Y104" t="s">
        <v>19</v>
      </c>
    </row>
    <row r="105" spans="1:25">
      <c r="A105">
        <v>102224</v>
      </c>
      <c r="B105" t="s">
        <v>362</v>
      </c>
      <c r="C105" s="30">
        <v>45809</v>
      </c>
      <c r="D105" s="30" t="str">
        <f t="shared" si="2"/>
        <v>June</v>
      </c>
      <c r="E105" t="s">
        <v>370</v>
      </c>
      <c r="F105" t="s">
        <v>371</v>
      </c>
      <c r="G105" t="s">
        <v>365</v>
      </c>
      <c r="H105" t="s">
        <v>466</v>
      </c>
      <c r="I105">
        <v>0</v>
      </c>
      <c r="J105" s="43">
        <v>2417.33</v>
      </c>
      <c r="K105" s="43">
        <v>0</v>
      </c>
      <c r="L105" s="43">
        <f t="shared" si="3"/>
        <v>2417.33</v>
      </c>
      <c r="M105">
        <v>1062</v>
      </c>
      <c r="N105" s="43">
        <v>0</v>
      </c>
      <c r="O105" s="43">
        <v>13207.57</v>
      </c>
      <c r="S105" s="30">
        <v>45811</v>
      </c>
      <c r="U105" t="s">
        <v>367</v>
      </c>
      <c r="V105" t="s">
        <v>467</v>
      </c>
      <c r="X105" t="s">
        <v>369</v>
      </c>
      <c r="Y105" t="s">
        <v>19</v>
      </c>
    </row>
    <row r="106" spans="1:25">
      <c r="A106">
        <v>102224</v>
      </c>
      <c r="B106" t="s">
        <v>362</v>
      </c>
      <c r="C106" s="30">
        <v>45809</v>
      </c>
      <c r="D106" s="30" t="str">
        <f t="shared" si="2"/>
        <v>June</v>
      </c>
      <c r="E106" t="s">
        <v>370</v>
      </c>
      <c r="F106" t="s">
        <v>371</v>
      </c>
      <c r="G106" t="s">
        <v>365</v>
      </c>
      <c r="H106" t="s">
        <v>466</v>
      </c>
      <c r="I106">
        <v>0</v>
      </c>
      <c r="J106" s="43">
        <v>714</v>
      </c>
      <c r="K106" s="43">
        <v>0</v>
      </c>
      <c r="L106" s="43">
        <f t="shared" si="3"/>
        <v>714</v>
      </c>
      <c r="M106">
        <v>1062</v>
      </c>
      <c r="N106" s="43">
        <v>0</v>
      </c>
      <c r="O106" s="43">
        <v>13207.57</v>
      </c>
      <c r="S106" s="30">
        <v>45811</v>
      </c>
      <c r="U106" t="s">
        <v>367</v>
      </c>
      <c r="V106" t="s">
        <v>467</v>
      </c>
      <c r="X106" t="s">
        <v>369</v>
      </c>
      <c r="Y106" t="s">
        <v>12</v>
      </c>
    </row>
    <row r="107" spans="1:25">
      <c r="A107">
        <v>102224</v>
      </c>
      <c r="B107" t="s">
        <v>362</v>
      </c>
      <c r="C107" s="30">
        <v>45809</v>
      </c>
      <c r="D107" s="30" t="str">
        <f t="shared" si="2"/>
        <v>June</v>
      </c>
      <c r="E107" t="s">
        <v>370</v>
      </c>
      <c r="F107" t="s">
        <v>371</v>
      </c>
      <c r="G107" t="s">
        <v>365</v>
      </c>
      <c r="H107" t="s">
        <v>466</v>
      </c>
      <c r="I107">
        <v>0</v>
      </c>
      <c r="J107" s="43">
        <v>4356.24</v>
      </c>
      <c r="K107" s="43">
        <v>0</v>
      </c>
      <c r="L107" s="43">
        <f t="shared" si="3"/>
        <v>4356.24</v>
      </c>
      <c r="M107">
        <v>1062</v>
      </c>
      <c r="N107" s="43">
        <v>0</v>
      </c>
      <c r="O107" s="43">
        <v>13207.57</v>
      </c>
      <c r="S107" s="30">
        <v>45811</v>
      </c>
      <c r="U107" t="s">
        <v>367</v>
      </c>
      <c r="V107" t="s">
        <v>467</v>
      </c>
      <c r="X107" t="s">
        <v>369</v>
      </c>
      <c r="Y107" t="s">
        <v>12</v>
      </c>
    </row>
    <row r="108" spans="1:25">
      <c r="A108">
        <v>102224</v>
      </c>
      <c r="B108" t="s">
        <v>362</v>
      </c>
      <c r="C108" s="30">
        <v>45809</v>
      </c>
      <c r="D108" s="30" t="str">
        <f t="shared" si="2"/>
        <v>June</v>
      </c>
      <c r="E108" t="s">
        <v>370</v>
      </c>
      <c r="F108" t="s">
        <v>371</v>
      </c>
      <c r="G108" t="s">
        <v>365</v>
      </c>
      <c r="H108" t="s">
        <v>466</v>
      </c>
      <c r="I108">
        <v>0</v>
      </c>
      <c r="J108" s="43">
        <v>986.67</v>
      </c>
      <c r="K108" s="43">
        <v>0</v>
      </c>
      <c r="L108" s="43">
        <f t="shared" si="3"/>
        <v>986.67</v>
      </c>
      <c r="M108">
        <v>1062</v>
      </c>
      <c r="N108" s="43">
        <v>0</v>
      </c>
      <c r="O108" s="43">
        <v>13207.57</v>
      </c>
      <c r="S108" s="30">
        <v>45811</v>
      </c>
      <c r="U108" t="s">
        <v>367</v>
      </c>
      <c r="V108" t="s">
        <v>467</v>
      </c>
      <c r="X108" t="s">
        <v>369</v>
      </c>
      <c r="Y108" t="s">
        <v>30</v>
      </c>
    </row>
    <row r="109" spans="1:25">
      <c r="A109">
        <v>102224</v>
      </c>
      <c r="B109" t="s">
        <v>362</v>
      </c>
      <c r="C109" s="30">
        <v>45809</v>
      </c>
      <c r="D109" s="30" t="str">
        <f t="shared" si="2"/>
        <v>June</v>
      </c>
      <c r="E109" t="s">
        <v>370</v>
      </c>
      <c r="F109" t="s">
        <v>371</v>
      </c>
      <c r="G109" t="s">
        <v>365</v>
      </c>
      <c r="H109" t="s">
        <v>466</v>
      </c>
      <c r="I109">
        <v>0</v>
      </c>
      <c r="J109" s="43">
        <v>4536</v>
      </c>
      <c r="K109" s="43">
        <v>0</v>
      </c>
      <c r="L109" s="43">
        <f t="shared" si="3"/>
        <v>4536</v>
      </c>
      <c r="M109">
        <v>1062</v>
      </c>
      <c r="N109" s="43">
        <v>0</v>
      </c>
      <c r="O109" s="43">
        <v>13207.57</v>
      </c>
      <c r="S109" s="30">
        <v>45811</v>
      </c>
      <c r="U109" t="s">
        <v>367</v>
      </c>
      <c r="V109" t="s">
        <v>467</v>
      </c>
      <c r="X109" t="s">
        <v>369</v>
      </c>
      <c r="Y109" s="1" t="s">
        <v>14</v>
      </c>
    </row>
    <row r="110" spans="1:25">
      <c r="A110">
        <v>102391</v>
      </c>
      <c r="B110" t="s">
        <v>372</v>
      </c>
      <c r="C110" s="30">
        <v>45817</v>
      </c>
      <c r="D110" s="30" t="str">
        <f t="shared" si="2"/>
        <v>June</v>
      </c>
      <c r="E110" t="s">
        <v>373</v>
      </c>
      <c r="F110" t="s">
        <v>374</v>
      </c>
      <c r="G110" t="s">
        <v>365</v>
      </c>
      <c r="H110" t="s">
        <v>473</v>
      </c>
      <c r="I110">
        <v>0</v>
      </c>
      <c r="J110" s="43">
        <v>0</v>
      </c>
      <c r="K110" s="43">
        <v>991.6</v>
      </c>
      <c r="L110" s="43">
        <f t="shared" si="3"/>
        <v>-991.6</v>
      </c>
      <c r="M110">
        <v>1062</v>
      </c>
      <c r="N110" s="43">
        <v>0</v>
      </c>
      <c r="O110" s="43">
        <v>991.6</v>
      </c>
      <c r="P110" t="s">
        <v>474</v>
      </c>
      <c r="Q110" t="s">
        <v>474</v>
      </c>
      <c r="R110">
        <v>4117</v>
      </c>
      <c r="S110" s="30">
        <v>45835</v>
      </c>
      <c r="T110" t="s">
        <v>377</v>
      </c>
      <c r="U110" t="s">
        <v>378</v>
      </c>
      <c r="V110" t="s">
        <v>475</v>
      </c>
      <c r="W110" t="s">
        <v>474</v>
      </c>
      <c r="X110" t="s">
        <v>369</v>
      </c>
      <c r="Y110" t="s">
        <v>19</v>
      </c>
    </row>
    <row r="111" spans="1:25">
      <c r="A111">
        <v>102394</v>
      </c>
      <c r="B111" t="s">
        <v>372</v>
      </c>
      <c r="C111" s="30">
        <v>45832</v>
      </c>
      <c r="D111" s="30" t="str">
        <f t="shared" si="2"/>
        <v>June</v>
      </c>
      <c r="E111" t="s">
        <v>373</v>
      </c>
      <c r="F111" t="s">
        <v>374</v>
      </c>
      <c r="G111" t="s">
        <v>365</v>
      </c>
      <c r="H111" t="s">
        <v>476</v>
      </c>
      <c r="I111">
        <v>0</v>
      </c>
      <c r="J111" s="43">
        <v>0</v>
      </c>
      <c r="K111" s="43">
        <v>4662</v>
      </c>
      <c r="L111" s="43">
        <f t="shared" si="3"/>
        <v>-4662</v>
      </c>
      <c r="M111">
        <v>1062</v>
      </c>
      <c r="N111" s="43">
        <v>0</v>
      </c>
      <c r="O111" s="43">
        <v>4662</v>
      </c>
      <c r="P111" t="s">
        <v>477</v>
      </c>
      <c r="Q111" t="s">
        <v>477</v>
      </c>
      <c r="R111">
        <v>4067</v>
      </c>
      <c r="S111" s="30">
        <v>45835</v>
      </c>
      <c r="T111" t="s">
        <v>377</v>
      </c>
      <c r="U111" t="s">
        <v>378</v>
      </c>
      <c r="V111" t="s">
        <v>475</v>
      </c>
      <c r="W111" t="s">
        <v>477</v>
      </c>
      <c r="X111" t="s">
        <v>369</v>
      </c>
      <c r="Y111" t="s">
        <v>12</v>
      </c>
    </row>
    <row r="112" spans="1:25">
      <c r="A112">
        <v>102395</v>
      </c>
      <c r="B112" t="s">
        <v>372</v>
      </c>
      <c r="C112" s="30">
        <v>45832</v>
      </c>
      <c r="D112" s="30" t="str">
        <f t="shared" si="2"/>
        <v>June</v>
      </c>
      <c r="E112" t="s">
        <v>373</v>
      </c>
      <c r="F112" t="s">
        <v>374</v>
      </c>
      <c r="G112" t="s">
        <v>365</v>
      </c>
      <c r="H112" t="s">
        <v>478</v>
      </c>
      <c r="I112">
        <v>0</v>
      </c>
      <c r="J112" s="43">
        <v>0</v>
      </c>
      <c r="K112" s="43">
        <v>919.8</v>
      </c>
      <c r="L112" s="43">
        <f t="shared" si="3"/>
        <v>-919.8</v>
      </c>
      <c r="M112">
        <v>1062</v>
      </c>
      <c r="N112" s="43">
        <v>0</v>
      </c>
      <c r="O112" s="43">
        <v>919.8</v>
      </c>
      <c r="P112" t="s">
        <v>479</v>
      </c>
      <c r="Q112" t="s">
        <v>479</v>
      </c>
      <c r="R112">
        <v>4067</v>
      </c>
      <c r="S112" s="30">
        <v>45835</v>
      </c>
      <c r="T112" t="s">
        <v>377</v>
      </c>
      <c r="U112" t="s">
        <v>378</v>
      </c>
      <c r="V112" t="s">
        <v>475</v>
      </c>
      <c r="W112" t="s">
        <v>479</v>
      </c>
      <c r="X112" t="s">
        <v>369</v>
      </c>
      <c r="Y112" t="s">
        <v>12</v>
      </c>
    </row>
    <row r="113" spans="1:25">
      <c r="A113">
        <v>102396</v>
      </c>
      <c r="B113" t="s">
        <v>372</v>
      </c>
      <c r="C113" s="30">
        <v>45832</v>
      </c>
      <c r="D113" s="30" t="str">
        <f t="shared" si="2"/>
        <v>June</v>
      </c>
      <c r="E113" t="s">
        <v>373</v>
      </c>
      <c r="F113" t="s">
        <v>374</v>
      </c>
      <c r="G113" t="s">
        <v>365</v>
      </c>
      <c r="H113" t="s">
        <v>480</v>
      </c>
      <c r="I113">
        <v>0</v>
      </c>
      <c r="J113" s="43">
        <v>0</v>
      </c>
      <c r="K113" s="43">
        <v>1480</v>
      </c>
      <c r="L113" s="43">
        <f t="shared" si="3"/>
        <v>-1480</v>
      </c>
      <c r="M113">
        <v>1062</v>
      </c>
      <c r="N113" s="43">
        <v>0</v>
      </c>
      <c r="O113" s="43">
        <v>1480</v>
      </c>
      <c r="P113" t="s">
        <v>481</v>
      </c>
      <c r="Q113" t="s">
        <v>481</v>
      </c>
      <c r="R113">
        <v>892</v>
      </c>
      <c r="S113" s="30">
        <v>45835</v>
      </c>
      <c r="T113" t="s">
        <v>377</v>
      </c>
      <c r="U113" t="s">
        <v>378</v>
      </c>
      <c r="V113" t="s">
        <v>475</v>
      </c>
      <c r="W113" t="s">
        <v>481</v>
      </c>
      <c r="X113" t="s">
        <v>369</v>
      </c>
      <c r="Y113" t="s">
        <v>17</v>
      </c>
    </row>
    <row r="114" spans="1:25">
      <c r="A114">
        <v>102397</v>
      </c>
      <c r="B114" t="s">
        <v>372</v>
      </c>
      <c r="C114" s="30">
        <v>45833</v>
      </c>
      <c r="D114" s="30" t="str">
        <f t="shared" si="2"/>
        <v>June</v>
      </c>
      <c r="E114" t="s">
        <v>373</v>
      </c>
      <c r="F114" t="s">
        <v>374</v>
      </c>
      <c r="G114" t="s">
        <v>365</v>
      </c>
      <c r="H114" t="s">
        <v>482</v>
      </c>
      <c r="I114">
        <v>0</v>
      </c>
      <c r="J114" s="43">
        <v>0</v>
      </c>
      <c r="K114" s="43">
        <v>2368</v>
      </c>
      <c r="L114" s="43">
        <f t="shared" si="3"/>
        <v>-2368</v>
      </c>
      <c r="M114">
        <v>1062</v>
      </c>
      <c r="N114" s="43">
        <v>0</v>
      </c>
      <c r="O114" s="43">
        <v>2368</v>
      </c>
      <c r="P114" t="s">
        <v>483</v>
      </c>
      <c r="Q114" t="s">
        <v>483</v>
      </c>
      <c r="R114">
        <v>4117</v>
      </c>
      <c r="S114" s="30">
        <v>45835</v>
      </c>
      <c r="T114" t="s">
        <v>377</v>
      </c>
      <c r="U114" t="s">
        <v>378</v>
      </c>
      <c r="V114" t="s">
        <v>475</v>
      </c>
      <c r="W114" t="s">
        <v>483</v>
      </c>
      <c r="X114" t="s">
        <v>369</v>
      </c>
      <c r="Y114" t="s">
        <v>19</v>
      </c>
    </row>
    <row r="115" spans="1:25">
      <c r="A115">
        <v>102398</v>
      </c>
      <c r="B115" t="s">
        <v>372</v>
      </c>
      <c r="C115" s="30">
        <v>45833</v>
      </c>
      <c r="D115" s="30" t="str">
        <f t="shared" si="2"/>
        <v>June</v>
      </c>
      <c r="E115" t="s">
        <v>373</v>
      </c>
      <c r="F115" t="s">
        <v>374</v>
      </c>
      <c r="G115" t="s">
        <v>365</v>
      </c>
      <c r="H115" t="s">
        <v>484</v>
      </c>
      <c r="I115">
        <v>0</v>
      </c>
      <c r="J115" s="43">
        <v>0</v>
      </c>
      <c r="K115" s="43">
        <v>1096.2</v>
      </c>
      <c r="L115" s="43">
        <f t="shared" si="3"/>
        <v>-1096.2</v>
      </c>
      <c r="M115">
        <v>1062</v>
      </c>
      <c r="N115" s="43">
        <v>0</v>
      </c>
      <c r="O115" s="43">
        <v>1096.2</v>
      </c>
      <c r="P115" t="s">
        <v>485</v>
      </c>
      <c r="Q115" t="s">
        <v>485</v>
      </c>
      <c r="R115">
        <v>4135</v>
      </c>
      <c r="S115" s="30">
        <v>45835</v>
      </c>
      <c r="T115" t="s">
        <v>377</v>
      </c>
      <c r="U115" t="s">
        <v>378</v>
      </c>
      <c r="V115" t="s">
        <v>475</v>
      </c>
      <c r="W115" t="s">
        <v>485</v>
      </c>
      <c r="X115" t="s">
        <v>369</v>
      </c>
      <c r="Y115" s="1" t="s">
        <v>14</v>
      </c>
    </row>
    <row r="116" spans="1:25">
      <c r="A116">
        <v>102435</v>
      </c>
      <c r="B116" t="s">
        <v>372</v>
      </c>
      <c r="C116" s="30">
        <v>45833</v>
      </c>
      <c r="D116" s="30" t="str">
        <f t="shared" si="2"/>
        <v>June</v>
      </c>
      <c r="E116" t="s">
        <v>391</v>
      </c>
      <c r="F116" t="s">
        <v>392</v>
      </c>
      <c r="G116" t="s">
        <v>365</v>
      </c>
      <c r="H116" t="s">
        <v>486</v>
      </c>
      <c r="I116">
        <v>0</v>
      </c>
      <c r="J116" s="43">
        <v>0</v>
      </c>
      <c r="K116" s="43">
        <v>4153.7299999999996</v>
      </c>
      <c r="L116" s="43">
        <f t="shared" si="3"/>
        <v>-4153.7299999999996</v>
      </c>
      <c r="M116">
        <v>1062</v>
      </c>
      <c r="N116" s="43">
        <v>0</v>
      </c>
      <c r="O116" s="43">
        <v>4153.7299999999996</v>
      </c>
      <c r="P116" t="s">
        <v>487</v>
      </c>
      <c r="Q116" t="s">
        <v>487</v>
      </c>
      <c r="R116">
        <v>9995</v>
      </c>
      <c r="S116" s="30">
        <v>45839</v>
      </c>
      <c r="T116" t="s">
        <v>377</v>
      </c>
      <c r="U116" t="s">
        <v>378</v>
      </c>
      <c r="V116" t="s">
        <v>488</v>
      </c>
      <c r="W116" t="s">
        <v>372</v>
      </c>
      <c r="X116" t="s">
        <v>369</v>
      </c>
      <c r="Y116" s="1" t="s">
        <v>13</v>
      </c>
    </row>
    <row r="117" spans="1:25">
      <c r="A117">
        <v>102432</v>
      </c>
      <c r="B117" t="s">
        <v>372</v>
      </c>
      <c r="C117" s="30">
        <v>45835</v>
      </c>
      <c r="D117" s="30" t="str">
        <f t="shared" si="2"/>
        <v>June</v>
      </c>
      <c r="E117" t="s">
        <v>373</v>
      </c>
      <c r="F117" t="s">
        <v>374</v>
      </c>
      <c r="G117" t="s">
        <v>365</v>
      </c>
      <c r="H117" t="s">
        <v>489</v>
      </c>
      <c r="I117">
        <v>0</v>
      </c>
      <c r="J117" s="43">
        <v>0</v>
      </c>
      <c r="K117" s="43">
        <v>1287.5999999999999</v>
      </c>
      <c r="L117" s="43">
        <f t="shared" si="3"/>
        <v>-1287.5999999999999</v>
      </c>
      <c r="M117">
        <v>1062</v>
      </c>
      <c r="N117" s="43">
        <v>0</v>
      </c>
      <c r="O117" s="43">
        <v>1287.5999999999999</v>
      </c>
      <c r="P117" t="s">
        <v>490</v>
      </c>
      <c r="Q117" t="s">
        <v>490</v>
      </c>
      <c r="R117">
        <v>9098</v>
      </c>
      <c r="S117" s="30">
        <v>45839</v>
      </c>
      <c r="T117" t="s">
        <v>377</v>
      </c>
      <c r="U117" t="s">
        <v>378</v>
      </c>
      <c r="V117" t="s">
        <v>491</v>
      </c>
      <c r="W117" t="s">
        <v>490</v>
      </c>
      <c r="X117" t="s">
        <v>369</v>
      </c>
      <c r="Y117" s="1" t="s">
        <v>39</v>
      </c>
    </row>
    <row r="118" spans="1:25">
      <c r="A118">
        <v>102476</v>
      </c>
      <c r="B118" t="s">
        <v>362</v>
      </c>
      <c r="C118" s="30">
        <v>45838</v>
      </c>
      <c r="D118" s="30" t="str">
        <f t="shared" si="2"/>
        <v>June</v>
      </c>
      <c r="E118" t="s">
        <v>370</v>
      </c>
      <c r="F118" t="s">
        <v>371</v>
      </c>
      <c r="G118" t="s">
        <v>365</v>
      </c>
      <c r="H118" t="s">
        <v>492</v>
      </c>
      <c r="I118">
        <v>0</v>
      </c>
      <c r="J118" s="43">
        <v>0</v>
      </c>
      <c r="K118" s="43">
        <v>3236.27</v>
      </c>
      <c r="L118" s="43">
        <f t="shared" si="3"/>
        <v>-3236.27</v>
      </c>
      <c r="M118">
        <v>1062</v>
      </c>
      <c r="N118" s="43">
        <v>0</v>
      </c>
      <c r="O118" s="43">
        <v>17184.13</v>
      </c>
      <c r="S118" s="30">
        <v>45841</v>
      </c>
      <c r="U118" t="s">
        <v>367</v>
      </c>
      <c r="V118" t="s">
        <v>493</v>
      </c>
      <c r="X118" t="s">
        <v>369</v>
      </c>
      <c r="Y118" t="s">
        <v>21</v>
      </c>
    </row>
    <row r="119" spans="1:25">
      <c r="A119">
        <v>102465</v>
      </c>
      <c r="B119" t="s">
        <v>372</v>
      </c>
      <c r="C119" s="30">
        <v>45838</v>
      </c>
      <c r="D119" s="30" t="str">
        <f t="shared" si="2"/>
        <v>June</v>
      </c>
      <c r="E119" t="s">
        <v>373</v>
      </c>
      <c r="F119" t="s">
        <v>374</v>
      </c>
      <c r="G119" t="s">
        <v>365</v>
      </c>
      <c r="H119" t="s">
        <v>494</v>
      </c>
      <c r="I119">
        <v>0</v>
      </c>
      <c r="J119" s="43">
        <v>0</v>
      </c>
      <c r="K119" s="43">
        <v>2520</v>
      </c>
      <c r="L119" s="43">
        <f t="shared" si="3"/>
        <v>-2520</v>
      </c>
      <c r="M119">
        <v>1062</v>
      </c>
      <c r="N119" s="43">
        <v>0</v>
      </c>
      <c r="O119" s="43">
        <v>2520</v>
      </c>
      <c r="P119" t="s">
        <v>495</v>
      </c>
      <c r="Q119" t="s">
        <v>495</v>
      </c>
      <c r="R119">
        <v>4067</v>
      </c>
      <c r="S119" s="30">
        <v>45841</v>
      </c>
      <c r="T119" t="s">
        <v>377</v>
      </c>
      <c r="U119" t="s">
        <v>378</v>
      </c>
      <c r="V119" t="s">
        <v>496</v>
      </c>
      <c r="W119" t="s">
        <v>495</v>
      </c>
      <c r="X119" t="s">
        <v>369</v>
      </c>
      <c r="Y119" t="s">
        <v>12</v>
      </c>
    </row>
    <row r="120" spans="1:25">
      <c r="A120">
        <v>102476</v>
      </c>
      <c r="B120" t="s">
        <v>362</v>
      </c>
      <c r="C120" s="30">
        <v>45838</v>
      </c>
      <c r="D120" s="30" t="str">
        <f t="shared" si="2"/>
        <v>June</v>
      </c>
      <c r="E120" t="s">
        <v>370</v>
      </c>
      <c r="F120" t="s">
        <v>371</v>
      </c>
      <c r="G120" t="s">
        <v>365</v>
      </c>
      <c r="H120" t="s">
        <v>492</v>
      </c>
      <c r="I120">
        <v>0</v>
      </c>
      <c r="J120" s="43">
        <v>0</v>
      </c>
      <c r="K120" s="43">
        <v>3388.56</v>
      </c>
      <c r="L120" s="43">
        <f t="shared" si="3"/>
        <v>-3388.56</v>
      </c>
      <c r="M120">
        <v>1062</v>
      </c>
      <c r="N120" s="43">
        <v>0</v>
      </c>
      <c r="O120" s="43">
        <v>17184.13</v>
      </c>
      <c r="S120" s="30">
        <v>45841</v>
      </c>
      <c r="U120" t="s">
        <v>367</v>
      </c>
      <c r="V120" t="s">
        <v>493</v>
      </c>
      <c r="X120" t="s">
        <v>369</v>
      </c>
      <c r="Y120" t="s">
        <v>12</v>
      </c>
    </row>
    <row r="121" spans="1:25">
      <c r="A121">
        <v>102476</v>
      </c>
      <c r="B121" t="s">
        <v>362</v>
      </c>
      <c r="C121" s="30">
        <v>45838</v>
      </c>
      <c r="D121" s="30" t="str">
        <f t="shared" si="2"/>
        <v>June</v>
      </c>
      <c r="E121" t="s">
        <v>370</v>
      </c>
      <c r="F121" t="s">
        <v>371</v>
      </c>
      <c r="G121" t="s">
        <v>365</v>
      </c>
      <c r="H121" t="s">
        <v>492</v>
      </c>
      <c r="I121">
        <v>0</v>
      </c>
      <c r="J121" s="43">
        <v>0</v>
      </c>
      <c r="K121" s="43">
        <v>986.67</v>
      </c>
      <c r="L121" s="43">
        <f t="shared" si="3"/>
        <v>-986.67</v>
      </c>
      <c r="M121">
        <v>1062</v>
      </c>
      <c r="N121" s="43">
        <v>0</v>
      </c>
      <c r="O121" s="43">
        <v>17184.13</v>
      </c>
      <c r="S121" s="30">
        <v>45841</v>
      </c>
      <c r="U121" t="s">
        <v>367</v>
      </c>
      <c r="V121" t="s">
        <v>493</v>
      </c>
      <c r="X121" t="s">
        <v>369</v>
      </c>
      <c r="Y121" s="1" t="s">
        <v>30</v>
      </c>
    </row>
    <row r="122" spans="1:25">
      <c r="A122">
        <v>102471</v>
      </c>
      <c r="B122" t="s">
        <v>372</v>
      </c>
      <c r="C122" s="30">
        <v>45838</v>
      </c>
      <c r="D122" s="30" t="str">
        <f t="shared" si="2"/>
        <v>June</v>
      </c>
      <c r="E122" t="s">
        <v>373</v>
      </c>
      <c r="F122" t="s">
        <v>374</v>
      </c>
      <c r="G122" t="s">
        <v>365</v>
      </c>
      <c r="H122" t="s">
        <v>497</v>
      </c>
      <c r="I122">
        <v>0</v>
      </c>
      <c r="J122" s="43">
        <v>0</v>
      </c>
      <c r="K122" s="43">
        <v>592</v>
      </c>
      <c r="L122" s="43">
        <f t="shared" si="3"/>
        <v>-592</v>
      </c>
      <c r="M122">
        <v>1062</v>
      </c>
      <c r="N122" s="43">
        <v>0</v>
      </c>
      <c r="O122" s="43">
        <v>592</v>
      </c>
      <c r="P122" t="s">
        <v>498</v>
      </c>
      <c r="Q122" t="s">
        <v>498</v>
      </c>
      <c r="R122">
        <v>892</v>
      </c>
      <c r="S122" s="30">
        <v>45841</v>
      </c>
      <c r="T122" t="s">
        <v>377</v>
      </c>
      <c r="U122" t="s">
        <v>378</v>
      </c>
      <c r="V122" t="s">
        <v>499</v>
      </c>
      <c r="W122" t="s">
        <v>372</v>
      </c>
      <c r="X122" t="s">
        <v>369</v>
      </c>
      <c r="Y122" t="s">
        <v>17</v>
      </c>
    </row>
    <row r="123" spans="1:25">
      <c r="A123">
        <v>102464</v>
      </c>
      <c r="B123" t="s">
        <v>372</v>
      </c>
      <c r="C123" s="30">
        <v>45838</v>
      </c>
      <c r="D123" s="30" t="str">
        <f t="shared" si="2"/>
        <v>June</v>
      </c>
      <c r="E123" t="s">
        <v>373</v>
      </c>
      <c r="F123" t="s">
        <v>374</v>
      </c>
      <c r="G123" t="s">
        <v>365</v>
      </c>
      <c r="H123" t="s">
        <v>500</v>
      </c>
      <c r="I123">
        <v>0</v>
      </c>
      <c r="J123" s="43">
        <v>0</v>
      </c>
      <c r="K123" s="43">
        <v>2835</v>
      </c>
      <c r="L123" s="43">
        <f t="shared" si="3"/>
        <v>-2835</v>
      </c>
      <c r="M123">
        <v>1062</v>
      </c>
      <c r="N123" s="43">
        <v>0</v>
      </c>
      <c r="O123" s="43">
        <v>2835</v>
      </c>
      <c r="P123" t="s">
        <v>501</v>
      </c>
      <c r="Q123" t="s">
        <v>501</v>
      </c>
      <c r="R123">
        <v>4135</v>
      </c>
      <c r="S123" s="30">
        <v>45841</v>
      </c>
      <c r="T123" t="s">
        <v>377</v>
      </c>
      <c r="U123" t="s">
        <v>378</v>
      </c>
      <c r="V123" t="s">
        <v>496</v>
      </c>
      <c r="W123" t="s">
        <v>501</v>
      </c>
      <c r="X123" t="s">
        <v>369</v>
      </c>
      <c r="Y123" s="1" t="s">
        <v>14</v>
      </c>
    </row>
    <row r="124" spans="1:25">
      <c r="A124">
        <v>102476</v>
      </c>
      <c r="B124" t="s">
        <v>362</v>
      </c>
      <c r="C124" s="30">
        <v>45838</v>
      </c>
      <c r="D124" s="30" t="str">
        <f t="shared" si="2"/>
        <v>June</v>
      </c>
      <c r="E124" t="s">
        <v>370</v>
      </c>
      <c r="F124" t="s">
        <v>371</v>
      </c>
      <c r="G124" t="s">
        <v>365</v>
      </c>
      <c r="H124" t="s">
        <v>492</v>
      </c>
      <c r="I124">
        <v>0</v>
      </c>
      <c r="J124" s="43">
        <v>0</v>
      </c>
      <c r="K124" s="43">
        <v>4536</v>
      </c>
      <c r="L124" s="43">
        <f t="shared" si="3"/>
        <v>-4536</v>
      </c>
      <c r="M124">
        <v>1062</v>
      </c>
      <c r="N124" s="43">
        <v>0</v>
      </c>
      <c r="O124" s="43">
        <v>17184.13</v>
      </c>
      <c r="S124" s="30">
        <v>45841</v>
      </c>
      <c r="U124" t="s">
        <v>367</v>
      </c>
      <c r="V124" t="s">
        <v>493</v>
      </c>
      <c r="X124" t="s">
        <v>369</v>
      </c>
      <c r="Y124" s="1" t="s">
        <v>14</v>
      </c>
    </row>
    <row r="125" spans="1:25">
      <c r="A125">
        <v>102476</v>
      </c>
      <c r="B125" t="s">
        <v>362</v>
      </c>
      <c r="C125" s="30">
        <v>45838</v>
      </c>
      <c r="D125" s="30" t="str">
        <f t="shared" si="2"/>
        <v>June</v>
      </c>
      <c r="E125" t="s">
        <v>370</v>
      </c>
      <c r="F125" t="s">
        <v>371</v>
      </c>
      <c r="G125" t="s">
        <v>365</v>
      </c>
      <c r="H125" t="s">
        <v>492</v>
      </c>
      <c r="I125">
        <v>0</v>
      </c>
      <c r="J125" s="43">
        <v>0</v>
      </c>
      <c r="K125" s="43">
        <v>248.64</v>
      </c>
      <c r="L125" s="43">
        <f t="shared" si="3"/>
        <v>-248.64</v>
      </c>
      <c r="M125">
        <v>1062</v>
      </c>
      <c r="N125" s="43">
        <v>0</v>
      </c>
      <c r="O125" s="43">
        <v>17184.13</v>
      </c>
      <c r="S125" s="30">
        <v>45841</v>
      </c>
      <c r="U125" t="s">
        <v>367</v>
      </c>
      <c r="V125" t="s">
        <v>493</v>
      </c>
      <c r="X125" t="s">
        <v>369</v>
      </c>
      <c r="Y125" s="1" t="s">
        <v>14</v>
      </c>
    </row>
    <row r="126" spans="1:25">
      <c r="A126">
        <v>102476</v>
      </c>
      <c r="B126" t="s">
        <v>362</v>
      </c>
      <c r="C126" s="30">
        <v>45838</v>
      </c>
      <c r="D126" s="30" t="str">
        <f t="shared" si="2"/>
        <v>June</v>
      </c>
      <c r="E126" t="s">
        <v>370</v>
      </c>
      <c r="F126" t="s">
        <v>371</v>
      </c>
      <c r="G126" t="s">
        <v>365</v>
      </c>
      <c r="H126" t="s">
        <v>492</v>
      </c>
      <c r="I126">
        <v>0</v>
      </c>
      <c r="J126" s="43">
        <v>0</v>
      </c>
      <c r="K126" s="43">
        <v>2520</v>
      </c>
      <c r="L126" s="43">
        <f t="shared" si="3"/>
        <v>-2520</v>
      </c>
      <c r="M126">
        <v>1062</v>
      </c>
      <c r="N126" s="43">
        <v>0</v>
      </c>
      <c r="O126" s="43">
        <v>17184.13</v>
      </c>
      <c r="S126" s="30">
        <v>45841</v>
      </c>
      <c r="U126" t="s">
        <v>367</v>
      </c>
      <c r="V126" t="s">
        <v>493</v>
      </c>
      <c r="X126" t="s">
        <v>369</v>
      </c>
      <c r="Y126" s="1" t="s">
        <v>14</v>
      </c>
    </row>
    <row r="127" spans="1:25">
      <c r="A127">
        <v>102476</v>
      </c>
      <c r="B127" t="s">
        <v>362</v>
      </c>
      <c r="C127" s="30">
        <v>45838</v>
      </c>
      <c r="D127" s="30" t="str">
        <f t="shared" si="2"/>
        <v>June</v>
      </c>
      <c r="E127" t="s">
        <v>370</v>
      </c>
      <c r="F127" t="s">
        <v>371</v>
      </c>
      <c r="G127" t="s">
        <v>365</v>
      </c>
      <c r="H127" t="s">
        <v>492</v>
      </c>
      <c r="I127">
        <v>0</v>
      </c>
      <c r="J127" s="43">
        <v>0</v>
      </c>
      <c r="K127" s="43">
        <v>2268</v>
      </c>
      <c r="L127" s="43">
        <f t="shared" si="3"/>
        <v>-2268</v>
      </c>
      <c r="M127">
        <v>1062</v>
      </c>
      <c r="N127" s="43">
        <v>0</v>
      </c>
      <c r="O127" s="43">
        <v>17184.13</v>
      </c>
      <c r="S127" s="30">
        <v>45841</v>
      </c>
      <c r="U127" t="s">
        <v>367</v>
      </c>
      <c r="V127" t="s">
        <v>493</v>
      </c>
      <c r="X127" t="s">
        <v>369</v>
      </c>
      <c r="Y127" s="1" t="s">
        <v>14</v>
      </c>
    </row>
    <row r="128" spans="1:25">
      <c r="A128">
        <v>102476</v>
      </c>
      <c r="B128" t="s">
        <v>362</v>
      </c>
      <c r="C128" s="30">
        <v>45839</v>
      </c>
      <c r="D128" s="30" t="str">
        <f t="shared" si="2"/>
        <v>July</v>
      </c>
      <c r="E128" t="s">
        <v>370</v>
      </c>
      <c r="F128" t="s">
        <v>371</v>
      </c>
      <c r="G128" t="s">
        <v>365</v>
      </c>
      <c r="H128" t="s">
        <v>492</v>
      </c>
      <c r="I128">
        <v>0</v>
      </c>
      <c r="J128" s="43">
        <v>3236.27</v>
      </c>
      <c r="K128" s="43">
        <v>0</v>
      </c>
      <c r="L128" s="43">
        <f t="shared" si="3"/>
        <v>3236.27</v>
      </c>
      <c r="M128">
        <v>1062</v>
      </c>
      <c r="N128" s="43">
        <v>0</v>
      </c>
      <c r="O128" s="43">
        <v>17184.13</v>
      </c>
      <c r="S128" s="30">
        <v>45841</v>
      </c>
      <c r="U128" t="s">
        <v>367</v>
      </c>
      <c r="V128" t="s">
        <v>493</v>
      </c>
      <c r="X128" t="s">
        <v>369</v>
      </c>
      <c r="Y128" t="s">
        <v>21</v>
      </c>
    </row>
    <row r="129" spans="1:25">
      <c r="A129">
        <v>102476</v>
      </c>
      <c r="B129" t="s">
        <v>362</v>
      </c>
      <c r="C129" s="30">
        <v>45839</v>
      </c>
      <c r="D129" s="30" t="str">
        <f t="shared" si="2"/>
        <v>July</v>
      </c>
      <c r="E129" t="s">
        <v>370</v>
      </c>
      <c r="F129" t="s">
        <v>371</v>
      </c>
      <c r="G129" t="s">
        <v>365</v>
      </c>
      <c r="H129" t="s">
        <v>492</v>
      </c>
      <c r="I129">
        <v>0</v>
      </c>
      <c r="J129" s="43">
        <v>3388.56</v>
      </c>
      <c r="K129" s="43">
        <v>0</v>
      </c>
      <c r="L129" s="43">
        <f t="shared" si="3"/>
        <v>3388.56</v>
      </c>
      <c r="M129">
        <v>1062</v>
      </c>
      <c r="N129" s="43">
        <v>0</v>
      </c>
      <c r="O129" s="43">
        <v>17184.13</v>
      </c>
      <c r="S129" s="30">
        <v>45841</v>
      </c>
      <c r="U129" t="s">
        <v>367</v>
      </c>
      <c r="V129" t="s">
        <v>493</v>
      </c>
      <c r="X129" t="s">
        <v>369</v>
      </c>
      <c r="Y129" t="s">
        <v>12</v>
      </c>
    </row>
    <row r="130" spans="1:25">
      <c r="A130">
        <v>102476</v>
      </c>
      <c r="B130" t="s">
        <v>362</v>
      </c>
      <c r="C130" s="30">
        <v>45839</v>
      </c>
      <c r="D130" s="30" t="str">
        <f t="shared" ref="D130:D193" si="4">TEXT(C130,"MMMM")</f>
        <v>July</v>
      </c>
      <c r="E130" t="s">
        <v>370</v>
      </c>
      <c r="F130" t="s">
        <v>371</v>
      </c>
      <c r="G130" t="s">
        <v>365</v>
      </c>
      <c r="H130" t="s">
        <v>492</v>
      </c>
      <c r="I130">
        <v>0</v>
      </c>
      <c r="J130" s="43">
        <v>986.67</v>
      </c>
      <c r="K130" s="43">
        <v>0</v>
      </c>
      <c r="L130" s="43">
        <f t="shared" ref="L130:L193" si="5">J130-K130</f>
        <v>986.67</v>
      </c>
      <c r="M130">
        <v>1062</v>
      </c>
      <c r="N130" s="43">
        <v>0</v>
      </c>
      <c r="O130" s="43">
        <v>17184.13</v>
      </c>
      <c r="S130" s="30">
        <v>45841</v>
      </c>
      <c r="U130" t="s">
        <v>367</v>
      </c>
      <c r="V130" t="s">
        <v>493</v>
      </c>
      <c r="X130" t="s">
        <v>369</v>
      </c>
      <c r="Y130" s="1" t="s">
        <v>30</v>
      </c>
    </row>
    <row r="131" spans="1:25">
      <c r="A131">
        <v>102476</v>
      </c>
      <c r="B131" t="s">
        <v>362</v>
      </c>
      <c r="C131" s="30">
        <v>45839</v>
      </c>
      <c r="D131" s="30" t="str">
        <f t="shared" si="4"/>
        <v>July</v>
      </c>
      <c r="E131" t="s">
        <v>370</v>
      </c>
      <c r="F131" t="s">
        <v>371</v>
      </c>
      <c r="G131" t="s">
        <v>365</v>
      </c>
      <c r="H131" t="s">
        <v>492</v>
      </c>
      <c r="I131">
        <v>0</v>
      </c>
      <c r="J131" s="43">
        <v>4536</v>
      </c>
      <c r="K131" s="43">
        <v>0</v>
      </c>
      <c r="L131" s="43">
        <f t="shared" si="5"/>
        <v>4536</v>
      </c>
      <c r="M131">
        <v>1062</v>
      </c>
      <c r="N131" s="43">
        <v>0</v>
      </c>
      <c r="O131" s="43">
        <v>17184.13</v>
      </c>
      <c r="S131" s="30">
        <v>45841</v>
      </c>
      <c r="U131" t="s">
        <v>367</v>
      </c>
      <c r="V131" t="s">
        <v>493</v>
      </c>
      <c r="X131" t="s">
        <v>369</v>
      </c>
      <c r="Y131" s="1" t="s">
        <v>14</v>
      </c>
    </row>
    <row r="132" spans="1:25">
      <c r="A132">
        <v>102476</v>
      </c>
      <c r="B132" t="s">
        <v>362</v>
      </c>
      <c r="C132" s="30">
        <v>45839</v>
      </c>
      <c r="D132" s="30" t="str">
        <f t="shared" si="4"/>
        <v>July</v>
      </c>
      <c r="E132" t="s">
        <v>370</v>
      </c>
      <c r="F132" t="s">
        <v>371</v>
      </c>
      <c r="G132" t="s">
        <v>365</v>
      </c>
      <c r="H132" t="s">
        <v>492</v>
      </c>
      <c r="I132">
        <v>0</v>
      </c>
      <c r="J132" s="43">
        <v>248.64</v>
      </c>
      <c r="K132" s="43">
        <v>0</v>
      </c>
      <c r="L132" s="43">
        <f t="shared" si="5"/>
        <v>248.64</v>
      </c>
      <c r="M132">
        <v>1062</v>
      </c>
      <c r="N132" s="43">
        <v>0</v>
      </c>
      <c r="O132" s="43">
        <v>17184.13</v>
      </c>
      <c r="S132" s="30">
        <v>45841</v>
      </c>
      <c r="U132" t="s">
        <v>367</v>
      </c>
      <c r="V132" t="s">
        <v>493</v>
      </c>
      <c r="X132" t="s">
        <v>369</v>
      </c>
      <c r="Y132" s="1" t="s">
        <v>14</v>
      </c>
    </row>
    <row r="133" spans="1:25">
      <c r="A133">
        <v>102476</v>
      </c>
      <c r="B133" t="s">
        <v>362</v>
      </c>
      <c r="C133" s="30">
        <v>45839</v>
      </c>
      <c r="D133" s="30" t="str">
        <f t="shared" si="4"/>
        <v>July</v>
      </c>
      <c r="E133" t="s">
        <v>370</v>
      </c>
      <c r="F133" t="s">
        <v>371</v>
      </c>
      <c r="G133" t="s">
        <v>365</v>
      </c>
      <c r="H133" t="s">
        <v>492</v>
      </c>
      <c r="I133">
        <v>0</v>
      </c>
      <c r="J133" s="43">
        <v>2520</v>
      </c>
      <c r="K133" s="43">
        <v>0</v>
      </c>
      <c r="L133" s="43">
        <f t="shared" si="5"/>
        <v>2520</v>
      </c>
      <c r="M133">
        <v>1062</v>
      </c>
      <c r="N133" s="43">
        <v>0</v>
      </c>
      <c r="O133" s="43">
        <v>17184.13</v>
      </c>
      <c r="S133" s="30">
        <v>45841</v>
      </c>
      <c r="U133" t="s">
        <v>367</v>
      </c>
      <c r="V133" t="s">
        <v>493</v>
      </c>
      <c r="X133" t="s">
        <v>369</v>
      </c>
      <c r="Y133" s="1" t="s">
        <v>14</v>
      </c>
    </row>
    <row r="134" spans="1:25">
      <c r="A134">
        <v>102476</v>
      </c>
      <c r="B134" t="s">
        <v>362</v>
      </c>
      <c r="C134" s="30">
        <v>45839</v>
      </c>
      <c r="D134" s="30" t="str">
        <f t="shared" si="4"/>
        <v>July</v>
      </c>
      <c r="E134" t="s">
        <v>370</v>
      </c>
      <c r="F134" t="s">
        <v>371</v>
      </c>
      <c r="G134" t="s">
        <v>365</v>
      </c>
      <c r="H134" t="s">
        <v>492</v>
      </c>
      <c r="I134">
        <v>0</v>
      </c>
      <c r="J134" s="43">
        <v>2268</v>
      </c>
      <c r="K134" s="43">
        <v>0</v>
      </c>
      <c r="L134" s="43">
        <f t="shared" si="5"/>
        <v>2268</v>
      </c>
      <c r="M134">
        <v>1062</v>
      </c>
      <c r="N134" s="43">
        <v>0</v>
      </c>
      <c r="O134" s="43">
        <v>17184.13</v>
      </c>
      <c r="S134" s="30">
        <v>45841</v>
      </c>
      <c r="U134" t="s">
        <v>367</v>
      </c>
      <c r="V134" t="s">
        <v>493</v>
      </c>
      <c r="X134" t="s">
        <v>369</v>
      </c>
      <c r="Y134" s="1" t="s">
        <v>14</v>
      </c>
    </row>
    <row r="135" spans="1:25">
      <c r="A135">
        <v>102765</v>
      </c>
      <c r="B135" t="s">
        <v>372</v>
      </c>
      <c r="C135" s="30">
        <v>45854</v>
      </c>
      <c r="D135" s="30" t="str">
        <f t="shared" si="4"/>
        <v>July</v>
      </c>
      <c r="E135" t="s">
        <v>373</v>
      </c>
      <c r="F135" t="s">
        <v>374</v>
      </c>
      <c r="G135" t="s">
        <v>365</v>
      </c>
      <c r="H135" t="s">
        <v>502</v>
      </c>
      <c r="I135">
        <v>0</v>
      </c>
      <c r="J135" s="43">
        <v>0</v>
      </c>
      <c r="K135" s="43">
        <v>2520</v>
      </c>
      <c r="L135" s="43">
        <f t="shared" si="5"/>
        <v>-2520</v>
      </c>
      <c r="M135">
        <v>1062</v>
      </c>
      <c r="N135" s="43">
        <v>0</v>
      </c>
      <c r="O135" s="43">
        <v>2520</v>
      </c>
      <c r="P135" t="s">
        <v>503</v>
      </c>
      <c r="Q135" t="s">
        <v>503</v>
      </c>
      <c r="R135">
        <v>4135</v>
      </c>
      <c r="S135" s="30">
        <v>45863</v>
      </c>
      <c r="T135" t="s">
        <v>377</v>
      </c>
      <c r="U135" t="s">
        <v>378</v>
      </c>
      <c r="V135" t="s">
        <v>504</v>
      </c>
      <c r="W135" t="s">
        <v>503</v>
      </c>
      <c r="X135" t="s">
        <v>369</v>
      </c>
      <c r="Y135" s="1" t="s">
        <v>14</v>
      </c>
    </row>
    <row r="136" spans="1:25">
      <c r="A136">
        <v>102764</v>
      </c>
      <c r="B136" t="s">
        <v>372</v>
      </c>
      <c r="C136" s="30">
        <v>45859</v>
      </c>
      <c r="D136" s="30" t="str">
        <f t="shared" si="4"/>
        <v>July</v>
      </c>
      <c r="E136" t="s">
        <v>373</v>
      </c>
      <c r="F136" t="s">
        <v>374</v>
      </c>
      <c r="G136" t="s">
        <v>365</v>
      </c>
      <c r="H136" t="s">
        <v>505</v>
      </c>
      <c r="I136">
        <v>0</v>
      </c>
      <c r="J136" s="43">
        <v>0</v>
      </c>
      <c r="K136" s="43">
        <v>3150</v>
      </c>
      <c r="L136" s="43">
        <f t="shared" si="5"/>
        <v>-3150</v>
      </c>
      <c r="M136">
        <v>1062</v>
      </c>
      <c r="N136" s="43">
        <v>0</v>
      </c>
      <c r="O136" s="43">
        <v>3150</v>
      </c>
      <c r="P136" t="s">
        <v>506</v>
      </c>
      <c r="Q136" t="s">
        <v>506</v>
      </c>
      <c r="R136">
        <v>4067</v>
      </c>
      <c r="S136" s="30">
        <v>45863</v>
      </c>
      <c r="T136" t="s">
        <v>377</v>
      </c>
      <c r="U136" t="s">
        <v>378</v>
      </c>
      <c r="V136" t="s">
        <v>504</v>
      </c>
      <c r="W136" t="s">
        <v>506</v>
      </c>
      <c r="X136" t="s">
        <v>369</v>
      </c>
      <c r="Y136" t="s">
        <v>12</v>
      </c>
    </row>
    <row r="137" spans="1:25">
      <c r="A137">
        <v>102767</v>
      </c>
      <c r="B137" t="s">
        <v>372</v>
      </c>
      <c r="C137" s="30">
        <v>45861</v>
      </c>
      <c r="D137" s="30" t="str">
        <f t="shared" si="4"/>
        <v>July</v>
      </c>
      <c r="E137" t="s">
        <v>373</v>
      </c>
      <c r="F137" t="s">
        <v>374</v>
      </c>
      <c r="G137" t="s">
        <v>365</v>
      </c>
      <c r="H137" t="s">
        <v>507</v>
      </c>
      <c r="I137">
        <v>0</v>
      </c>
      <c r="J137" s="43">
        <v>0</v>
      </c>
      <c r="K137" s="43">
        <v>1480</v>
      </c>
      <c r="L137" s="43">
        <f t="shared" si="5"/>
        <v>-1480</v>
      </c>
      <c r="M137">
        <v>1062</v>
      </c>
      <c r="N137" s="43">
        <v>0</v>
      </c>
      <c r="O137" s="43">
        <v>1480</v>
      </c>
      <c r="P137" t="s">
        <v>508</v>
      </c>
      <c r="Q137" t="s">
        <v>508</v>
      </c>
      <c r="R137">
        <v>4112</v>
      </c>
      <c r="S137" s="30">
        <v>45863</v>
      </c>
      <c r="T137" t="s">
        <v>377</v>
      </c>
      <c r="U137" t="s">
        <v>378</v>
      </c>
      <c r="V137" t="s">
        <v>504</v>
      </c>
      <c r="W137" t="s">
        <v>508</v>
      </c>
      <c r="X137" t="s">
        <v>369</v>
      </c>
      <c r="Y137" s="1" t="s">
        <v>28</v>
      </c>
    </row>
    <row r="138" spans="1:25">
      <c r="A138">
        <v>102840</v>
      </c>
      <c r="B138" t="s">
        <v>372</v>
      </c>
      <c r="C138" s="30">
        <v>45867</v>
      </c>
      <c r="D138" s="30" t="str">
        <f t="shared" si="4"/>
        <v>July</v>
      </c>
      <c r="E138" t="s">
        <v>373</v>
      </c>
      <c r="F138" t="s">
        <v>374</v>
      </c>
      <c r="G138" t="s">
        <v>365</v>
      </c>
      <c r="H138" t="s">
        <v>509</v>
      </c>
      <c r="I138">
        <v>0</v>
      </c>
      <c r="J138" s="43">
        <v>0</v>
      </c>
      <c r="K138" s="43">
        <v>5920</v>
      </c>
      <c r="L138" s="43">
        <f t="shared" si="5"/>
        <v>-5920</v>
      </c>
      <c r="M138">
        <v>1062</v>
      </c>
      <c r="N138" s="43">
        <v>0</v>
      </c>
      <c r="O138" s="43">
        <v>5920</v>
      </c>
      <c r="P138" t="s">
        <v>510</v>
      </c>
      <c r="Q138" t="s">
        <v>510</v>
      </c>
      <c r="R138">
        <v>4071</v>
      </c>
      <c r="S138" s="30">
        <v>45870</v>
      </c>
      <c r="T138" t="s">
        <v>377</v>
      </c>
      <c r="U138" t="s">
        <v>378</v>
      </c>
      <c r="V138" t="s">
        <v>511</v>
      </c>
      <c r="W138" t="s">
        <v>372</v>
      </c>
      <c r="X138" t="s">
        <v>369</v>
      </c>
      <c r="Y138" t="s">
        <v>47</v>
      </c>
    </row>
    <row r="139" spans="1:25">
      <c r="A139">
        <v>102857</v>
      </c>
      <c r="B139" t="s">
        <v>372</v>
      </c>
      <c r="C139" s="30">
        <v>45869</v>
      </c>
      <c r="D139" s="30" t="str">
        <f t="shared" si="4"/>
        <v>July</v>
      </c>
      <c r="E139" t="s">
        <v>391</v>
      </c>
      <c r="F139" t="s">
        <v>392</v>
      </c>
      <c r="G139" t="s">
        <v>365</v>
      </c>
      <c r="H139" t="s">
        <v>512</v>
      </c>
      <c r="I139">
        <v>0</v>
      </c>
      <c r="J139" s="43">
        <v>0</v>
      </c>
      <c r="K139" s="43">
        <v>3808.72</v>
      </c>
      <c r="L139" s="43">
        <f t="shared" si="5"/>
        <v>-3808.72</v>
      </c>
      <c r="M139">
        <v>1062</v>
      </c>
      <c r="N139" s="43">
        <v>0</v>
      </c>
      <c r="O139" s="43">
        <v>3808.72</v>
      </c>
      <c r="P139" t="s">
        <v>513</v>
      </c>
      <c r="Q139" t="s">
        <v>513</v>
      </c>
      <c r="R139">
        <v>9990</v>
      </c>
      <c r="S139" s="30">
        <v>45873</v>
      </c>
      <c r="T139" t="s">
        <v>377</v>
      </c>
      <c r="U139" t="s">
        <v>378</v>
      </c>
      <c r="V139" t="s">
        <v>514</v>
      </c>
      <c r="W139" t="s">
        <v>372</v>
      </c>
      <c r="X139" t="s">
        <v>369</v>
      </c>
      <c r="Y139" s="1" t="s">
        <v>22</v>
      </c>
    </row>
    <row r="140" spans="1:25">
      <c r="A140">
        <v>102864</v>
      </c>
      <c r="B140" t="s">
        <v>362</v>
      </c>
      <c r="C140" s="30">
        <v>45869</v>
      </c>
      <c r="D140" s="30" t="str">
        <f t="shared" si="4"/>
        <v>July</v>
      </c>
      <c r="E140" t="s">
        <v>370</v>
      </c>
      <c r="F140" t="s">
        <v>371</v>
      </c>
      <c r="G140" t="s">
        <v>365</v>
      </c>
      <c r="H140" t="s">
        <v>515</v>
      </c>
      <c r="I140">
        <v>0</v>
      </c>
      <c r="J140" s="43">
        <v>0</v>
      </c>
      <c r="K140" s="43">
        <v>4864.2666666666664</v>
      </c>
      <c r="L140" s="43">
        <f t="shared" si="5"/>
        <v>-4864.2666666666664</v>
      </c>
      <c r="M140">
        <v>1062</v>
      </c>
      <c r="N140" s="43">
        <v>0</v>
      </c>
      <c r="O140" s="43">
        <v>28187.41</v>
      </c>
      <c r="S140" s="30">
        <v>45874</v>
      </c>
      <c r="U140" t="s">
        <v>367</v>
      </c>
      <c r="V140" t="s">
        <v>516</v>
      </c>
      <c r="X140" t="s">
        <v>369</v>
      </c>
      <c r="Y140" t="s">
        <v>21</v>
      </c>
    </row>
    <row r="141" spans="1:25">
      <c r="A141">
        <v>102864</v>
      </c>
      <c r="B141" t="s">
        <v>362</v>
      </c>
      <c r="C141" s="30">
        <v>45869</v>
      </c>
      <c r="D141" s="30" t="str">
        <f t="shared" si="4"/>
        <v>July</v>
      </c>
      <c r="E141" t="s">
        <v>370</v>
      </c>
      <c r="F141" t="s">
        <v>371</v>
      </c>
      <c r="G141" t="s">
        <v>365</v>
      </c>
      <c r="H141" t="s">
        <v>515</v>
      </c>
      <c r="I141">
        <v>0</v>
      </c>
      <c r="J141" s="43">
        <v>0</v>
      </c>
      <c r="K141" s="43">
        <v>2832.4799999999996</v>
      </c>
      <c r="L141" s="43">
        <f t="shared" si="5"/>
        <v>-2832.4799999999996</v>
      </c>
      <c r="M141">
        <v>1062</v>
      </c>
      <c r="N141" s="43">
        <v>0</v>
      </c>
      <c r="O141" s="43">
        <v>28187.41</v>
      </c>
      <c r="S141" s="30">
        <v>45874</v>
      </c>
      <c r="U141" t="s">
        <v>367</v>
      </c>
      <c r="V141" t="s">
        <v>516</v>
      </c>
      <c r="X141" t="s">
        <v>369</v>
      </c>
      <c r="Y141" t="s">
        <v>12</v>
      </c>
    </row>
    <row r="142" spans="1:25">
      <c r="A142">
        <v>102864</v>
      </c>
      <c r="B142" t="s">
        <v>362</v>
      </c>
      <c r="C142" s="30">
        <v>45869</v>
      </c>
      <c r="D142" s="30" t="str">
        <f t="shared" si="4"/>
        <v>July</v>
      </c>
      <c r="E142" t="s">
        <v>370</v>
      </c>
      <c r="F142" t="s">
        <v>371</v>
      </c>
      <c r="G142" t="s">
        <v>365</v>
      </c>
      <c r="H142" t="s">
        <v>515</v>
      </c>
      <c r="I142">
        <v>0</v>
      </c>
      <c r="J142" s="43">
        <v>0</v>
      </c>
      <c r="K142" s="43">
        <v>986.66666666666663</v>
      </c>
      <c r="L142" s="43">
        <f t="shared" si="5"/>
        <v>-986.66666666666663</v>
      </c>
      <c r="M142">
        <v>1062</v>
      </c>
      <c r="N142" s="43">
        <v>0</v>
      </c>
      <c r="O142" s="43">
        <v>28187.41</v>
      </c>
      <c r="S142" s="30">
        <v>45874</v>
      </c>
      <c r="U142" t="s">
        <v>367</v>
      </c>
      <c r="V142" t="s">
        <v>516</v>
      </c>
      <c r="X142" t="s">
        <v>369</v>
      </c>
      <c r="Y142" t="s">
        <v>30</v>
      </c>
    </row>
    <row r="143" spans="1:25">
      <c r="A143">
        <v>102864</v>
      </c>
      <c r="B143" t="s">
        <v>362</v>
      </c>
      <c r="C143" s="30">
        <v>45869</v>
      </c>
      <c r="D143" s="30" t="str">
        <f t="shared" si="4"/>
        <v>July</v>
      </c>
      <c r="E143" t="s">
        <v>370</v>
      </c>
      <c r="F143" t="s">
        <v>371</v>
      </c>
      <c r="G143" t="s">
        <v>365</v>
      </c>
      <c r="H143" t="s">
        <v>515</v>
      </c>
      <c r="I143">
        <v>0</v>
      </c>
      <c r="J143" s="43">
        <v>0</v>
      </c>
      <c r="K143" s="43">
        <v>2368</v>
      </c>
      <c r="L143" s="43">
        <f t="shared" si="5"/>
        <v>-2368</v>
      </c>
      <c r="M143">
        <v>1062</v>
      </c>
      <c r="N143" s="43">
        <v>0</v>
      </c>
      <c r="O143" s="43">
        <v>28187.41</v>
      </c>
      <c r="S143" s="30">
        <v>45874</v>
      </c>
      <c r="U143" t="s">
        <v>367</v>
      </c>
      <c r="V143" t="s">
        <v>516</v>
      </c>
      <c r="X143" t="s">
        <v>369</v>
      </c>
      <c r="Y143" t="s">
        <v>17</v>
      </c>
    </row>
    <row r="144" spans="1:25">
      <c r="A144">
        <v>102864</v>
      </c>
      <c r="B144" t="s">
        <v>362</v>
      </c>
      <c r="C144" s="30">
        <v>45869</v>
      </c>
      <c r="D144" s="30" t="str">
        <f t="shared" si="4"/>
        <v>July</v>
      </c>
      <c r="E144" t="s">
        <v>370</v>
      </c>
      <c r="F144" t="s">
        <v>371</v>
      </c>
      <c r="G144" t="s">
        <v>365</v>
      </c>
      <c r="H144" t="s">
        <v>515</v>
      </c>
      <c r="I144">
        <v>0</v>
      </c>
      <c r="J144" s="43">
        <v>0</v>
      </c>
      <c r="K144" s="43">
        <v>4536</v>
      </c>
      <c r="L144" s="43">
        <f t="shared" si="5"/>
        <v>-4536</v>
      </c>
      <c r="M144">
        <v>1062</v>
      </c>
      <c r="N144" s="43">
        <v>0</v>
      </c>
      <c r="O144" s="43">
        <v>28187.41</v>
      </c>
      <c r="S144" s="30">
        <v>45874</v>
      </c>
      <c r="U144" t="s">
        <v>367</v>
      </c>
      <c r="V144" t="s">
        <v>516</v>
      </c>
      <c r="X144" t="s">
        <v>369</v>
      </c>
      <c r="Y144" s="1" t="s">
        <v>14</v>
      </c>
    </row>
    <row r="145" spans="1:25">
      <c r="A145">
        <v>102864</v>
      </c>
      <c r="B145" t="s">
        <v>362</v>
      </c>
      <c r="C145" s="30">
        <v>45869</v>
      </c>
      <c r="D145" s="30" t="str">
        <f t="shared" si="4"/>
        <v>July</v>
      </c>
      <c r="E145" t="s">
        <v>370</v>
      </c>
      <c r="F145" t="s">
        <v>371</v>
      </c>
      <c r="G145" t="s">
        <v>365</v>
      </c>
      <c r="H145" t="s">
        <v>515</v>
      </c>
      <c r="I145">
        <v>0</v>
      </c>
      <c r="J145" s="43">
        <v>0</v>
      </c>
      <c r="K145" s="43">
        <v>3360</v>
      </c>
      <c r="L145" s="43">
        <f t="shared" si="5"/>
        <v>-3360</v>
      </c>
      <c r="M145">
        <v>1062</v>
      </c>
      <c r="N145" s="43">
        <v>0</v>
      </c>
      <c r="O145" s="43">
        <v>28187.41</v>
      </c>
      <c r="S145" s="30">
        <v>45874</v>
      </c>
      <c r="U145" t="s">
        <v>367</v>
      </c>
      <c r="V145" t="s">
        <v>516</v>
      </c>
      <c r="X145" t="s">
        <v>369</v>
      </c>
      <c r="Y145" s="1" t="s">
        <v>14</v>
      </c>
    </row>
    <row r="146" spans="1:25">
      <c r="A146">
        <v>102864</v>
      </c>
      <c r="B146" t="s">
        <v>362</v>
      </c>
      <c r="C146" s="30">
        <v>45869</v>
      </c>
      <c r="D146" s="30" t="str">
        <f t="shared" si="4"/>
        <v>July</v>
      </c>
      <c r="E146" t="s">
        <v>370</v>
      </c>
      <c r="F146" t="s">
        <v>371</v>
      </c>
      <c r="G146" t="s">
        <v>365</v>
      </c>
      <c r="H146" t="s">
        <v>515</v>
      </c>
      <c r="I146">
        <v>0</v>
      </c>
      <c r="J146" s="43">
        <v>0</v>
      </c>
      <c r="K146" s="43">
        <v>2436</v>
      </c>
      <c r="L146" s="43">
        <f t="shared" si="5"/>
        <v>-2436</v>
      </c>
      <c r="M146">
        <v>1062</v>
      </c>
      <c r="N146" s="43">
        <v>0</v>
      </c>
      <c r="O146" s="43">
        <v>28187.41</v>
      </c>
      <c r="S146" s="30">
        <v>45874</v>
      </c>
      <c r="U146" t="s">
        <v>367</v>
      </c>
      <c r="V146" t="s">
        <v>516</v>
      </c>
      <c r="X146" t="s">
        <v>369</v>
      </c>
      <c r="Y146" s="1" t="s">
        <v>14</v>
      </c>
    </row>
    <row r="147" spans="1:25">
      <c r="A147">
        <v>102864</v>
      </c>
      <c r="B147" t="s">
        <v>362</v>
      </c>
      <c r="C147" s="30">
        <v>45869</v>
      </c>
      <c r="D147" s="30" t="str">
        <f t="shared" si="4"/>
        <v>July</v>
      </c>
      <c r="E147" t="s">
        <v>370</v>
      </c>
      <c r="F147" t="s">
        <v>371</v>
      </c>
      <c r="G147" t="s">
        <v>365</v>
      </c>
      <c r="H147" t="s">
        <v>515</v>
      </c>
      <c r="I147">
        <v>0</v>
      </c>
      <c r="J147" s="43">
        <v>0</v>
      </c>
      <c r="K147" s="43">
        <v>6804</v>
      </c>
      <c r="L147" s="43">
        <f t="shared" si="5"/>
        <v>-6804</v>
      </c>
      <c r="M147">
        <v>1062</v>
      </c>
      <c r="N147" s="43">
        <v>0</v>
      </c>
      <c r="O147" s="43">
        <v>28187.41</v>
      </c>
      <c r="S147" s="30">
        <v>45874</v>
      </c>
      <c r="U147" t="s">
        <v>367</v>
      </c>
      <c r="V147" t="s">
        <v>516</v>
      </c>
      <c r="X147" t="s">
        <v>369</v>
      </c>
      <c r="Y147" s="1" t="s">
        <v>14</v>
      </c>
    </row>
    <row r="148" spans="1:25">
      <c r="A148">
        <v>102863</v>
      </c>
      <c r="B148" t="s">
        <v>362</v>
      </c>
      <c r="C148" s="30">
        <v>45869</v>
      </c>
      <c r="D148" s="30" t="str">
        <f t="shared" si="4"/>
        <v>July</v>
      </c>
      <c r="E148" t="s">
        <v>370</v>
      </c>
      <c r="F148" t="s">
        <v>371</v>
      </c>
      <c r="G148" t="s">
        <v>365</v>
      </c>
      <c r="H148" t="s">
        <v>517</v>
      </c>
      <c r="I148">
        <v>0</v>
      </c>
      <c r="J148" s="43">
        <v>0</v>
      </c>
      <c r="K148" s="43">
        <v>1378.65</v>
      </c>
      <c r="L148" s="43">
        <f t="shared" si="5"/>
        <v>-1378.65</v>
      </c>
      <c r="M148">
        <v>1062</v>
      </c>
      <c r="N148" s="43">
        <v>0</v>
      </c>
      <c r="O148" s="43">
        <v>1378.65</v>
      </c>
      <c r="S148" s="30">
        <v>45874</v>
      </c>
      <c r="U148" t="s">
        <v>367</v>
      </c>
      <c r="V148" t="s">
        <v>518</v>
      </c>
      <c r="X148" t="s">
        <v>382</v>
      </c>
      <c r="Y148" t="s">
        <v>47</v>
      </c>
    </row>
    <row r="149" spans="1:25">
      <c r="A149">
        <v>102864</v>
      </c>
      <c r="B149" t="s">
        <v>362</v>
      </c>
      <c r="C149" s="30">
        <v>45870</v>
      </c>
      <c r="D149" s="30" t="str">
        <f t="shared" si="4"/>
        <v>August</v>
      </c>
      <c r="E149" t="s">
        <v>370</v>
      </c>
      <c r="F149" t="s">
        <v>371</v>
      </c>
      <c r="G149" t="s">
        <v>365</v>
      </c>
      <c r="H149" t="s">
        <v>515</v>
      </c>
      <c r="I149">
        <v>0</v>
      </c>
      <c r="J149" s="43">
        <v>4864.2666666666664</v>
      </c>
      <c r="K149" s="43">
        <v>0</v>
      </c>
      <c r="L149" s="43">
        <f t="shared" si="5"/>
        <v>4864.2666666666664</v>
      </c>
      <c r="M149">
        <v>1062</v>
      </c>
      <c r="N149" s="43">
        <v>0</v>
      </c>
      <c r="O149" s="43">
        <v>28187.41</v>
      </c>
      <c r="S149" s="30">
        <v>45874</v>
      </c>
      <c r="U149" t="s">
        <v>367</v>
      </c>
      <c r="V149" t="s">
        <v>516</v>
      </c>
      <c r="X149" t="s">
        <v>369</v>
      </c>
      <c r="Y149" t="s">
        <v>21</v>
      </c>
    </row>
    <row r="150" spans="1:25">
      <c r="A150">
        <v>102864</v>
      </c>
      <c r="B150" t="s">
        <v>362</v>
      </c>
      <c r="C150" s="30">
        <v>45870</v>
      </c>
      <c r="D150" s="30" t="str">
        <f t="shared" si="4"/>
        <v>August</v>
      </c>
      <c r="E150" t="s">
        <v>370</v>
      </c>
      <c r="F150" t="s">
        <v>371</v>
      </c>
      <c r="G150" t="s">
        <v>365</v>
      </c>
      <c r="H150" t="s">
        <v>515</v>
      </c>
      <c r="I150">
        <v>0</v>
      </c>
      <c r="J150" s="43">
        <v>2832.4799999999996</v>
      </c>
      <c r="K150" s="43">
        <v>0</v>
      </c>
      <c r="L150" s="43">
        <f t="shared" si="5"/>
        <v>2832.4799999999996</v>
      </c>
      <c r="M150">
        <v>1062</v>
      </c>
      <c r="N150" s="43">
        <v>0</v>
      </c>
      <c r="O150" s="43">
        <v>28187.41</v>
      </c>
      <c r="S150" s="30">
        <v>45874</v>
      </c>
      <c r="U150" t="s">
        <v>367</v>
      </c>
      <c r="V150" t="s">
        <v>516</v>
      </c>
      <c r="X150" t="s">
        <v>369</v>
      </c>
      <c r="Y150" t="s">
        <v>12</v>
      </c>
    </row>
    <row r="151" spans="1:25">
      <c r="A151">
        <v>102864</v>
      </c>
      <c r="B151" t="s">
        <v>362</v>
      </c>
      <c r="C151" s="30">
        <v>45870</v>
      </c>
      <c r="D151" s="30" t="str">
        <f t="shared" si="4"/>
        <v>August</v>
      </c>
      <c r="E151" t="s">
        <v>370</v>
      </c>
      <c r="F151" t="s">
        <v>371</v>
      </c>
      <c r="G151" t="s">
        <v>365</v>
      </c>
      <c r="H151" t="s">
        <v>515</v>
      </c>
      <c r="I151">
        <v>0</v>
      </c>
      <c r="J151" s="43">
        <v>986.66666666666663</v>
      </c>
      <c r="K151" s="43">
        <v>0</v>
      </c>
      <c r="L151" s="43">
        <f t="shared" si="5"/>
        <v>986.66666666666663</v>
      </c>
      <c r="M151">
        <v>1062</v>
      </c>
      <c r="N151" s="43">
        <v>0</v>
      </c>
      <c r="O151" s="43">
        <v>28187.41</v>
      </c>
      <c r="S151" s="30">
        <v>45874</v>
      </c>
      <c r="U151" t="s">
        <v>367</v>
      </c>
      <c r="V151" t="s">
        <v>516</v>
      </c>
      <c r="X151" t="s">
        <v>369</v>
      </c>
      <c r="Y151" t="s">
        <v>30</v>
      </c>
    </row>
    <row r="152" spans="1:25">
      <c r="A152">
        <v>102864</v>
      </c>
      <c r="B152" t="s">
        <v>362</v>
      </c>
      <c r="C152" s="30">
        <v>45870</v>
      </c>
      <c r="D152" s="30" t="str">
        <f t="shared" si="4"/>
        <v>August</v>
      </c>
      <c r="E152" t="s">
        <v>370</v>
      </c>
      <c r="F152" t="s">
        <v>371</v>
      </c>
      <c r="G152" t="s">
        <v>365</v>
      </c>
      <c r="H152" t="s">
        <v>515</v>
      </c>
      <c r="I152">
        <v>0</v>
      </c>
      <c r="J152" s="43">
        <v>2368</v>
      </c>
      <c r="K152" s="43">
        <v>0</v>
      </c>
      <c r="L152" s="43">
        <f t="shared" si="5"/>
        <v>2368</v>
      </c>
      <c r="M152">
        <v>1062</v>
      </c>
      <c r="N152" s="43">
        <v>0</v>
      </c>
      <c r="O152" s="43">
        <v>28187.41</v>
      </c>
      <c r="S152" s="30">
        <v>45874</v>
      </c>
      <c r="U152" t="s">
        <v>367</v>
      </c>
      <c r="V152" t="s">
        <v>516</v>
      </c>
      <c r="X152" t="s">
        <v>369</v>
      </c>
      <c r="Y152" t="s">
        <v>17</v>
      </c>
    </row>
    <row r="153" spans="1:25">
      <c r="A153">
        <v>102864</v>
      </c>
      <c r="B153" t="s">
        <v>362</v>
      </c>
      <c r="C153" s="30">
        <v>45870</v>
      </c>
      <c r="D153" s="30" t="str">
        <f t="shared" si="4"/>
        <v>August</v>
      </c>
      <c r="E153" t="s">
        <v>370</v>
      </c>
      <c r="F153" t="s">
        <v>371</v>
      </c>
      <c r="G153" t="s">
        <v>365</v>
      </c>
      <c r="H153" t="s">
        <v>515</v>
      </c>
      <c r="I153">
        <v>0</v>
      </c>
      <c r="J153" s="43">
        <v>4536</v>
      </c>
      <c r="K153" s="43">
        <v>0</v>
      </c>
      <c r="L153" s="43">
        <f t="shared" si="5"/>
        <v>4536</v>
      </c>
      <c r="M153">
        <v>1062</v>
      </c>
      <c r="N153" s="43">
        <v>0</v>
      </c>
      <c r="O153" s="43">
        <v>28187.41</v>
      </c>
      <c r="S153" s="30">
        <v>45874</v>
      </c>
      <c r="U153" t="s">
        <v>367</v>
      </c>
      <c r="V153" t="s">
        <v>516</v>
      </c>
      <c r="X153" t="s">
        <v>369</v>
      </c>
      <c r="Y153" s="1" t="s">
        <v>14</v>
      </c>
    </row>
    <row r="154" spans="1:25">
      <c r="A154">
        <v>102864</v>
      </c>
      <c r="B154" t="s">
        <v>362</v>
      </c>
      <c r="C154" s="30">
        <v>45870</v>
      </c>
      <c r="D154" s="30" t="str">
        <f t="shared" si="4"/>
        <v>August</v>
      </c>
      <c r="E154" t="s">
        <v>370</v>
      </c>
      <c r="F154" t="s">
        <v>371</v>
      </c>
      <c r="G154" t="s">
        <v>365</v>
      </c>
      <c r="H154" t="s">
        <v>515</v>
      </c>
      <c r="I154">
        <v>0</v>
      </c>
      <c r="J154" s="43">
        <v>3360</v>
      </c>
      <c r="K154" s="43">
        <v>0</v>
      </c>
      <c r="L154" s="43">
        <f t="shared" si="5"/>
        <v>3360</v>
      </c>
      <c r="M154">
        <v>1062</v>
      </c>
      <c r="N154" s="43">
        <v>0</v>
      </c>
      <c r="O154" s="43">
        <v>28187.41</v>
      </c>
      <c r="S154" s="30">
        <v>45874</v>
      </c>
      <c r="U154" t="s">
        <v>367</v>
      </c>
      <c r="V154" t="s">
        <v>516</v>
      </c>
      <c r="X154" t="s">
        <v>369</v>
      </c>
      <c r="Y154" s="1" t="s">
        <v>14</v>
      </c>
    </row>
    <row r="155" spans="1:25">
      <c r="A155">
        <v>102864</v>
      </c>
      <c r="B155" t="s">
        <v>362</v>
      </c>
      <c r="C155" s="30">
        <v>45870</v>
      </c>
      <c r="D155" s="30" t="str">
        <f t="shared" si="4"/>
        <v>August</v>
      </c>
      <c r="E155" t="s">
        <v>370</v>
      </c>
      <c r="F155" t="s">
        <v>371</v>
      </c>
      <c r="G155" t="s">
        <v>365</v>
      </c>
      <c r="H155" t="s">
        <v>515</v>
      </c>
      <c r="I155">
        <v>0</v>
      </c>
      <c r="J155" s="43">
        <v>2436</v>
      </c>
      <c r="K155" s="43">
        <v>0</v>
      </c>
      <c r="L155" s="43">
        <f t="shared" si="5"/>
        <v>2436</v>
      </c>
      <c r="M155">
        <v>1062</v>
      </c>
      <c r="N155" s="43">
        <v>0</v>
      </c>
      <c r="O155" s="43">
        <v>28187.41</v>
      </c>
      <c r="S155" s="30">
        <v>45874</v>
      </c>
      <c r="U155" t="s">
        <v>367</v>
      </c>
      <c r="V155" t="s">
        <v>516</v>
      </c>
      <c r="X155" t="s">
        <v>369</v>
      </c>
      <c r="Y155" s="1" t="s">
        <v>14</v>
      </c>
    </row>
    <row r="156" spans="1:25">
      <c r="A156">
        <v>102864</v>
      </c>
      <c r="B156" t="s">
        <v>362</v>
      </c>
      <c r="C156" s="30">
        <v>45870</v>
      </c>
      <c r="D156" s="30" t="str">
        <f t="shared" si="4"/>
        <v>August</v>
      </c>
      <c r="E156" t="s">
        <v>370</v>
      </c>
      <c r="F156" t="s">
        <v>371</v>
      </c>
      <c r="G156" t="s">
        <v>365</v>
      </c>
      <c r="H156" t="s">
        <v>515</v>
      </c>
      <c r="I156">
        <v>0</v>
      </c>
      <c r="J156" s="43">
        <v>6804</v>
      </c>
      <c r="K156" s="43">
        <v>0</v>
      </c>
      <c r="L156" s="43">
        <f t="shared" si="5"/>
        <v>6804</v>
      </c>
      <c r="M156">
        <v>1062</v>
      </c>
      <c r="N156" s="43">
        <v>0</v>
      </c>
      <c r="O156" s="43">
        <v>28187.41</v>
      </c>
      <c r="S156" s="30">
        <v>45874</v>
      </c>
      <c r="U156" t="s">
        <v>367</v>
      </c>
      <c r="V156" t="s">
        <v>516</v>
      </c>
      <c r="X156" t="s">
        <v>369</v>
      </c>
      <c r="Y156" s="1" t="s">
        <v>14</v>
      </c>
    </row>
    <row r="157" spans="1:25">
      <c r="A157">
        <v>102974</v>
      </c>
      <c r="B157" t="s">
        <v>362</v>
      </c>
      <c r="C157" s="30">
        <v>45870</v>
      </c>
      <c r="D157" s="30" t="str">
        <f t="shared" si="4"/>
        <v>August</v>
      </c>
      <c r="E157" t="s">
        <v>370</v>
      </c>
      <c r="F157" t="s">
        <v>371</v>
      </c>
      <c r="G157" t="s">
        <v>365</v>
      </c>
      <c r="H157" t="s">
        <v>519</v>
      </c>
      <c r="I157">
        <v>0</v>
      </c>
      <c r="J157" s="43">
        <v>0</v>
      </c>
      <c r="K157" s="43">
        <v>2145</v>
      </c>
      <c r="L157" s="43">
        <f t="shared" si="5"/>
        <v>-2145</v>
      </c>
      <c r="M157">
        <v>1062</v>
      </c>
      <c r="N157" s="43">
        <v>0</v>
      </c>
      <c r="O157" s="43">
        <v>2145</v>
      </c>
      <c r="S157" s="30">
        <v>45877</v>
      </c>
      <c r="U157" t="s">
        <v>367</v>
      </c>
      <c r="V157" t="s">
        <v>520</v>
      </c>
      <c r="X157" t="s">
        <v>382</v>
      </c>
      <c r="Y157" t="s">
        <v>47</v>
      </c>
    </row>
    <row r="158" spans="1:25">
      <c r="A158">
        <v>103059</v>
      </c>
      <c r="B158" t="s">
        <v>372</v>
      </c>
      <c r="C158" s="30">
        <v>45883</v>
      </c>
      <c r="D158" s="30" t="str">
        <f t="shared" si="4"/>
        <v>August</v>
      </c>
      <c r="E158" t="s">
        <v>373</v>
      </c>
      <c r="F158" t="s">
        <v>374</v>
      </c>
      <c r="G158" t="s">
        <v>365</v>
      </c>
      <c r="H158" t="s">
        <v>521</v>
      </c>
      <c r="I158">
        <v>0</v>
      </c>
      <c r="J158" s="43">
        <v>0</v>
      </c>
      <c r="K158" s="43">
        <v>2960</v>
      </c>
      <c r="L158" s="43">
        <f t="shared" si="5"/>
        <v>-2960</v>
      </c>
      <c r="M158">
        <v>1062</v>
      </c>
      <c r="N158" s="43">
        <v>0</v>
      </c>
      <c r="O158" s="43">
        <v>2960</v>
      </c>
      <c r="P158" t="s">
        <v>522</v>
      </c>
      <c r="Q158" t="s">
        <v>522</v>
      </c>
      <c r="R158">
        <v>9089</v>
      </c>
      <c r="S158" s="30">
        <v>45888</v>
      </c>
      <c r="T158" t="s">
        <v>377</v>
      </c>
      <c r="U158" t="s">
        <v>378</v>
      </c>
      <c r="V158" t="s">
        <v>523</v>
      </c>
      <c r="W158" t="s">
        <v>522</v>
      </c>
      <c r="X158" t="s">
        <v>369</v>
      </c>
      <c r="Y158" t="s">
        <v>30</v>
      </c>
    </row>
    <row r="159" spans="1:25">
      <c r="A159">
        <v>103058</v>
      </c>
      <c r="B159" t="s">
        <v>372</v>
      </c>
      <c r="C159" s="30">
        <v>45883</v>
      </c>
      <c r="D159" s="30" t="str">
        <f t="shared" si="4"/>
        <v>August</v>
      </c>
      <c r="E159" t="s">
        <v>373</v>
      </c>
      <c r="F159" t="s">
        <v>374</v>
      </c>
      <c r="G159" t="s">
        <v>365</v>
      </c>
      <c r="H159" t="s">
        <v>524</v>
      </c>
      <c r="I159">
        <v>0</v>
      </c>
      <c r="J159" s="43">
        <v>0</v>
      </c>
      <c r="K159" s="43">
        <v>5520.4</v>
      </c>
      <c r="L159" s="43">
        <f t="shared" si="5"/>
        <v>-5520.4</v>
      </c>
      <c r="M159">
        <v>1062</v>
      </c>
      <c r="N159" s="43">
        <v>0</v>
      </c>
      <c r="O159" s="43">
        <v>5520.4</v>
      </c>
      <c r="P159" t="s">
        <v>525</v>
      </c>
      <c r="Q159" t="s">
        <v>525</v>
      </c>
      <c r="R159">
        <v>892</v>
      </c>
      <c r="S159" s="30">
        <v>45888</v>
      </c>
      <c r="T159" t="s">
        <v>377</v>
      </c>
      <c r="U159" t="s">
        <v>378</v>
      </c>
      <c r="V159" t="s">
        <v>523</v>
      </c>
      <c r="W159" t="s">
        <v>525</v>
      </c>
      <c r="X159" t="s">
        <v>369</v>
      </c>
      <c r="Y159" t="s">
        <v>17</v>
      </c>
    </row>
    <row r="160" spans="1:25">
      <c r="A160">
        <v>103060</v>
      </c>
      <c r="B160" t="s">
        <v>372</v>
      </c>
      <c r="C160" s="30">
        <v>45887</v>
      </c>
      <c r="D160" s="30" t="str">
        <f t="shared" si="4"/>
        <v>August</v>
      </c>
      <c r="E160" t="s">
        <v>373</v>
      </c>
      <c r="F160" t="s">
        <v>374</v>
      </c>
      <c r="G160" t="s">
        <v>365</v>
      </c>
      <c r="H160" t="s">
        <v>526</v>
      </c>
      <c r="I160">
        <v>0</v>
      </c>
      <c r="J160" s="43">
        <v>0</v>
      </c>
      <c r="K160" s="43">
        <v>3780</v>
      </c>
      <c r="L160" s="43">
        <f t="shared" si="5"/>
        <v>-3780</v>
      </c>
      <c r="M160">
        <v>1062</v>
      </c>
      <c r="N160" s="43">
        <v>0</v>
      </c>
      <c r="O160" s="43">
        <v>3780</v>
      </c>
      <c r="P160" t="s">
        <v>527</v>
      </c>
      <c r="Q160" t="s">
        <v>527</v>
      </c>
      <c r="R160">
        <v>4135</v>
      </c>
      <c r="S160" s="30">
        <v>45888</v>
      </c>
      <c r="T160" t="s">
        <v>377</v>
      </c>
      <c r="U160" t="s">
        <v>378</v>
      </c>
      <c r="V160" t="s">
        <v>523</v>
      </c>
      <c r="W160" t="s">
        <v>527</v>
      </c>
      <c r="X160" t="s">
        <v>369</v>
      </c>
      <c r="Y160" s="1" t="s">
        <v>14</v>
      </c>
    </row>
    <row r="161" spans="1:25">
      <c r="A161">
        <v>103197</v>
      </c>
      <c r="B161" t="s">
        <v>362</v>
      </c>
      <c r="C161" s="30">
        <v>45898</v>
      </c>
      <c r="D161" s="30" t="str">
        <f t="shared" si="4"/>
        <v>August</v>
      </c>
      <c r="E161" t="s">
        <v>363</v>
      </c>
      <c r="F161" t="s">
        <v>364</v>
      </c>
      <c r="G161" t="s">
        <v>365</v>
      </c>
      <c r="H161" t="s">
        <v>528</v>
      </c>
      <c r="I161">
        <v>0</v>
      </c>
      <c r="J161" s="43">
        <v>0</v>
      </c>
      <c r="K161" s="43">
        <v>1864.8</v>
      </c>
      <c r="L161" s="43">
        <f t="shared" si="5"/>
        <v>-1864.8</v>
      </c>
      <c r="M161">
        <v>1062</v>
      </c>
      <c r="N161" s="43">
        <v>0</v>
      </c>
      <c r="O161" s="43">
        <v>4340.92</v>
      </c>
      <c r="S161" s="30">
        <v>45903</v>
      </c>
      <c r="U161" t="s">
        <v>367</v>
      </c>
      <c r="V161" t="s">
        <v>529</v>
      </c>
      <c r="X161" t="s">
        <v>369</v>
      </c>
      <c r="Y161" t="s">
        <v>32</v>
      </c>
    </row>
    <row r="162" spans="1:25">
      <c r="A162">
        <v>103197</v>
      </c>
      <c r="B162" t="s">
        <v>362</v>
      </c>
      <c r="C162" s="30">
        <v>45898</v>
      </c>
      <c r="D162" s="30" t="str">
        <f t="shared" si="4"/>
        <v>August</v>
      </c>
      <c r="E162" t="s">
        <v>363</v>
      </c>
      <c r="F162" t="s">
        <v>364</v>
      </c>
      <c r="G162" t="s">
        <v>365</v>
      </c>
      <c r="H162" t="s">
        <v>528</v>
      </c>
      <c r="I162">
        <v>0</v>
      </c>
      <c r="J162" s="43">
        <v>0</v>
      </c>
      <c r="K162" s="43">
        <v>2869.03</v>
      </c>
      <c r="L162" s="43">
        <f t="shared" si="5"/>
        <v>-2869.03</v>
      </c>
      <c r="M162">
        <v>1062</v>
      </c>
      <c r="N162" s="43">
        <v>0</v>
      </c>
      <c r="O162" s="43">
        <v>4340.92</v>
      </c>
      <c r="S162" s="30">
        <v>45903</v>
      </c>
      <c r="U162" t="s">
        <v>367</v>
      </c>
      <c r="V162" t="s">
        <v>529</v>
      </c>
      <c r="X162" t="s">
        <v>369</v>
      </c>
      <c r="Y162" t="s">
        <v>12</v>
      </c>
    </row>
    <row r="163" spans="1:25">
      <c r="A163">
        <v>103197</v>
      </c>
      <c r="B163" t="s">
        <v>362</v>
      </c>
      <c r="C163" s="30">
        <v>45898</v>
      </c>
      <c r="D163" s="30" t="str">
        <f t="shared" si="4"/>
        <v>August</v>
      </c>
      <c r="E163" t="s">
        <v>363</v>
      </c>
      <c r="F163" t="s">
        <v>364</v>
      </c>
      <c r="G163" t="s">
        <v>365</v>
      </c>
      <c r="H163" t="s">
        <v>528</v>
      </c>
      <c r="I163">
        <v>0</v>
      </c>
      <c r="J163" s="43">
        <v>0</v>
      </c>
      <c r="K163" s="43">
        <v>4536</v>
      </c>
      <c r="L163" s="43">
        <f t="shared" si="5"/>
        <v>-4536</v>
      </c>
      <c r="M163">
        <v>1062</v>
      </c>
      <c r="N163" s="43">
        <v>0</v>
      </c>
      <c r="O163" s="43">
        <v>4340.92</v>
      </c>
      <c r="S163" s="30">
        <v>45903</v>
      </c>
      <c r="U163" t="s">
        <v>367</v>
      </c>
      <c r="V163" t="s">
        <v>529</v>
      </c>
      <c r="X163" t="s">
        <v>369</v>
      </c>
      <c r="Y163" s="1" t="s">
        <v>14</v>
      </c>
    </row>
    <row r="164" spans="1:25">
      <c r="A164">
        <v>103194</v>
      </c>
      <c r="B164" t="s">
        <v>362</v>
      </c>
      <c r="C164" s="30">
        <v>45900</v>
      </c>
      <c r="D164" s="30" t="str">
        <f t="shared" si="4"/>
        <v>August</v>
      </c>
      <c r="E164" t="s">
        <v>370</v>
      </c>
      <c r="F164" t="s">
        <v>371</v>
      </c>
      <c r="G164" t="s">
        <v>365</v>
      </c>
      <c r="H164" t="s">
        <v>528</v>
      </c>
      <c r="I164">
        <v>0</v>
      </c>
      <c r="J164" s="43">
        <v>0</v>
      </c>
      <c r="K164" s="43">
        <v>484.57500000000005</v>
      </c>
      <c r="L164" s="43">
        <f t="shared" si="5"/>
        <v>-484.57500000000005</v>
      </c>
      <c r="M164">
        <v>1062</v>
      </c>
      <c r="N164" s="43">
        <v>0</v>
      </c>
      <c r="O164" s="43">
        <v>39224.82</v>
      </c>
      <c r="S164" s="30">
        <v>45902</v>
      </c>
      <c r="U164" t="s">
        <v>367</v>
      </c>
      <c r="V164" t="s">
        <v>530</v>
      </c>
      <c r="X164" t="s">
        <v>369</v>
      </c>
      <c r="Y164" t="s">
        <v>22</v>
      </c>
    </row>
    <row r="165" spans="1:25">
      <c r="A165">
        <v>103195</v>
      </c>
      <c r="B165" t="s">
        <v>362</v>
      </c>
      <c r="C165" s="30">
        <v>45900</v>
      </c>
      <c r="D165" s="30" t="str">
        <f t="shared" si="4"/>
        <v>August</v>
      </c>
      <c r="E165" t="s">
        <v>363</v>
      </c>
      <c r="F165" t="s">
        <v>364</v>
      </c>
      <c r="G165" t="s">
        <v>365</v>
      </c>
      <c r="H165" t="s">
        <v>528</v>
      </c>
      <c r="I165">
        <v>0</v>
      </c>
      <c r="J165" s="43">
        <v>0</v>
      </c>
      <c r="K165" s="43">
        <v>4340.9195199999995</v>
      </c>
      <c r="L165" s="43">
        <f t="shared" si="5"/>
        <v>-4340.9195199999995</v>
      </c>
      <c r="M165">
        <v>1062</v>
      </c>
      <c r="N165" s="43">
        <v>0</v>
      </c>
      <c r="O165" s="43">
        <v>484.58</v>
      </c>
      <c r="S165" s="30">
        <v>45903</v>
      </c>
      <c r="U165" t="s">
        <v>367</v>
      </c>
      <c r="V165" t="s">
        <v>531</v>
      </c>
      <c r="X165" t="s">
        <v>369</v>
      </c>
      <c r="Y165" t="s">
        <v>57</v>
      </c>
    </row>
    <row r="166" spans="1:25">
      <c r="A166">
        <v>103195</v>
      </c>
      <c r="B166" t="s">
        <v>362</v>
      </c>
      <c r="C166" s="30">
        <v>45900</v>
      </c>
      <c r="D166" s="30" t="str">
        <f t="shared" si="4"/>
        <v>August</v>
      </c>
      <c r="E166" t="s">
        <v>363</v>
      </c>
      <c r="F166" t="s">
        <v>364</v>
      </c>
      <c r="G166" t="s">
        <v>365</v>
      </c>
      <c r="H166" t="s">
        <v>528</v>
      </c>
      <c r="I166">
        <v>0</v>
      </c>
      <c r="J166" s="43">
        <v>0</v>
      </c>
      <c r="K166" s="43">
        <v>1282.6666666666667</v>
      </c>
      <c r="L166" s="43">
        <f t="shared" si="5"/>
        <v>-1282.6666666666667</v>
      </c>
      <c r="M166">
        <v>1062</v>
      </c>
      <c r="N166" s="43">
        <v>0</v>
      </c>
      <c r="O166" s="43">
        <v>484.58</v>
      </c>
      <c r="S166" s="30">
        <v>45903</v>
      </c>
      <c r="U166" t="s">
        <v>367</v>
      </c>
      <c r="V166" t="s">
        <v>531</v>
      </c>
      <c r="X166" t="s">
        <v>369</v>
      </c>
      <c r="Y166" s="1" t="s">
        <v>18</v>
      </c>
    </row>
    <row r="167" spans="1:25">
      <c r="A167">
        <v>103195</v>
      </c>
      <c r="B167" t="s">
        <v>362</v>
      </c>
      <c r="C167" s="30">
        <v>45900</v>
      </c>
      <c r="D167" s="30" t="str">
        <f t="shared" si="4"/>
        <v>August</v>
      </c>
      <c r="E167" t="s">
        <v>363</v>
      </c>
      <c r="F167" t="s">
        <v>364</v>
      </c>
      <c r="G167" t="s">
        <v>365</v>
      </c>
      <c r="H167" t="s">
        <v>528</v>
      </c>
      <c r="I167">
        <v>0</v>
      </c>
      <c r="J167" s="43">
        <v>0</v>
      </c>
      <c r="K167" s="43">
        <v>10734.933333333332</v>
      </c>
      <c r="L167" s="43">
        <f t="shared" si="5"/>
        <v>-10734.933333333332</v>
      </c>
      <c r="M167">
        <v>1062</v>
      </c>
      <c r="N167" s="43">
        <v>0</v>
      </c>
      <c r="O167" s="43">
        <v>484.58</v>
      </c>
      <c r="S167" s="30">
        <v>45903</v>
      </c>
      <c r="U167" t="s">
        <v>367</v>
      </c>
      <c r="V167" t="s">
        <v>531</v>
      </c>
      <c r="X167" t="s">
        <v>369</v>
      </c>
      <c r="Y167" t="s">
        <v>21</v>
      </c>
    </row>
    <row r="168" spans="1:25">
      <c r="A168">
        <v>103194</v>
      </c>
      <c r="B168" t="s">
        <v>362</v>
      </c>
      <c r="C168" s="30">
        <v>45900</v>
      </c>
      <c r="D168" s="30" t="str">
        <f t="shared" si="4"/>
        <v>August</v>
      </c>
      <c r="E168" t="s">
        <v>370</v>
      </c>
      <c r="F168" t="s">
        <v>371</v>
      </c>
      <c r="G168" t="s">
        <v>365</v>
      </c>
      <c r="H168" t="s">
        <v>528</v>
      </c>
      <c r="I168">
        <v>0</v>
      </c>
      <c r="J168" s="43">
        <v>0</v>
      </c>
      <c r="K168" s="43">
        <v>869.4</v>
      </c>
      <c r="L168" s="43">
        <f t="shared" si="5"/>
        <v>-869.4</v>
      </c>
      <c r="M168">
        <v>1062</v>
      </c>
      <c r="N168" s="43">
        <v>0</v>
      </c>
      <c r="O168" s="43">
        <v>39224.82</v>
      </c>
      <c r="S168" s="30">
        <v>45902</v>
      </c>
      <c r="U168" t="s">
        <v>367</v>
      </c>
      <c r="V168" t="s">
        <v>530</v>
      </c>
      <c r="X168" t="s">
        <v>369</v>
      </c>
      <c r="Y168" t="s">
        <v>12</v>
      </c>
    </row>
    <row r="169" spans="1:25">
      <c r="A169">
        <v>103194</v>
      </c>
      <c r="B169" t="s">
        <v>362</v>
      </c>
      <c r="C169" s="30">
        <v>45900</v>
      </c>
      <c r="D169" s="30" t="str">
        <f t="shared" si="4"/>
        <v>August</v>
      </c>
      <c r="E169" t="s">
        <v>370</v>
      </c>
      <c r="F169" t="s">
        <v>371</v>
      </c>
      <c r="G169" t="s">
        <v>365</v>
      </c>
      <c r="H169" t="s">
        <v>528</v>
      </c>
      <c r="I169">
        <v>0</v>
      </c>
      <c r="J169" s="43">
        <v>0</v>
      </c>
      <c r="K169" s="43">
        <v>2368</v>
      </c>
      <c r="L169" s="43">
        <f t="shared" si="5"/>
        <v>-2368</v>
      </c>
      <c r="M169">
        <v>1062</v>
      </c>
      <c r="N169" s="43">
        <v>0</v>
      </c>
      <c r="O169" s="43">
        <v>39224.82</v>
      </c>
      <c r="S169" s="30">
        <v>45902</v>
      </c>
      <c r="U169" t="s">
        <v>367</v>
      </c>
      <c r="V169" t="s">
        <v>530</v>
      </c>
      <c r="X169" t="s">
        <v>369</v>
      </c>
      <c r="Y169" t="s">
        <v>17</v>
      </c>
    </row>
    <row r="170" spans="1:25">
      <c r="A170">
        <v>103194</v>
      </c>
      <c r="B170" t="s">
        <v>362</v>
      </c>
      <c r="C170" s="30">
        <v>45900</v>
      </c>
      <c r="D170" s="30" t="str">
        <f t="shared" si="4"/>
        <v>August</v>
      </c>
      <c r="E170" t="s">
        <v>370</v>
      </c>
      <c r="F170" t="s">
        <v>371</v>
      </c>
      <c r="G170" t="s">
        <v>365</v>
      </c>
      <c r="H170" t="s">
        <v>528</v>
      </c>
      <c r="I170">
        <v>0</v>
      </c>
      <c r="J170" s="43">
        <v>0</v>
      </c>
      <c r="K170" s="43">
        <v>2520</v>
      </c>
      <c r="L170" s="43">
        <f t="shared" si="5"/>
        <v>-2520</v>
      </c>
      <c r="M170">
        <v>1062</v>
      </c>
      <c r="N170" s="43">
        <v>0</v>
      </c>
      <c r="O170" s="43">
        <v>39224.82</v>
      </c>
      <c r="S170" s="30">
        <v>45902</v>
      </c>
      <c r="U170" t="s">
        <v>367</v>
      </c>
      <c r="V170" t="s">
        <v>530</v>
      </c>
      <c r="X170" t="s">
        <v>369</v>
      </c>
      <c r="Y170" s="1" t="s">
        <v>14</v>
      </c>
    </row>
    <row r="171" spans="1:25">
      <c r="A171">
        <v>103195</v>
      </c>
      <c r="B171" t="s">
        <v>362</v>
      </c>
      <c r="C171" s="30">
        <v>45900</v>
      </c>
      <c r="D171" s="30" t="str">
        <f t="shared" si="4"/>
        <v>August</v>
      </c>
      <c r="E171" t="s">
        <v>363</v>
      </c>
      <c r="F171" t="s">
        <v>364</v>
      </c>
      <c r="G171" t="s">
        <v>365</v>
      </c>
      <c r="H171" t="s">
        <v>528</v>
      </c>
      <c r="I171">
        <v>0</v>
      </c>
      <c r="J171" s="43">
        <v>0</v>
      </c>
      <c r="K171" s="43">
        <v>10374.000000000002</v>
      </c>
      <c r="L171" s="43">
        <f t="shared" si="5"/>
        <v>-10374.000000000002</v>
      </c>
      <c r="M171">
        <v>1062</v>
      </c>
      <c r="N171" s="43">
        <v>0</v>
      </c>
      <c r="O171" s="43">
        <v>484.58</v>
      </c>
      <c r="S171" s="30">
        <v>45903</v>
      </c>
      <c r="U171" t="s">
        <v>367</v>
      </c>
      <c r="V171" t="s">
        <v>531</v>
      </c>
      <c r="X171" t="s">
        <v>369</v>
      </c>
      <c r="Y171" s="1" t="s">
        <v>14</v>
      </c>
    </row>
    <row r="172" spans="1:25">
      <c r="A172">
        <v>103195</v>
      </c>
      <c r="B172" t="s">
        <v>362</v>
      </c>
      <c r="C172" s="30">
        <v>45900</v>
      </c>
      <c r="D172" s="30" t="str">
        <f t="shared" si="4"/>
        <v>August</v>
      </c>
      <c r="E172" t="s">
        <v>363</v>
      </c>
      <c r="F172" t="s">
        <v>364</v>
      </c>
      <c r="G172" t="s">
        <v>365</v>
      </c>
      <c r="H172" t="s">
        <v>528</v>
      </c>
      <c r="I172">
        <v>0</v>
      </c>
      <c r="J172" s="43">
        <v>0</v>
      </c>
      <c r="K172" s="43">
        <v>882</v>
      </c>
      <c r="L172" s="43">
        <f t="shared" si="5"/>
        <v>-882</v>
      </c>
      <c r="M172">
        <v>1062</v>
      </c>
      <c r="N172" s="43">
        <v>0</v>
      </c>
      <c r="O172" s="43">
        <v>484.58</v>
      </c>
      <c r="S172" s="30">
        <v>45903</v>
      </c>
      <c r="U172" t="s">
        <v>367</v>
      </c>
      <c r="V172" t="s">
        <v>531</v>
      </c>
      <c r="X172" t="s">
        <v>369</v>
      </c>
      <c r="Y172" s="1" t="s">
        <v>14</v>
      </c>
    </row>
    <row r="173" spans="1:25">
      <c r="A173">
        <v>103194</v>
      </c>
      <c r="B173" t="s">
        <v>362</v>
      </c>
      <c r="C173" s="30">
        <v>45900</v>
      </c>
      <c r="D173" s="30" t="str">
        <f t="shared" si="4"/>
        <v>August</v>
      </c>
      <c r="E173" t="s">
        <v>370</v>
      </c>
      <c r="F173" t="s">
        <v>371</v>
      </c>
      <c r="G173" t="s">
        <v>365</v>
      </c>
      <c r="H173" t="s">
        <v>528</v>
      </c>
      <c r="I173">
        <v>0</v>
      </c>
      <c r="J173" s="43">
        <v>0</v>
      </c>
      <c r="K173" s="43">
        <v>923.99999999999989</v>
      </c>
      <c r="L173" s="43">
        <f t="shared" si="5"/>
        <v>-923.99999999999989</v>
      </c>
      <c r="M173">
        <v>1062</v>
      </c>
      <c r="N173" s="43">
        <v>0</v>
      </c>
      <c r="O173" s="43">
        <v>39224.82</v>
      </c>
      <c r="S173" s="30">
        <v>45902</v>
      </c>
      <c r="U173" t="s">
        <v>367</v>
      </c>
      <c r="V173" t="s">
        <v>530</v>
      </c>
      <c r="X173" t="s">
        <v>369</v>
      </c>
      <c r="Y173" s="1" t="s">
        <v>14</v>
      </c>
    </row>
    <row r="174" spans="1:25">
      <c r="A174">
        <v>103193</v>
      </c>
      <c r="B174" t="s">
        <v>362</v>
      </c>
      <c r="C174" s="30">
        <v>45900</v>
      </c>
      <c r="D174" s="30" t="str">
        <f t="shared" si="4"/>
        <v>August</v>
      </c>
      <c r="E174" t="s">
        <v>391</v>
      </c>
      <c r="F174" t="s">
        <v>392</v>
      </c>
      <c r="G174" t="s">
        <v>365</v>
      </c>
      <c r="H174" t="s">
        <v>532</v>
      </c>
      <c r="I174">
        <v>0</v>
      </c>
      <c r="J174" s="43">
        <v>0</v>
      </c>
      <c r="K174" s="43">
        <v>2055.81</v>
      </c>
      <c r="L174" s="43">
        <f t="shared" si="5"/>
        <v>-2055.81</v>
      </c>
      <c r="M174">
        <v>1062</v>
      </c>
      <c r="N174" s="43">
        <v>0</v>
      </c>
      <c r="O174" s="43">
        <v>2055.81</v>
      </c>
      <c r="S174" s="30">
        <v>45902</v>
      </c>
      <c r="U174" t="s">
        <v>367</v>
      </c>
      <c r="V174" t="s">
        <v>533</v>
      </c>
      <c r="X174" t="s">
        <v>369</v>
      </c>
      <c r="Y174" t="s">
        <v>13</v>
      </c>
    </row>
    <row r="175" spans="1:25">
      <c r="A175">
        <v>103197</v>
      </c>
      <c r="B175" t="s">
        <v>362</v>
      </c>
      <c r="C175" s="30">
        <v>45901</v>
      </c>
      <c r="D175" s="30" t="str">
        <f t="shared" si="4"/>
        <v>September</v>
      </c>
      <c r="E175" t="s">
        <v>363</v>
      </c>
      <c r="F175" t="s">
        <v>364</v>
      </c>
      <c r="G175" t="s">
        <v>365</v>
      </c>
      <c r="H175" t="s">
        <v>528</v>
      </c>
      <c r="I175">
        <v>0</v>
      </c>
      <c r="J175" s="43">
        <v>1864.8</v>
      </c>
      <c r="K175" s="43">
        <v>0</v>
      </c>
      <c r="L175" s="43">
        <f t="shared" si="5"/>
        <v>1864.8</v>
      </c>
      <c r="M175">
        <v>1062</v>
      </c>
      <c r="N175" s="43">
        <v>0</v>
      </c>
      <c r="O175" s="43">
        <v>4340.92</v>
      </c>
      <c r="S175" s="30">
        <v>45903</v>
      </c>
      <c r="U175" t="s">
        <v>367</v>
      </c>
      <c r="V175" t="s">
        <v>529</v>
      </c>
      <c r="X175" t="s">
        <v>369</v>
      </c>
      <c r="Y175" t="s">
        <v>32</v>
      </c>
    </row>
    <row r="176" spans="1:25">
      <c r="A176">
        <v>103194</v>
      </c>
      <c r="B176" t="s">
        <v>362</v>
      </c>
      <c r="C176" s="30">
        <v>45901</v>
      </c>
      <c r="D176" s="30" t="str">
        <f t="shared" si="4"/>
        <v>September</v>
      </c>
      <c r="E176" t="s">
        <v>370</v>
      </c>
      <c r="F176" t="s">
        <v>371</v>
      </c>
      <c r="G176" t="s">
        <v>365</v>
      </c>
      <c r="H176" t="s">
        <v>528</v>
      </c>
      <c r="I176">
        <v>0</v>
      </c>
      <c r="J176" s="43">
        <v>484.57500000000005</v>
      </c>
      <c r="K176" s="43">
        <v>0</v>
      </c>
      <c r="L176" s="43">
        <f t="shared" si="5"/>
        <v>484.57500000000005</v>
      </c>
      <c r="M176">
        <v>1062</v>
      </c>
      <c r="N176" s="43">
        <v>0</v>
      </c>
      <c r="O176" s="43">
        <v>39224.82</v>
      </c>
      <c r="S176" s="30">
        <v>45902</v>
      </c>
      <c r="U176" t="s">
        <v>367</v>
      </c>
      <c r="V176" t="s">
        <v>530</v>
      </c>
      <c r="X176" t="s">
        <v>369</v>
      </c>
      <c r="Y176" t="s">
        <v>22</v>
      </c>
    </row>
    <row r="177" spans="1:25">
      <c r="A177">
        <v>103195</v>
      </c>
      <c r="B177" t="s">
        <v>362</v>
      </c>
      <c r="C177" s="30">
        <v>45901</v>
      </c>
      <c r="D177" s="30" t="str">
        <f t="shared" si="4"/>
        <v>September</v>
      </c>
      <c r="E177" t="s">
        <v>363</v>
      </c>
      <c r="F177" t="s">
        <v>364</v>
      </c>
      <c r="G177" t="s">
        <v>365</v>
      </c>
      <c r="H177" t="s">
        <v>528</v>
      </c>
      <c r="I177">
        <v>0</v>
      </c>
      <c r="J177" s="43">
        <v>4340.9195199999995</v>
      </c>
      <c r="K177" s="43">
        <v>0</v>
      </c>
      <c r="L177" s="43">
        <f t="shared" si="5"/>
        <v>4340.9195199999995</v>
      </c>
      <c r="M177">
        <v>1062</v>
      </c>
      <c r="N177" s="43">
        <v>0</v>
      </c>
      <c r="O177" s="43">
        <v>484.58</v>
      </c>
      <c r="S177" s="30">
        <v>45903</v>
      </c>
      <c r="U177" t="s">
        <v>367</v>
      </c>
      <c r="V177" t="s">
        <v>531</v>
      </c>
      <c r="X177" t="s">
        <v>369</v>
      </c>
      <c r="Y177" t="s">
        <v>57</v>
      </c>
    </row>
    <row r="178" spans="1:25">
      <c r="A178">
        <v>103195</v>
      </c>
      <c r="B178" t="s">
        <v>362</v>
      </c>
      <c r="C178" s="30">
        <v>45901</v>
      </c>
      <c r="D178" s="30" t="str">
        <f t="shared" si="4"/>
        <v>September</v>
      </c>
      <c r="E178" t="s">
        <v>363</v>
      </c>
      <c r="F178" t="s">
        <v>364</v>
      </c>
      <c r="G178" t="s">
        <v>365</v>
      </c>
      <c r="H178" t="s">
        <v>528</v>
      </c>
      <c r="I178">
        <v>0</v>
      </c>
      <c r="J178" s="43">
        <v>1282.6666666666667</v>
      </c>
      <c r="K178" s="43">
        <v>0</v>
      </c>
      <c r="L178" s="43">
        <f t="shared" si="5"/>
        <v>1282.6666666666667</v>
      </c>
      <c r="M178">
        <v>1062</v>
      </c>
      <c r="N178" s="43">
        <v>0</v>
      </c>
      <c r="O178" s="43">
        <v>484.58</v>
      </c>
      <c r="S178" s="30">
        <v>45903</v>
      </c>
      <c r="U178" t="s">
        <v>367</v>
      </c>
      <c r="V178" t="s">
        <v>531</v>
      </c>
      <c r="X178" t="s">
        <v>369</v>
      </c>
      <c r="Y178" s="1" t="s">
        <v>18</v>
      </c>
    </row>
    <row r="179" spans="1:25">
      <c r="A179">
        <v>103195</v>
      </c>
      <c r="B179" t="s">
        <v>362</v>
      </c>
      <c r="C179" s="30">
        <v>45901</v>
      </c>
      <c r="D179" s="30" t="str">
        <f t="shared" si="4"/>
        <v>September</v>
      </c>
      <c r="E179" t="s">
        <v>363</v>
      </c>
      <c r="F179" t="s">
        <v>364</v>
      </c>
      <c r="G179" t="s">
        <v>365</v>
      </c>
      <c r="H179" t="s">
        <v>528</v>
      </c>
      <c r="I179">
        <v>0</v>
      </c>
      <c r="J179" s="43">
        <v>10734.933333333332</v>
      </c>
      <c r="K179" s="43">
        <v>0</v>
      </c>
      <c r="L179" s="43">
        <f t="shared" si="5"/>
        <v>10734.933333333332</v>
      </c>
      <c r="M179">
        <v>1062</v>
      </c>
      <c r="N179" s="43">
        <v>0</v>
      </c>
      <c r="O179" s="43">
        <v>484.58</v>
      </c>
      <c r="S179" s="30">
        <v>45903</v>
      </c>
      <c r="U179" t="s">
        <v>367</v>
      </c>
      <c r="V179" t="s">
        <v>531</v>
      </c>
      <c r="X179" t="s">
        <v>369</v>
      </c>
      <c r="Y179" t="s">
        <v>21</v>
      </c>
    </row>
    <row r="180" spans="1:25">
      <c r="A180">
        <v>103197</v>
      </c>
      <c r="B180" t="s">
        <v>362</v>
      </c>
      <c r="C180" s="30">
        <v>45901</v>
      </c>
      <c r="D180" s="30" t="str">
        <f t="shared" si="4"/>
        <v>September</v>
      </c>
      <c r="E180" t="s">
        <v>363</v>
      </c>
      <c r="F180" t="s">
        <v>364</v>
      </c>
      <c r="G180" t="s">
        <v>365</v>
      </c>
      <c r="H180" t="s">
        <v>528</v>
      </c>
      <c r="I180">
        <v>0</v>
      </c>
      <c r="J180" s="43">
        <v>2869.03</v>
      </c>
      <c r="K180" s="43">
        <v>0</v>
      </c>
      <c r="L180" s="43">
        <f t="shared" si="5"/>
        <v>2869.03</v>
      </c>
      <c r="M180">
        <v>1062</v>
      </c>
      <c r="N180" s="43">
        <v>0</v>
      </c>
      <c r="O180" s="43">
        <v>4340.92</v>
      </c>
      <c r="S180" s="30">
        <v>45903</v>
      </c>
      <c r="U180" t="s">
        <v>367</v>
      </c>
      <c r="V180" t="s">
        <v>529</v>
      </c>
      <c r="X180" t="s">
        <v>369</v>
      </c>
      <c r="Y180" t="s">
        <v>12</v>
      </c>
    </row>
    <row r="181" spans="1:25">
      <c r="A181">
        <v>103194</v>
      </c>
      <c r="B181" t="s">
        <v>362</v>
      </c>
      <c r="C181" s="30">
        <v>45901</v>
      </c>
      <c r="D181" s="30" t="str">
        <f t="shared" si="4"/>
        <v>September</v>
      </c>
      <c r="E181" t="s">
        <v>370</v>
      </c>
      <c r="F181" t="s">
        <v>371</v>
      </c>
      <c r="G181" t="s">
        <v>365</v>
      </c>
      <c r="H181" t="s">
        <v>528</v>
      </c>
      <c r="I181">
        <v>0</v>
      </c>
      <c r="J181" s="43">
        <v>869.4</v>
      </c>
      <c r="K181" s="43">
        <v>0</v>
      </c>
      <c r="L181" s="43">
        <f t="shared" si="5"/>
        <v>869.4</v>
      </c>
      <c r="M181">
        <v>1062</v>
      </c>
      <c r="N181" s="43">
        <v>0</v>
      </c>
      <c r="O181" s="43">
        <v>39224.82</v>
      </c>
      <c r="S181" s="30">
        <v>45902</v>
      </c>
      <c r="U181" t="s">
        <v>367</v>
      </c>
      <c r="V181" t="s">
        <v>530</v>
      </c>
      <c r="X181" t="s">
        <v>369</v>
      </c>
      <c r="Y181" t="s">
        <v>12</v>
      </c>
    </row>
    <row r="182" spans="1:25">
      <c r="A182">
        <v>103194</v>
      </c>
      <c r="B182" t="s">
        <v>362</v>
      </c>
      <c r="C182" s="30">
        <v>45901</v>
      </c>
      <c r="D182" s="30" t="str">
        <f t="shared" si="4"/>
        <v>September</v>
      </c>
      <c r="E182" t="s">
        <v>370</v>
      </c>
      <c r="F182" t="s">
        <v>371</v>
      </c>
      <c r="G182" t="s">
        <v>365</v>
      </c>
      <c r="H182" t="s">
        <v>528</v>
      </c>
      <c r="I182">
        <v>0</v>
      </c>
      <c r="J182" s="43">
        <v>2368</v>
      </c>
      <c r="K182" s="43">
        <v>0</v>
      </c>
      <c r="L182" s="43">
        <f t="shared" si="5"/>
        <v>2368</v>
      </c>
      <c r="M182">
        <v>1062</v>
      </c>
      <c r="N182" s="43">
        <v>0</v>
      </c>
      <c r="O182" s="43">
        <v>39224.82</v>
      </c>
      <c r="S182" s="30">
        <v>45902</v>
      </c>
      <c r="U182" t="s">
        <v>367</v>
      </c>
      <c r="V182" t="s">
        <v>530</v>
      </c>
      <c r="X182" t="s">
        <v>369</v>
      </c>
      <c r="Y182" t="s">
        <v>17</v>
      </c>
    </row>
    <row r="183" spans="1:25">
      <c r="A183">
        <v>103197</v>
      </c>
      <c r="B183" t="s">
        <v>362</v>
      </c>
      <c r="C183" s="30">
        <v>45901</v>
      </c>
      <c r="D183" s="30" t="str">
        <f t="shared" si="4"/>
        <v>September</v>
      </c>
      <c r="E183" t="s">
        <v>363</v>
      </c>
      <c r="F183" t="s">
        <v>364</v>
      </c>
      <c r="G183" t="s">
        <v>365</v>
      </c>
      <c r="H183" t="s">
        <v>528</v>
      </c>
      <c r="I183">
        <v>0</v>
      </c>
      <c r="J183" s="43">
        <v>4536</v>
      </c>
      <c r="K183" s="43">
        <v>0</v>
      </c>
      <c r="L183" s="43">
        <f t="shared" si="5"/>
        <v>4536</v>
      </c>
      <c r="M183">
        <v>1062</v>
      </c>
      <c r="N183" s="43">
        <v>0</v>
      </c>
      <c r="O183" s="43">
        <v>4340.92</v>
      </c>
      <c r="S183" s="30">
        <v>45903</v>
      </c>
      <c r="U183" t="s">
        <v>367</v>
      </c>
      <c r="V183" t="s">
        <v>529</v>
      </c>
      <c r="X183" t="s">
        <v>369</v>
      </c>
      <c r="Y183" s="1" t="s">
        <v>14</v>
      </c>
    </row>
    <row r="184" spans="1:25">
      <c r="A184">
        <v>103194</v>
      </c>
      <c r="B184" t="s">
        <v>362</v>
      </c>
      <c r="C184" s="30">
        <v>45901</v>
      </c>
      <c r="D184" s="30" t="str">
        <f t="shared" si="4"/>
        <v>September</v>
      </c>
      <c r="E184" t="s">
        <v>370</v>
      </c>
      <c r="F184" t="s">
        <v>371</v>
      </c>
      <c r="G184" t="s">
        <v>365</v>
      </c>
      <c r="H184" t="s">
        <v>528</v>
      </c>
      <c r="I184">
        <v>0</v>
      </c>
      <c r="J184" s="43">
        <v>2520</v>
      </c>
      <c r="K184" s="43">
        <v>0</v>
      </c>
      <c r="L184" s="43">
        <f t="shared" si="5"/>
        <v>2520</v>
      </c>
      <c r="M184">
        <v>1062</v>
      </c>
      <c r="N184" s="43">
        <v>0</v>
      </c>
      <c r="O184" s="43">
        <v>39224.82</v>
      </c>
      <c r="S184" s="30">
        <v>45902</v>
      </c>
      <c r="U184" t="s">
        <v>367</v>
      </c>
      <c r="V184" t="s">
        <v>530</v>
      </c>
      <c r="X184" t="s">
        <v>369</v>
      </c>
      <c r="Y184" s="1" t="s">
        <v>14</v>
      </c>
    </row>
    <row r="185" spans="1:25">
      <c r="A185">
        <v>103195</v>
      </c>
      <c r="B185" t="s">
        <v>362</v>
      </c>
      <c r="C185" s="30">
        <v>45901</v>
      </c>
      <c r="D185" s="30" t="str">
        <f t="shared" si="4"/>
        <v>September</v>
      </c>
      <c r="E185" t="s">
        <v>363</v>
      </c>
      <c r="F185" t="s">
        <v>364</v>
      </c>
      <c r="G185" t="s">
        <v>365</v>
      </c>
      <c r="H185" t="s">
        <v>528</v>
      </c>
      <c r="I185">
        <v>0</v>
      </c>
      <c r="J185" s="43">
        <v>10374.000000000002</v>
      </c>
      <c r="K185" s="43">
        <v>0</v>
      </c>
      <c r="L185" s="43">
        <f t="shared" si="5"/>
        <v>10374.000000000002</v>
      </c>
      <c r="M185">
        <v>1062</v>
      </c>
      <c r="N185" s="43">
        <v>0</v>
      </c>
      <c r="O185" s="43">
        <v>484.58</v>
      </c>
      <c r="S185" s="30">
        <v>45903</v>
      </c>
      <c r="U185" t="s">
        <v>367</v>
      </c>
      <c r="V185" t="s">
        <v>531</v>
      </c>
      <c r="X185" t="s">
        <v>369</v>
      </c>
      <c r="Y185" s="1" t="s">
        <v>14</v>
      </c>
    </row>
    <row r="186" spans="1:25">
      <c r="A186">
        <v>103195</v>
      </c>
      <c r="B186" t="s">
        <v>362</v>
      </c>
      <c r="C186" s="30">
        <v>45901</v>
      </c>
      <c r="D186" s="30" t="str">
        <f t="shared" si="4"/>
        <v>September</v>
      </c>
      <c r="E186" t="s">
        <v>363</v>
      </c>
      <c r="F186" t="s">
        <v>364</v>
      </c>
      <c r="G186" t="s">
        <v>365</v>
      </c>
      <c r="H186" t="s">
        <v>528</v>
      </c>
      <c r="I186">
        <v>0</v>
      </c>
      <c r="J186" s="43">
        <v>882</v>
      </c>
      <c r="K186" s="43">
        <v>0</v>
      </c>
      <c r="L186" s="43">
        <f t="shared" si="5"/>
        <v>882</v>
      </c>
      <c r="M186">
        <v>1062</v>
      </c>
      <c r="N186" s="43">
        <v>0</v>
      </c>
      <c r="O186" s="43">
        <v>484.58</v>
      </c>
      <c r="S186" s="30">
        <v>45903</v>
      </c>
      <c r="U186" t="s">
        <v>367</v>
      </c>
      <c r="V186" t="s">
        <v>531</v>
      </c>
      <c r="X186" t="s">
        <v>369</v>
      </c>
      <c r="Y186" s="1" t="s">
        <v>14</v>
      </c>
    </row>
    <row r="187" spans="1:25">
      <c r="A187">
        <v>103194</v>
      </c>
      <c r="B187" t="s">
        <v>362</v>
      </c>
      <c r="C187" s="30">
        <v>45901</v>
      </c>
      <c r="D187" s="30" t="str">
        <f t="shared" si="4"/>
        <v>September</v>
      </c>
      <c r="E187" t="s">
        <v>370</v>
      </c>
      <c r="F187" t="s">
        <v>371</v>
      </c>
      <c r="G187" t="s">
        <v>365</v>
      </c>
      <c r="H187" t="s">
        <v>528</v>
      </c>
      <c r="I187">
        <v>0</v>
      </c>
      <c r="J187" s="43">
        <v>923.99999999999989</v>
      </c>
      <c r="K187" s="43">
        <v>0</v>
      </c>
      <c r="L187" s="43">
        <f t="shared" si="5"/>
        <v>923.99999999999989</v>
      </c>
      <c r="M187">
        <v>1062</v>
      </c>
      <c r="N187" s="43">
        <v>0</v>
      </c>
      <c r="O187" s="43">
        <v>39224.82</v>
      </c>
      <c r="S187" s="30">
        <v>45902</v>
      </c>
      <c r="U187" t="s">
        <v>367</v>
      </c>
      <c r="V187" t="s">
        <v>530</v>
      </c>
      <c r="X187" t="s">
        <v>369</v>
      </c>
      <c r="Y187" s="1" t="s">
        <v>14</v>
      </c>
    </row>
    <row r="188" spans="1:25">
      <c r="A188">
        <v>103367</v>
      </c>
      <c r="B188" t="s">
        <v>372</v>
      </c>
      <c r="C188" s="30">
        <v>45912</v>
      </c>
      <c r="D188" s="30" t="str">
        <f t="shared" si="4"/>
        <v>September</v>
      </c>
      <c r="E188" t="s">
        <v>391</v>
      </c>
      <c r="F188" t="s">
        <v>392</v>
      </c>
      <c r="G188" t="s">
        <v>365</v>
      </c>
      <c r="H188" t="s">
        <v>336</v>
      </c>
      <c r="I188">
        <v>0</v>
      </c>
      <c r="J188" s="43">
        <v>0</v>
      </c>
      <c r="K188" s="43">
        <v>2739.74</v>
      </c>
      <c r="L188" s="43">
        <f t="shared" si="5"/>
        <v>-2739.74</v>
      </c>
      <c r="M188">
        <v>1062</v>
      </c>
      <c r="N188" s="43">
        <v>0</v>
      </c>
      <c r="O188" s="43">
        <v>2739.74</v>
      </c>
      <c r="P188" t="s">
        <v>337</v>
      </c>
      <c r="Q188" t="s">
        <v>337</v>
      </c>
      <c r="R188">
        <v>4100</v>
      </c>
      <c r="S188" s="30">
        <v>45925</v>
      </c>
      <c r="T188" t="s">
        <v>377</v>
      </c>
      <c r="U188" t="s">
        <v>378</v>
      </c>
      <c r="V188" t="s">
        <v>534</v>
      </c>
      <c r="W188" t="s">
        <v>372</v>
      </c>
      <c r="X188" t="s">
        <v>369</v>
      </c>
      <c r="Y188" t="s">
        <v>57</v>
      </c>
    </row>
    <row r="189" spans="1:25">
      <c r="A189">
        <v>103367</v>
      </c>
      <c r="B189" t="s">
        <v>372</v>
      </c>
      <c r="C189" s="30">
        <v>45912</v>
      </c>
      <c r="D189" s="30" t="str">
        <f t="shared" si="4"/>
        <v>September</v>
      </c>
      <c r="E189" t="s">
        <v>391</v>
      </c>
      <c r="F189" t="s">
        <v>392</v>
      </c>
      <c r="G189" t="s">
        <v>365</v>
      </c>
      <c r="H189" t="s">
        <v>336</v>
      </c>
      <c r="I189">
        <v>0</v>
      </c>
      <c r="J189" s="43">
        <v>0</v>
      </c>
      <c r="K189" s="43">
        <v>1603.75</v>
      </c>
      <c r="L189" s="43">
        <f t="shared" si="5"/>
        <v>-1603.75</v>
      </c>
      <c r="M189">
        <v>1062</v>
      </c>
      <c r="N189" s="43">
        <v>0</v>
      </c>
      <c r="O189" s="43">
        <v>1603.75</v>
      </c>
      <c r="P189" t="s">
        <v>337</v>
      </c>
      <c r="Q189" t="s">
        <v>337</v>
      </c>
      <c r="R189">
        <v>4100</v>
      </c>
      <c r="S189" s="30">
        <v>45925</v>
      </c>
      <c r="T189" t="s">
        <v>377</v>
      </c>
      <c r="U189" t="s">
        <v>378</v>
      </c>
      <c r="V189" t="s">
        <v>534</v>
      </c>
      <c r="W189" t="s">
        <v>372</v>
      </c>
      <c r="X189" t="s">
        <v>369</v>
      </c>
      <c r="Y189" t="s">
        <v>57</v>
      </c>
    </row>
    <row r="190" spans="1:25">
      <c r="A190">
        <v>103368</v>
      </c>
      <c r="B190" t="s">
        <v>372</v>
      </c>
      <c r="C190" s="30">
        <v>45912</v>
      </c>
      <c r="D190" s="30" t="str">
        <f t="shared" si="4"/>
        <v>September</v>
      </c>
      <c r="E190" t="s">
        <v>391</v>
      </c>
      <c r="F190" t="s">
        <v>392</v>
      </c>
      <c r="G190" t="s">
        <v>365</v>
      </c>
      <c r="H190" t="s">
        <v>336</v>
      </c>
      <c r="I190">
        <v>0</v>
      </c>
      <c r="J190" s="43">
        <v>0</v>
      </c>
      <c r="K190" s="43">
        <v>2739.74</v>
      </c>
      <c r="L190" s="43">
        <f t="shared" si="5"/>
        <v>-2739.74</v>
      </c>
      <c r="M190">
        <v>1062</v>
      </c>
      <c r="N190" s="43">
        <v>0</v>
      </c>
      <c r="O190" s="43">
        <v>2739.74</v>
      </c>
      <c r="P190" t="s">
        <v>535</v>
      </c>
      <c r="Q190" t="s">
        <v>535</v>
      </c>
      <c r="R190">
        <v>4100</v>
      </c>
      <c r="S190" s="30">
        <v>45925</v>
      </c>
      <c r="T190" t="s">
        <v>377</v>
      </c>
      <c r="U190" t="s">
        <v>378</v>
      </c>
      <c r="V190" t="s">
        <v>534</v>
      </c>
      <c r="W190" t="s">
        <v>372</v>
      </c>
      <c r="X190" t="s">
        <v>369</v>
      </c>
      <c r="Y190" t="s">
        <v>57</v>
      </c>
    </row>
    <row r="191" spans="1:25">
      <c r="A191">
        <v>103368</v>
      </c>
      <c r="B191" t="s">
        <v>372</v>
      </c>
      <c r="C191" s="30">
        <v>45912</v>
      </c>
      <c r="D191" s="30" t="str">
        <f t="shared" si="4"/>
        <v>September</v>
      </c>
      <c r="E191" t="s">
        <v>391</v>
      </c>
      <c r="F191" t="s">
        <v>392</v>
      </c>
      <c r="G191" t="s">
        <v>365</v>
      </c>
      <c r="H191" t="s">
        <v>336</v>
      </c>
      <c r="I191">
        <v>0</v>
      </c>
      <c r="J191" s="43">
        <v>0</v>
      </c>
      <c r="K191" s="43">
        <v>1603.75</v>
      </c>
      <c r="L191" s="43">
        <f t="shared" si="5"/>
        <v>-1603.75</v>
      </c>
      <c r="M191">
        <v>1062</v>
      </c>
      <c r="N191" s="43">
        <v>0</v>
      </c>
      <c r="O191" s="43">
        <v>1603.75</v>
      </c>
      <c r="P191" t="s">
        <v>535</v>
      </c>
      <c r="Q191" t="s">
        <v>535</v>
      </c>
      <c r="R191">
        <v>4100</v>
      </c>
      <c r="S191" s="30">
        <v>45925</v>
      </c>
      <c r="T191" t="s">
        <v>377</v>
      </c>
      <c r="U191" t="s">
        <v>378</v>
      </c>
      <c r="V191" t="s">
        <v>534</v>
      </c>
      <c r="W191" t="s">
        <v>372</v>
      </c>
      <c r="X191" t="s">
        <v>369</v>
      </c>
      <c r="Y191" t="s">
        <v>57</v>
      </c>
    </row>
    <row r="192" spans="1:25">
      <c r="A192">
        <v>103421</v>
      </c>
      <c r="B192" t="s">
        <v>372</v>
      </c>
      <c r="C192" s="30">
        <v>45916</v>
      </c>
      <c r="D192" s="30" t="str">
        <f t="shared" si="4"/>
        <v>September</v>
      </c>
      <c r="E192" t="s">
        <v>373</v>
      </c>
      <c r="F192" t="s">
        <v>374</v>
      </c>
      <c r="G192" t="s">
        <v>365</v>
      </c>
      <c r="H192" t="s">
        <v>536</v>
      </c>
      <c r="I192">
        <v>0</v>
      </c>
      <c r="J192" s="43">
        <v>0</v>
      </c>
      <c r="K192" s="43">
        <v>2619.6</v>
      </c>
      <c r="L192" s="43">
        <f t="shared" si="5"/>
        <v>-2619.6</v>
      </c>
      <c r="M192">
        <v>1062</v>
      </c>
      <c r="N192" s="43">
        <v>0</v>
      </c>
      <c r="O192" s="43">
        <v>2619.6</v>
      </c>
      <c r="P192" t="s">
        <v>537</v>
      </c>
      <c r="Q192" t="s">
        <v>537</v>
      </c>
      <c r="R192">
        <v>4070</v>
      </c>
      <c r="S192" s="30">
        <v>45931</v>
      </c>
      <c r="T192" t="s">
        <v>377</v>
      </c>
      <c r="U192" t="s">
        <v>378</v>
      </c>
      <c r="V192" t="s">
        <v>538</v>
      </c>
      <c r="W192" t="s">
        <v>372</v>
      </c>
      <c r="X192" t="s">
        <v>369</v>
      </c>
      <c r="Y192" t="s">
        <v>32</v>
      </c>
    </row>
    <row r="193" spans="1:25">
      <c r="A193">
        <v>103398</v>
      </c>
      <c r="B193" t="s">
        <v>372</v>
      </c>
      <c r="C193" s="30">
        <v>45916</v>
      </c>
      <c r="D193" s="30" t="str">
        <f t="shared" si="4"/>
        <v>September</v>
      </c>
      <c r="E193" t="s">
        <v>373</v>
      </c>
      <c r="F193" t="s">
        <v>374</v>
      </c>
      <c r="G193" t="s">
        <v>365</v>
      </c>
      <c r="H193" t="s">
        <v>539</v>
      </c>
      <c r="I193">
        <v>0</v>
      </c>
      <c r="J193" s="43">
        <v>0</v>
      </c>
      <c r="K193" s="43">
        <v>1335.6</v>
      </c>
      <c r="L193" s="43">
        <f t="shared" si="5"/>
        <v>-1335.6</v>
      </c>
      <c r="M193">
        <v>1062</v>
      </c>
      <c r="N193" s="43">
        <v>0</v>
      </c>
      <c r="O193" s="43">
        <v>1335.6</v>
      </c>
      <c r="P193" t="s">
        <v>540</v>
      </c>
      <c r="Q193" t="s">
        <v>540</v>
      </c>
      <c r="R193">
        <v>4067</v>
      </c>
      <c r="S193" s="30">
        <v>45931</v>
      </c>
      <c r="T193" t="s">
        <v>377</v>
      </c>
      <c r="U193" t="s">
        <v>378</v>
      </c>
      <c r="V193" t="s">
        <v>541</v>
      </c>
      <c r="W193" t="s">
        <v>540</v>
      </c>
      <c r="X193" t="s">
        <v>369</v>
      </c>
      <c r="Y193" t="s">
        <v>12</v>
      </c>
    </row>
    <row r="194" spans="1:25">
      <c r="A194">
        <v>103394</v>
      </c>
      <c r="B194" t="s">
        <v>372</v>
      </c>
      <c r="C194" s="30">
        <v>45916</v>
      </c>
      <c r="D194" s="30" t="str">
        <f t="shared" ref="D194:D212" si="6">TEXT(C194,"MMMM")</f>
        <v>September</v>
      </c>
      <c r="E194" t="s">
        <v>373</v>
      </c>
      <c r="F194" t="s">
        <v>374</v>
      </c>
      <c r="G194" t="s">
        <v>365</v>
      </c>
      <c r="H194" t="s">
        <v>542</v>
      </c>
      <c r="I194">
        <v>0</v>
      </c>
      <c r="J194" s="43">
        <v>0</v>
      </c>
      <c r="K194" s="43">
        <v>8880</v>
      </c>
      <c r="L194" s="43">
        <f t="shared" ref="L194:L212" si="7">J194-K194</f>
        <v>-8880</v>
      </c>
      <c r="M194">
        <v>1062</v>
      </c>
      <c r="N194" s="43">
        <v>0</v>
      </c>
      <c r="O194" s="43">
        <v>8880</v>
      </c>
      <c r="P194" t="s">
        <v>543</v>
      </c>
      <c r="Q194" t="s">
        <v>543</v>
      </c>
      <c r="R194">
        <v>892</v>
      </c>
      <c r="S194" s="30">
        <v>45931</v>
      </c>
      <c r="T194" t="s">
        <v>377</v>
      </c>
      <c r="U194" t="s">
        <v>378</v>
      </c>
      <c r="V194" t="s">
        <v>541</v>
      </c>
      <c r="W194" t="s">
        <v>543</v>
      </c>
      <c r="X194" t="s">
        <v>369</v>
      </c>
      <c r="Y194" t="s">
        <v>17</v>
      </c>
    </row>
    <row r="195" spans="1:25">
      <c r="A195">
        <v>103395</v>
      </c>
      <c r="B195" t="s">
        <v>372</v>
      </c>
      <c r="C195" s="30">
        <v>45916</v>
      </c>
      <c r="D195" s="30" t="str">
        <f t="shared" si="6"/>
        <v>September</v>
      </c>
      <c r="E195" t="s">
        <v>373</v>
      </c>
      <c r="F195" t="s">
        <v>374</v>
      </c>
      <c r="G195" t="s">
        <v>365</v>
      </c>
      <c r="H195" t="s">
        <v>544</v>
      </c>
      <c r="I195">
        <v>0</v>
      </c>
      <c r="J195" s="43">
        <v>0</v>
      </c>
      <c r="K195" s="43">
        <v>3654</v>
      </c>
      <c r="L195" s="43">
        <f t="shared" si="7"/>
        <v>-3654</v>
      </c>
      <c r="M195">
        <v>1062</v>
      </c>
      <c r="N195" s="43">
        <v>0</v>
      </c>
      <c r="O195" s="43">
        <v>3654</v>
      </c>
      <c r="P195" t="s">
        <v>545</v>
      </c>
      <c r="Q195" t="s">
        <v>545</v>
      </c>
      <c r="R195">
        <v>4135</v>
      </c>
      <c r="S195" s="30">
        <v>45931</v>
      </c>
      <c r="T195" t="s">
        <v>377</v>
      </c>
      <c r="U195" t="s">
        <v>378</v>
      </c>
      <c r="V195" t="s">
        <v>541</v>
      </c>
      <c r="W195" t="s">
        <v>545</v>
      </c>
      <c r="X195" t="s">
        <v>369</v>
      </c>
      <c r="Y195" s="1" t="s">
        <v>14</v>
      </c>
    </row>
    <row r="196" spans="1:25">
      <c r="A196">
        <v>103396</v>
      </c>
      <c r="B196" t="s">
        <v>372</v>
      </c>
      <c r="C196" s="30">
        <v>45916</v>
      </c>
      <c r="D196" s="30" t="str">
        <f t="shared" si="6"/>
        <v>September</v>
      </c>
      <c r="E196" t="s">
        <v>373</v>
      </c>
      <c r="F196" t="s">
        <v>374</v>
      </c>
      <c r="G196" t="s">
        <v>365</v>
      </c>
      <c r="H196" t="s">
        <v>546</v>
      </c>
      <c r="I196">
        <v>0</v>
      </c>
      <c r="J196" s="43">
        <v>0</v>
      </c>
      <c r="K196" s="43">
        <v>1045.8</v>
      </c>
      <c r="L196" s="43">
        <f t="shared" si="7"/>
        <v>-1045.8</v>
      </c>
      <c r="M196">
        <v>1062</v>
      </c>
      <c r="N196" s="43">
        <v>0</v>
      </c>
      <c r="O196" s="43">
        <v>1045.8</v>
      </c>
      <c r="P196" t="s">
        <v>547</v>
      </c>
      <c r="Q196" t="s">
        <v>547</v>
      </c>
      <c r="R196">
        <v>4135</v>
      </c>
      <c r="S196" s="30">
        <v>45931</v>
      </c>
      <c r="T196" t="s">
        <v>377</v>
      </c>
      <c r="U196" t="s">
        <v>378</v>
      </c>
      <c r="V196" t="s">
        <v>541</v>
      </c>
      <c r="W196" t="s">
        <v>547</v>
      </c>
      <c r="X196" t="s">
        <v>369</v>
      </c>
      <c r="Y196" s="1" t="s">
        <v>14</v>
      </c>
    </row>
    <row r="197" spans="1:25">
      <c r="A197">
        <v>103397</v>
      </c>
      <c r="B197" t="s">
        <v>372</v>
      </c>
      <c r="C197" s="30">
        <v>45916</v>
      </c>
      <c r="D197" s="30" t="str">
        <f t="shared" si="6"/>
        <v>September</v>
      </c>
      <c r="E197" t="s">
        <v>373</v>
      </c>
      <c r="F197" t="s">
        <v>374</v>
      </c>
      <c r="G197" t="s">
        <v>365</v>
      </c>
      <c r="H197" t="s">
        <v>548</v>
      </c>
      <c r="I197">
        <v>0</v>
      </c>
      <c r="J197" s="43">
        <v>0</v>
      </c>
      <c r="K197" s="43">
        <v>919.8</v>
      </c>
      <c r="L197" s="43">
        <f t="shared" si="7"/>
        <v>-919.8</v>
      </c>
      <c r="M197">
        <v>1062</v>
      </c>
      <c r="N197" s="43">
        <v>0</v>
      </c>
      <c r="O197" s="43">
        <v>919.8</v>
      </c>
      <c r="P197" t="s">
        <v>549</v>
      </c>
      <c r="Q197" t="s">
        <v>549</v>
      </c>
      <c r="R197">
        <v>4135</v>
      </c>
      <c r="S197" s="30">
        <v>45931</v>
      </c>
      <c r="T197" t="s">
        <v>377</v>
      </c>
      <c r="U197" t="s">
        <v>378</v>
      </c>
      <c r="V197" t="s">
        <v>541</v>
      </c>
      <c r="W197" t="s">
        <v>549</v>
      </c>
      <c r="X197" t="s">
        <v>369</v>
      </c>
      <c r="Y197" s="1" t="s">
        <v>14</v>
      </c>
    </row>
    <row r="198" spans="1:25">
      <c r="A198">
        <v>103399</v>
      </c>
      <c r="B198" t="s">
        <v>372</v>
      </c>
      <c r="C198" s="30">
        <v>45918</v>
      </c>
      <c r="D198" s="30" t="str">
        <f t="shared" si="6"/>
        <v>September</v>
      </c>
      <c r="E198" t="s">
        <v>373</v>
      </c>
      <c r="F198" t="s">
        <v>374</v>
      </c>
      <c r="G198" t="s">
        <v>365</v>
      </c>
      <c r="H198" t="s">
        <v>550</v>
      </c>
      <c r="I198">
        <v>0</v>
      </c>
      <c r="J198" s="43">
        <v>0</v>
      </c>
      <c r="K198" s="43">
        <v>1675.8</v>
      </c>
      <c r="L198" s="43">
        <f t="shared" si="7"/>
        <v>-1675.8</v>
      </c>
      <c r="M198">
        <v>1062</v>
      </c>
      <c r="N198" s="43">
        <v>0</v>
      </c>
      <c r="O198" s="43">
        <v>1675.8</v>
      </c>
      <c r="P198" t="s">
        <v>551</v>
      </c>
      <c r="Q198" t="s">
        <v>551</v>
      </c>
      <c r="R198">
        <v>4067</v>
      </c>
      <c r="S198" s="30">
        <v>45931</v>
      </c>
      <c r="T198" t="s">
        <v>377</v>
      </c>
      <c r="U198" t="s">
        <v>378</v>
      </c>
      <c r="V198" t="s">
        <v>541</v>
      </c>
      <c r="W198" t="s">
        <v>551</v>
      </c>
      <c r="X198" t="s">
        <v>369</v>
      </c>
      <c r="Y198" t="s">
        <v>12</v>
      </c>
    </row>
    <row r="199" spans="1:25">
      <c r="A199">
        <v>103369</v>
      </c>
      <c r="B199" t="s">
        <v>372</v>
      </c>
      <c r="C199" s="30">
        <v>45925</v>
      </c>
      <c r="D199" s="30" t="str">
        <f t="shared" si="6"/>
        <v>September</v>
      </c>
      <c r="E199" t="s">
        <v>391</v>
      </c>
      <c r="F199" t="s">
        <v>392</v>
      </c>
      <c r="G199" t="s">
        <v>365</v>
      </c>
      <c r="H199" t="s">
        <v>552</v>
      </c>
      <c r="I199">
        <v>0</v>
      </c>
      <c r="J199" s="43">
        <v>2739.74</v>
      </c>
      <c r="K199" s="43">
        <v>0</v>
      </c>
      <c r="L199" s="43">
        <f t="shared" si="7"/>
        <v>2739.74</v>
      </c>
      <c r="M199">
        <v>1062</v>
      </c>
      <c r="N199" s="43">
        <v>2739.74</v>
      </c>
      <c r="O199" s="43">
        <v>0</v>
      </c>
      <c r="P199" t="s">
        <v>337</v>
      </c>
      <c r="Q199" t="s">
        <v>337</v>
      </c>
      <c r="R199">
        <v>4100</v>
      </c>
      <c r="S199" s="30">
        <v>45925</v>
      </c>
      <c r="T199" t="s">
        <v>553</v>
      </c>
      <c r="U199" t="s">
        <v>554</v>
      </c>
      <c r="V199" t="s">
        <v>555</v>
      </c>
      <c r="W199" t="s">
        <v>372</v>
      </c>
      <c r="X199" t="s">
        <v>369</v>
      </c>
      <c r="Y199" t="s">
        <v>57</v>
      </c>
    </row>
    <row r="200" spans="1:25">
      <c r="A200">
        <v>103369</v>
      </c>
      <c r="B200" t="s">
        <v>372</v>
      </c>
      <c r="C200" s="30">
        <v>45925</v>
      </c>
      <c r="D200" s="30" t="str">
        <f t="shared" si="6"/>
        <v>September</v>
      </c>
      <c r="E200" t="s">
        <v>391</v>
      </c>
      <c r="F200" t="s">
        <v>392</v>
      </c>
      <c r="G200" t="s">
        <v>365</v>
      </c>
      <c r="H200" t="s">
        <v>552</v>
      </c>
      <c r="I200">
        <v>0</v>
      </c>
      <c r="J200" s="43">
        <v>1603.75</v>
      </c>
      <c r="K200" s="43">
        <v>0</v>
      </c>
      <c r="L200" s="43">
        <f t="shared" si="7"/>
        <v>1603.75</v>
      </c>
      <c r="M200">
        <v>1062</v>
      </c>
      <c r="N200" s="43">
        <v>1603.75</v>
      </c>
      <c r="O200" s="43">
        <v>0</v>
      </c>
      <c r="P200" t="s">
        <v>337</v>
      </c>
      <c r="Q200" t="s">
        <v>337</v>
      </c>
      <c r="R200">
        <v>4100</v>
      </c>
      <c r="S200" s="30">
        <v>45925</v>
      </c>
      <c r="T200" t="s">
        <v>553</v>
      </c>
      <c r="U200" t="s">
        <v>554</v>
      </c>
      <c r="V200" t="s">
        <v>555</v>
      </c>
      <c r="W200" t="s">
        <v>372</v>
      </c>
      <c r="X200" t="s">
        <v>369</v>
      </c>
      <c r="Y200" t="s">
        <v>57</v>
      </c>
    </row>
    <row r="201" spans="1:25">
      <c r="A201">
        <v>103451</v>
      </c>
      <c r="B201" t="s">
        <v>362</v>
      </c>
      <c r="C201" s="30">
        <v>45930</v>
      </c>
      <c r="D201" s="30" t="str">
        <f t="shared" si="6"/>
        <v>September</v>
      </c>
      <c r="E201" t="s">
        <v>363</v>
      </c>
      <c r="F201" t="s">
        <v>364</v>
      </c>
      <c r="G201" t="s">
        <v>365</v>
      </c>
      <c r="H201" t="s">
        <v>556</v>
      </c>
      <c r="I201">
        <v>0</v>
      </c>
      <c r="J201" s="43">
        <v>0</v>
      </c>
      <c r="K201" s="43">
        <v>6080.4471000000012</v>
      </c>
      <c r="L201" s="43">
        <f t="shared" si="7"/>
        <v>-6080.4471000000012</v>
      </c>
      <c r="M201">
        <v>1062</v>
      </c>
      <c r="N201" s="43">
        <v>0</v>
      </c>
      <c r="O201" s="43">
        <v>25431.35</v>
      </c>
      <c r="S201" s="30">
        <v>45932</v>
      </c>
      <c r="U201" t="s">
        <v>367</v>
      </c>
      <c r="V201" t="s">
        <v>557</v>
      </c>
      <c r="X201" t="s">
        <v>369</v>
      </c>
      <c r="Y201" s="1" t="s">
        <v>22</v>
      </c>
    </row>
    <row r="202" spans="1:25">
      <c r="A202">
        <v>103451</v>
      </c>
      <c r="B202" t="s">
        <v>362</v>
      </c>
      <c r="C202" s="30">
        <v>45930</v>
      </c>
      <c r="D202" s="30" t="str">
        <f t="shared" si="6"/>
        <v>September</v>
      </c>
      <c r="E202" t="s">
        <v>370</v>
      </c>
      <c r="F202" t="s">
        <v>371</v>
      </c>
      <c r="G202" t="s">
        <v>365</v>
      </c>
      <c r="H202" t="s">
        <v>556</v>
      </c>
      <c r="I202">
        <v>0</v>
      </c>
      <c r="J202" s="43">
        <v>0</v>
      </c>
      <c r="K202" s="43">
        <v>4025.2338</v>
      </c>
      <c r="L202" s="43">
        <f t="shared" si="7"/>
        <v>-4025.2338</v>
      </c>
      <c r="M202">
        <v>1062</v>
      </c>
      <c r="N202" s="43">
        <v>0</v>
      </c>
      <c r="O202" s="43">
        <v>45918.93</v>
      </c>
      <c r="S202" s="30">
        <v>45932</v>
      </c>
      <c r="U202" t="s">
        <v>367</v>
      </c>
      <c r="V202" t="s">
        <v>557</v>
      </c>
      <c r="X202" t="s">
        <v>369</v>
      </c>
      <c r="Y202" s="1" t="s">
        <v>22</v>
      </c>
    </row>
    <row r="203" spans="1:25">
      <c r="A203">
        <v>103451</v>
      </c>
      <c r="B203" t="s">
        <v>362</v>
      </c>
      <c r="C203" s="30">
        <v>45930</v>
      </c>
      <c r="D203" s="30" t="str">
        <f t="shared" si="6"/>
        <v>September</v>
      </c>
      <c r="E203" t="s">
        <v>363</v>
      </c>
      <c r="F203" t="s">
        <v>364</v>
      </c>
      <c r="G203" t="s">
        <v>365</v>
      </c>
      <c r="H203" t="s">
        <v>556</v>
      </c>
      <c r="I203">
        <v>0</v>
      </c>
      <c r="J203" s="43">
        <v>0</v>
      </c>
      <c r="K203" s="43">
        <v>15325.668826666666</v>
      </c>
      <c r="L203" s="43">
        <f t="shared" si="7"/>
        <v>-15325.668826666666</v>
      </c>
      <c r="M203">
        <v>1062</v>
      </c>
      <c r="N203" s="43">
        <v>0</v>
      </c>
      <c r="O203" s="43">
        <v>25431.35</v>
      </c>
      <c r="S203" s="30">
        <v>45932</v>
      </c>
      <c r="U203" t="s">
        <v>367</v>
      </c>
      <c r="V203" t="s">
        <v>557</v>
      </c>
      <c r="X203" t="s">
        <v>369</v>
      </c>
      <c r="Y203" t="s">
        <v>57</v>
      </c>
    </row>
    <row r="204" spans="1:25">
      <c r="A204">
        <v>103451</v>
      </c>
      <c r="B204" t="s">
        <v>362</v>
      </c>
      <c r="C204" s="30">
        <v>45930</v>
      </c>
      <c r="D204" s="30" t="str">
        <f t="shared" si="6"/>
        <v>September</v>
      </c>
      <c r="E204" t="s">
        <v>370</v>
      </c>
      <c r="F204" t="s">
        <v>371</v>
      </c>
      <c r="G204" t="s">
        <v>365</v>
      </c>
      <c r="H204" t="s">
        <v>556</v>
      </c>
      <c r="I204">
        <v>0</v>
      </c>
      <c r="J204" s="43">
        <v>0</v>
      </c>
      <c r="K204" s="43">
        <v>1282.6666666666667</v>
      </c>
      <c r="L204" s="43">
        <f t="shared" si="7"/>
        <v>-1282.6666666666667</v>
      </c>
      <c r="M204">
        <v>1062</v>
      </c>
      <c r="N204" s="43">
        <v>0</v>
      </c>
      <c r="O204" s="43">
        <v>45918.93</v>
      </c>
      <c r="S204" s="30">
        <v>45932</v>
      </c>
      <c r="U204" t="s">
        <v>367</v>
      </c>
      <c r="V204" t="s">
        <v>557</v>
      </c>
      <c r="X204" t="s">
        <v>369</v>
      </c>
      <c r="Y204" s="1" t="s">
        <v>18</v>
      </c>
    </row>
    <row r="205" spans="1:25">
      <c r="A205">
        <v>103451</v>
      </c>
      <c r="B205" t="s">
        <v>362</v>
      </c>
      <c r="C205" s="30">
        <v>45930</v>
      </c>
      <c r="D205" s="30" t="str">
        <f t="shared" si="6"/>
        <v>September</v>
      </c>
      <c r="E205" t="s">
        <v>370</v>
      </c>
      <c r="F205" t="s">
        <v>371</v>
      </c>
      <c r="G205" t="s">
        <v>365</v>
      </c>
      <c r="H205" t="s">
        <v>556</v>
      </c>
      <c r="I205">
        <v>0</v>
      </c>
      <c r="J205" s="43">
        <v>0</v>
      </c>
      <c r="K205" s="43">
        <v>296</v>
      </c>
      <c r="L205" s="43">
        <f t="shared" si="7"/>
        <v>-296</v>
      </c>
      <c r="M205">
        <v>1062</v>
      </c>
      <c r="N205" s="43">
        <v>0</v>
      </c>
      <c r="O205" s="43">
        <v>45918.93</v>
      </c>
      <c r="S205" s="30">
        <v>45932</v>
      </c>
      <c r="U205" t="s">
        <v>367</v>
      </c>
      <c r="V205" t="s">
        <v>557</v>
      </c>
      <c r="X205" t="s">
        <v>369</v>
      </c>
      <c r="Y205" s="1" t="s">
        <v>26</v>
      </c>
    </row>
    <row r="206" spans="1:25">
      <c r="A206">
        <v>103451</v>
      </c>
      <c r="B206" t="s">
        <v>362</v>
      </c>
      <c r="C206" s="30">
        <v>45930</v>
      </c>
      <c r="D206" s="30" t="str">
        <f t="shared" si="6"/>
        <v>September</v>
      </c>
      <c r="E206" t="s">
        <v>363</v>
      </c>
      <c r="F206" t="s">
        <v>364</v>
      </c>
      <c r="G206" t="s">
        <v>365</v>
      </c>
      <c r="H206" t="s">
        <v>556</v>
      </c>
      <c r="I206">
        <v>0</v>
      </c>
      <c r="J206" s="43">
        <v>0</v>
      </c>
      <c r="K206" s="43">
        <v>16704.266666666666</v>
      </c>
      <c r="L206" s="43">
        <f t="shared" si="7"/>
        <v>-16704.266666666666</v>
      </c>
      <c r="M206">
        <v>1062</v>
      </c>
      <c r="N206" s="43">
        <v>0</v>
      </c>
      <c r="O206" s="43">
        <v>25431.35</v>
      </c>
      <c r="S206" s="30">
        <v>45932</v>
      </c>
      <c r="U206" t="s">
        <v>367</v>
      </c>
      <c r="V206" t="s">
        <v>557</v>
      </c>
      <c r="X206" t="s">
        <v>369</v>
      </c>
      <c r="Y206" t="s">
        <v>21</v>
      </c>
    </row>
    <row r="207" spans="1:25">
      <c r="A207">
        <v>103465</v>
      </c>
      <c r="B207" t="s">
        <v>372</v>
      </c>
      <c r="C207" s="30">
        <v>45930</v>
      </c>
      <c r="D207" s="30" t="str">
        <f t="shared" si="6"/>
        <v>September</v>
      </c>
      <c r="E207" t="s">
        <v>370</v>
      </c>
      <c r="F207" t="s">
        <v>371</v>
      </c>
      <c r="G207" t="s">
        <v>365</v>
      </c>
      <c r="H207" t="s">
        <v>558</v>
      </c>
      <c r="I207">
        <v>0</v>
      </c>
      <c r="J207" s="43">
        <v>0</v>
      </c>
      <c r="K207" s="43">
        <v>5707.8</v>
      </c>
      <c r="L207" s="43">
        <f t="shared" si="7"/>
        <v>-5707.8</v>
      </c>
      <c r="M207">
        <v>1062</v>
      </c>
      <c r="N207" s="43">
        <v>0</v>
      </c>
      <c r="O207" s="43">
        <v>5707.8</v>
      </c>
      <c r="P207" t="s">
        <v>559</v>
      </c>
      <c r="Q207" t="s">
        <v>559</v>
      </c>
      <c r="R207">
        <v>4067</v>
      </c>
      <c r="S207" s="30">
        <v>45933</v>
      </c>
      <c r="T207" t="s">
        <v>377</v>
      </c>
      <c r="U207" t="s">
        <v>378</v>
      </c>
      <c r="V207" t="s">
        <v>560</v>
      </c>
      <c r="W207" t="s">
        <v>372</v>
      </c>
      <c r="X207" t="s">
        <v>369</v>
      </c>
      <c r="Y207" t="s">
        <v>12</v>
      </c>
    </row>
    <row r="208" spans="1:25">
      <c r="A208">
        <v>103451</v>
      </c>
      <c r="B208" t="s">
        <v>362</v>
      </c>
      <c r="C208" s="30">
        <v>45930</v>
      </c>
      <c r="D208" s="30" t="str">
        <f t="shared" si="6"/>
        <v>September</v>
      </c>
      <c r="E208" t="s">
        <v>363</v>
      </c>
      <c r="F208" t="s">
        <v>364</v>
      </c>
      <c r="G208" t="s">
        <v>365</v>
      </c>
      <c r="H208" t="s">
        <v>556</v>
      </c>
      <c r="I208">
        <v>0</v>
      </c>
      <c r="J208" s="43">
        <v>0</v>
      </c>
      <c r="K208" s="43">
        <v>16758</v>
      </c>
      <c r="L208" s="43">
        <f t="shared" si="7"/>
        <v>-16758</v>
      </c>
      <c r="M208">
        <v>1062</v>
      </c>
      <c r="N208" s="43">
        <v>0</v>
      </c>
      <c r="O208" s="43">
        <v>25431.35</v>
      </c>
      <c r="S208" s="30">
        <v>45932</v>
      </c>
      <c r="U208" t="s">
        <v>367</v>
      </c>
      <c r="V208" t="s">
        <v>557</v>
      </c>
      <c r="X208" t="s">
        <v>369</v>
      </c>
      <c r="Y208" t="s">
        <v>12</v>
      </c>
    </row>
    <row r="209" spans="1:25">
      <c r="A209">
        <v>103400</v>
      </c>
      <c r="B209" t="s">
        <v>372</v>
      </c>
      <c r="C209" s="30">
        <v>45930</v>
      </c>
      <c r="D209" s="30" t="str">
        <f t="shared" si="6"/>
        <v>September</v>
      </c>
      <c r="E209" t="s">
        <v>373</v>
      </c>
      <c r="F209" t="s">
        <v>374</v>
      </c>
      <c r="G209" t="s">
        <v>365</v>
      </c>
      <c r="H209" t="s">
        <v>561</v>
      </c>
      <c r="I209">
        <v>0</v>
      </c>
      <c r="J209" s="43">
        <v>0</v>
      </c>
      <c r="K209" s="43">
        <v>4531.95</v>
      </c>
      <c r="L209" s="43">
        <f t="shared" si="7"/>
        <v>-4531.95</v>
      </c>
      <c r="M209">
        <v>1062</v>
      </c>
      <c r="N209" s="43">
        <v>0</v>
      </c>
      <c r="O209" s="43">
        <v>4531.95</v>
      </c>
      <c r="P209" t="s">
        <v>562</v>
      </c>
      <c r="Q209" t="s">
        <v>562</v>
      </c>
      <c r="R209">
        <v>4135</v>
      </c>
      <c r="S209" s="30">
        <v>45931</v>
      </c>
      <c r="T209" t="s">
        <v>377</v>
      </c>
      <c r="U209" t="s">
        <v>378</v>
      </c>
      <c r="V209" t="s">
        <v>541</v>
      </c>
      <c r="W209" t="s">
        <v>562</v>
      </c>
      <c r="X209" t="s">
        <v>369</v>
      </c>
      <c r="Y209" s="1" t="s">
        <v>14</v>
      </c>
    </row>
    <row r="210" spans="1:25">
      <c r="A210">
        <v>103401</v>
      </c>
      <c r="B210" t="s">
        <v>372</v>
      </c>
      <c r="C210" s="30">
        <v>45930</v>
      </c>
      <c r="D210" s="30" t="str">
        <f t="shared" si="6"/>
        <v>September</v>
      </c>
      <c r="E210" t="s">
        <v>373</v>
      </c>
      <c r="F210" t="s">
        <v>374</v>
      </c>
      <c r="G210" t="s">
        <v>365</v>
      </c>
      <c r="H210" t="s">
        <v>563</v>
      </c>
      <c r="I210">
        <v>0</v>
      </c>
      <c r="J210" s="43">
        <v>0</v>
      </c>
      <c r="K210" s="43">
        <v>4534.6000000000004</v>
      </c>
      <c r="L210" s="43">
        <f t="shared" si="7"/>
        <v>-4534.6000000000004</v>
      </c>
      <c r="M210">
        <v>1062</v>
      </c>
      <c r="N210" s="43">
        <v>0</v>
      </c>
      <c r="O210" s="43">
        <v>4534.6000000000004</v>
      </c>
      <c r="P210" t="s">
        <v>564</v>
      </c>
      <c r="Q210" t="s">
        <v>564</v>
      </c>
      <c r="R210">
        <v>4135</v>
      </c>
      <c r="S210" s="30">
        <v>45931</v>
      </c>
      <c r="T210" t="s">
        <v>377</v>
      </c>
      <c r="U210" t="s">
        <v>378</v>
      </c>
      <c r="V210" t="s">
        <v>565</v>
      </c>
      <c r="W210" t="s">
        <v>372</v>
      </c>
      <c r="X210" t="s">
        <v>369</v>
      </c>
      <c r="Y210" s="1" t="s">
        <v>14</v>
      </c>
    </row>
    <row r="211" spans="1:25">
      <c r="A211">
        <v>103403</v>
      </c>
      <c r="B211" t="s">
        <v>372</v>
      </c>
      <c r="C211" s="30">
        <v>45930</v>
      </c>
      <c r="D211" s="30" t="str">
        <f t="shared" si="6"/>
        <v>September</v>
      </c>
      <c r="E211" t="s">
        <v>373</v>
      </c>
      <c r="F211" t="s">
        <v>374</v>
      </c>
      <c r="G211" t="s">
        <v>365</v>
      </c>
      <c r="H211" t="s">
        <v>552</v>
      </c>
      <c r="I211">
        <v>0</v>
      </c>
      <c r="J211" s="43">
        <v>4534.6000000000004</v>
      </c>
      <c r="K211" s="43">
        <v>0</v>
      </c>
      <c r="L211" s="43">
        <f t="shared" si="7"/>
        <v>4534.6000000000004</v>
      </c>
      <c r="M211">
        <v>1062</v>
      </c>
      <c r="N211" s="43">
        <v>4534.6000000000004</v>
      </c>
      <c r="O211" s="43">
        <v>0</v>
      </c>
      <c r="P211" t="s">
        <v>564</v>
      </c>
      <c r="Q211" t="s">
        <v>564</v>
      </c>
      <c r="R211">
        <v>4135</v>
      </c>
      <c r="S211" s="30">
        <v>45931</v>
      </c>
      <c r="T211" t="s">
        <v>553</v>
      </c>
      <c r="U211" t="s">
        <v>554</v>
      </c>
      <c r="V211" t="s">
        <v>566</v>
      </c>
      <c r="W211" t="s">
        <v>372</v>
      </c>
      <c r="X211" t="s">
        <v>369</v>
      </c>
      <c r="Y211" s="1" t="s">
        <v>14</v>
      </c>
    </row>
    <row r="212" spans="1:25">
      <c r="A212">
        <v>103451</v>
      </c>
      <c r="B212" t="s">
        <v>362</v>
      </c>
      <c r="C212" s="30">
        <v>45930</v>
      </c>
      <c r="D212" s="30" t="str">
        <f t="shared" si="6"/>
        <v>September</v>
      </c>
      <c r="E212" t="s">
        <v>370</v>
      </c>
      <c r="F212" t="s">
        <v>371</v>
      </c>
      <c r="G212" t="s">
        <v>365</v>
      </c>
      <c r="H212" t="s">
        <v>556</v>
      </c>
      <c r="I212">
        <v>0</v>
      </c>
      <c r="J212" s="43">
        <v>0</v>
      </c>
      <c r="K212" s="43">
        <v>10878</v>
      </c>
      <c r="L212" s="43">
        <f t="shared" si="7"/>
        <v>-10878</v>
      </c>
      <c r="M212">
        <v>1062</v>
      </c>
      <c r="N212" s="43">
        <v>0</v>
      </c>
      <c r="O212" s="43">
        <v>45918.93</v>
      </c>
      <c r="S212" s="30">
        <v>45932</v>
      </c>
      <c r="U212" t="s">
        <v>367</v>
      </c>
      <c r="V212" t="s">
        <v>557</v>
      </c>
      <c r="X212" t="s">
        <v>369</v>
      </c>
      <c r="Y212" s="1" t="s">
        <v>14</v>
      </c>
    </row>
    <row r="213" spans="1:25">
      <c r="A213">
        <v>103451</v>
      </c>
      <c r="B213" t="s">
        <v>362</v>
      </c>
      <c r="C213" s="30">
        <v>45931</v>
      </c>
      <c r="D213" s="30" t="str">
        <f t="shared" ref="D213:D220" si="8">TEXT(C213,"mmmm")</f>
        <v>October</v>
      </c>
      <c r="E213" t="s">
        <v>363</v>
      </c>
      <c r="F213" t="s">
        <v>364</v>
      </c>
      <c r="G213" t="s">
        <v>365</v>
      </c>
      <c r="H213" t="s">
        <v>556</v>
      </c>
      <c r="J213" s="43">
        <v>16704.266666666666</v>
      </c>
      <c r="K213" s="43"/>
      <c r="L213" s="43">
        <f t="shared" ref="L213:L245" si="9">J213-K213</f>
        <v>16704.266666666666</v>
      </c>
      <c r="M213">
        <v>1062</v>
      </c>
      <c r="N213" s="43"/>
      <c r="O213" s="43"/>
      <c r="S213" s="30">
        <v>45932</v>
      </c>
      <c r="U213" t="s">
        <v>367</v>
      </c>
      <c r="V213" t="s">
        <v>567</v>
      </c>
      <c r="X213" t="s">
        <v>369</v>
      </c>
      <c r="Y213" t="s">
        <v>21</v>
      </c>
    </row>
    <row r="214" spans="1:25">
      <c r="A214">
        <v>103451</v>
      </c>
      <c r="B214" t="s">
        <v>362</v>
      </c>
      <c r="C214" s="30">
        <v>45931</v>
      </c>
      <c r="D214" s="30" t="str">
        <f t="shared" si="8"/>
        <v>October</v>
      </c>
      <c r="E214" t="s">
        <v>363</v>
      </c>
      <c r="F214" t="s">
        <v>364</v>
      </c>
      <c r="G214" t="s">
        <v>365</v>
      </c>
      <c r="H214" t="s">
        <v>556</v>
      </c>
      <c r="J214" s="43">
        <v>10878</v>
      </c>
      <c r="K214" s="43"/>
      <c r="L214" s="43">
        <f t="shared" si="9"/>
        <v>10878</v>
      </c>
      <c r="M214">
        <v>1062</v>
      </c>
      <c r="N214" s="43"/>
      <c r="O214" s="43"/>
      <c r="S214" s="30">
        <v>45932</v>
      </c>
      <c r="U214" t="s">
        <v>367</v>
      </c>
      <c r="V214" t="s">
        <v>567</v>
      </c>
      <c r="X214" t="s">
        <v>369</v>
      </c>
      <c r="Y214" s="1" t="s">
        <v>14</v>
      </c>
    </row>
    <row r="215" spans="1:25">
      <c r="A215">
        <v>103451</v>
      </c>
      <c r="B215" t="s">
        <v>362</v>
      </c>
      <c r="C215" s="30">
        <v>45931</v>
      </c>
      <c r="D215" s="30" t="str">
        <f t="shared" si="8"/>
        <v>October</v>
      </c>
      <c r="E215" t="s">
        <v>363</v>
      </c>
      <c r="F215" t="s">
        <v>364</v>
      </c>
      <c r="G215" t="s">
        <v>365</v>
      </c>
      <c r="H215" t="s">
        <v>556</v>
      </c>
      <c r="J215" s="43">
        <v>6080.4471000000012</v>
      </c>
      <c r="K215" s="43"/>
      <c r="L215" s="43">
        <f t="shared" si="9"/>
        <v>6080.4471000000012</v>
      </c>
      <c r="M215">
        <v>1062</v>
      </c>
      <c r="N215" s="43"/>
      <c r="O215" s="43"/>
      <c r="S215" s="30">
        <v>45932</v>
      </c>
      <c r="U215" t="s">
        <v>367</v>
      </c>
      <c r="V215" t="s">
        <v>567</v>
      </c>
      <c r="X215" t="s">
        <v>369</v>
      </c>
      <c r="Y215" s="1" t="s">
        <v>22</v>
      </c>
    </row>
    <row r="216" spans="1:25">
      <c r="A216">
        <v>103451</v>
      </c>
      <c r="B216" t="s">
        <v>362</v>
      </c>
      <c r="C216" s="30">
        <v>45931</v>
      </c>
      <c r="D216" s="30" t="str">
        <f t="shared" si="8"/>
        <v>October</v>
      </c>
      <c r="E216" t="s">
        <v>363</v>
      </c>
      <c r="F216" t="s">
        <v>364</v>
      </c>
      <c r="G216" t="s">
        <v>365</v>
      </c>
      <c r="H216" t="s">
        <v>556</v>
      </c>
      <c r="J216" s="43">
        <v>1282.6666666666667</v>
      </c>
      <c r="K216" s="43"/>
      <c r="L216" s="43">
        <f t="shared" si="9"/>
        <v>1282.6666666666667</v>
      </c>
      <c r="M216">
        <v>1062</v>
      </c>
      <c r="N216" s="43"/>
      <c r="O216" s="43"/>
      <c r="S216" s="30">
        <v>45932</v>
      </c>
      <c r="U216" t="s">
        <v>367</v>
      </c>
      <c r="V216" t="s">
        <v>567</v>
      </c>
      <c r="X216" t="s">
        <v>369</v>
      </c>
      <c r="Y216" t="s">
        <v>18</v>
      </c>
    </row>
    <row r="217" spans="1:25">
      <c r="A217">
        <v>103451</v>
      </c>
      <c r="B217" t="s">
        <v>362</v>
      </c>
      <c r="C217" s="30">
        <v>45931</v>
      </c>
      <c r="D217" s="30" t="str">
        <f t="shared" si="8"/>
        <v>October</v>
      </c>
      <c r="E217" t="s">
        <v>363</v>
      </c>
      <c r="F217" t="s">
        <v>364</v>
      </c>
      <c r="G217" t="s">
        <v>365</v>
      </c>
      <c r="H217" t="s">
        <v>556</v>
      </c>
      <c r="J217" s="43">
        <v>15325.668826666666</v>
      </c>
      <c r="K217" s="43"/>
      <c r="L217" s="43">
        <f t="shared" si="9"/>
        <v>15325.668826666666</v>
      </c>
      <c r="M217">
        <v>1062</v>
      </c>
      <c r="N217" s="43"/>
      <c r="O217" s="43"/>
      <c r="S217" s="30">
        <v>45932</v>
      </c>
      <c r="U217" t="s">
        <v>367</v>
      </c>
      <c r="V217" t="s">
        <v>567</v>
      </c>
      <c r="X217" t="s">
        <v>369</v>
      </c>
      <c r="Y217" t="s">
        <v>57</v>
      </c>
    </row>
    <row r="218" spans="1:25">
      <c r="A218">
        <v>103451</v>
      </c>
      <c r="B218" t="s">
        <v>362</v>
      </c>
      <c r="C218" s="30">
        <v>45931</v>
      </c>
      <c r="D218" s="30" t="str">
        <f t="shared" si="8"/>
        <v>October</v>
      </c>
      <c r="E218" t="s">
        <v>363</v>
      </c>
      <c r="F218" t="s">
        <v>364</v>
      </c>
      <c r="G218" t="s">
        <v>365</v>
      </c>
      <c r="H218" t="s">
        <v>556</v>
      </c>
      <c r="J218" s="43">
        <v>4025.2338</v>
      </c>
      <c r="K218" s="43"/>
      <c r="L218" s="43">
        <f t="shared" si="9"/>
        <v>4025.2338</v>
      </c>
      <c r="M218">
        <v>1062</v>
      </c>
      <c r="N218" s="43"/>
      <c r="O218" s="43"/>
      <c r="S218" s="30">
        <v>45932</v>
      </c>
      <c r="U218" t="s">
        <v>367</v>
      </c>
      <c r="V218" t="s">
        <v>567</v>
      </c>
      <c r="X218" t="s">
        <v>369</v>
      </c>
      <c r="Y218" s="1" t="s">
        <v>22</v>
      </c>
    </row>
    <row r="219" spans="1:25">
      <c r="A219">
        <v>103451</v>
      </c>
      <c r="B219" t="s">
        <v>362</v>
      </c>
      <c r="C219" s="30">
        <v>45931</v>
      </c>
      <c r="D219" s="30" t="str">
        <f t="shared" si="8"/>
        <v>October</v>
      </c>
      <c r="E219" t="s">
        <v>363</v>
      </c>
      <c r="F219" t="s">
        <v>364</v>
      </c>
      <c r="G219" t="s">
        <v>365</v>
      </c>
      <c r="H219" t="s">
        <v>556</v>
      </c>
      <c r="J219" s="43">
        <v>16758</v>
      </c>
      <c r="K219" s="43"/>
      <c r="L219" s="43">
        <f t="shared" si="9"/>
        <v>16758</v>
      </c>
      <c r="M219">
        <v>1062</v>
      </c>
      <c r="N219" s="43"/>
      <c r="O219" s="43"/>
      <c r="S219" s="30">
        <v>45932</v>
      </c>
      <c r="U219" t="s">
        <v>367</v>
      </c>
      <c r="V219" t="s">
        <v>567</v>
      </c>
      <c r="X219" t="s">
        <v>369</v>
      </c>
      <c r="Y219" t="s">
        <v>12</v>
      </c>
    </row>
    <row r="220" spans="1:25">
      <c r="A220">
        <v>103451</v>
      </c>
      <c r="B220" t="s">
        <v>362</v>
      </c>
      <c r="C220" s="30">
        <v>45931</v>
      </c>
      <c r="D220" s="30" t="str">
        <f t="shared" si="8"/>
        <v>October</v>
      </c>
      <c r="E220" t="s">
        <v>363</v>
      </c>
      <c r="F220" t="s">
        <v>364</v>
      </c>
      <c r="G220" t="s">
        <v>365</v>
      </c>
      <c r="H220" t="s">
        <v>556</v>
      </c>
      <c r="J220" s="43">
        <v>296</v>
      </c>
      <c r="K220" s="43"/>
      <c r="L220" s="43">
        <f t="shared" si="9"/>
        <v>296</v>
      </c>
      <c r="M220">
        <v>1062</v>
      </c>
      <c r="N220" s="43"/>
      <c r="O220" s="43"/>
      <c r="S220" s="30">
        <v>45932</v>
      </c>
      <c r="U220" t="s">
        <v>367</v>
      </c>
      <c r="V220" t="s">
        <v>567</v>
      </c>
      <c r="X220" t="s">
        <v>369</v>
      </c>
      <c r="Y220" s="1" t="s">
        <v>26</v>
      </c>
    </row>
    <row r="221" spans="1:25">
      <c r="A221">
        <v>103682</v>
      </c>
      <c r="B221" t="s">
        <v>372</v>
      </c>
      <c r="C221" s="30">
        <v>45960</v>
      </c>
      <c r="D221" s="30" t="str">
        <f t="shared" ref="D221:D229" si="10">TEXT(C221,"mmmm")</f>
        <v>October</v>
      </c>
      <c r="E221" t="s">
        <v>417</v>
      </c>
      <c r="F221" t="s">
        <v>418</v>
      </c>
      <c r="G221" t="s">
        <v>365</v>
      </c>
      <c r="H221" t="s">
        <v>568</v>
      </c>
      <c r="I221">
        <v>0</v>
      </c>
      <c r="J221" s="43">
        <v>0</v>
      </c>
      <c r="K221" s="43">
        <v>7400</v>
      </c>
      <c r="L221" s="43">
        <f t="shared" si="9"/>
        <v>-7400</v>
      </c>
      <c r="M221">
        <v>1062</v>
      </c>
      <c r="N221" s="43">
        <v>0</v>
      </c>
      <c r="O221" s="43">
        <v>7400</v>
      </c>
      <c r="P221" t="s">
        <v>569</v>
      </c>
      <c r="Q221" t="s">
        <v>569</v>
      </c>
      <c r="R221">
        <v>9005</v>
      </c>
      <c r="S221" s="30">
        <v>45966</v>
      </c>
      <c r="T221" t="s">
        <v>377</v>
      </c>
      <c r="U221" t="s">
        <v>378</v>
      </c>
      <c r="V221" t="s">
        <v>570</v>
      </c>
      <c r="W221" t="s">
        <v>569</v>
      </c>
      <c r="X221" t="s">
        <v>369</v>
      </c>
      <c r="Y221" t="s">
        <v>18</v>
      </c>
    </row>
    <row r="222" spans="1:25">
      <c r="A222">
        <v>103641</v>
      </c>
      <c r="B222" t="s">
        <v>362</v>
      </c>
      <c r="C222" s="30">
        <v>45960</v>
      </c>
      <c r="D222" s="30" t="str">
        <f t="shared" si="10"/>
        <v>October</v>
      </c>
      <c r="E222" t="s">
        <v>571</v>
      </c>
      <c r="F222" t="s">
        <v>572</v>
      </c>
      <c r="G222" t="s">
        <v>365</v>
      </c>
      <c r="H222" t="s">
        <v>573</v>
      </c>
      <c r="I222">
        <v>0</v>
      </c>
      <c r="J222" s="43">
        <v>12718.75</v>
      </c>
      <c r="K222" s="43">
        <v>0</v>
      </c>
      <c r="L222" s="43">
        <f t="shared" si="9"/>
        <v>12718.75</v>
      </c>
      <c r="M222">
        <v>1062</v>
      </c>
      <c r="N222" s="43">
        <v>12718.75</v>
      </c>
      <c r="O222" s="43">
        <v>0</v>
      </c>
      <c r="S222" s="30">
        <v>45960</v>
      </c>
      <c r="U222" t="s">
        <v>367</v>
      </c>
      <c r="V222" t="s">
        <v>574</v>
      </c>
      <c r="X222" t="s">
        <v>369</v>
      </c>
      <c r="Y222" t="s">
        <v>18</v>
      </c>
    </row>
    <row r="223" spans="1:25">
      <c r="A223">
        <v>103688</v>
      </c>
      <c r="B223" t="s">
        <v>372</v>
      </c>
      <c r="C223" s="30">
        <v>45961</v>
      </c>
      <c r="D223" s="30" t="str">
        <f t="shared" si="10"/>
        <v>October</v>
      </c>
      <c r="E223" t="s">
        <v>391</v>
      </c>
      <c r="F223" t="s">
        <v>392</v>
      </c>
      <c r="G223" t="s">
        <v>365</v>
      </c>
      <c r="H223" t="s">
        <v>575</v>
      </c>
      <c r="I223">
        <v>0</v>
      </c>
      <c r="J223" s="43">
        <v>0</v>
      </c>
      <c r="K223" s="43">
        <v>284.67</v>
      </c>
      <c r="L223" s="43">
        <f t="shared" si="9"/>
        <v>-284.67</v>
      </c>
      <c r="M223">
        <v>1062</v>
      </c>
      <c r="N223" s="43">
        <v>0</v>
      </c>
      <c r="O223" s="43">
        <v>284.67</v>
      </c>
      <c r="P223" t="s">
        <v>576</v>
      </c>
      <c r="Q223" t="s">
        <v>576</v>
      </c>
      <c r="R223">
        <v>9990</v>
      </c>
      <c r="S223" s="30">
        <v>45966</v>
      </c>
      <c r="T223" t="s">
        <v>377</v>
      </c>
      <c r="U223" t="s">
        <v>378</v>
      </c>
      <c r="V223" t="s">
        <v>577</v>
      </c>
      <c r="W223" t="s">
        <v>372</v>
      </c>
      <c r="X223" t="s">
        <v>369</v>
      </c>
      <c r="Y223" s="1" t="s">
        <v>22</v>
      </c>
    </row>
    <row r="224" spans="1:25">
      <c r="A224">
        <v>103688</v>
      </c>
      <c r="B224" t="s">
        <v>372</v>
      </c>
      <c r="C224" s="30">
        <v>45961</v>
      </c>
      <c r="D224" s="30" t="str">
        <f t="shared" si="10"/>
        <v>October</v>
      </c>
      <c r="E224" t="s">
        <v>391</v>
      </c>
      <c r="F224" t="s">
        <v>392</v>
      </c>
      <c r="G224" t="s">
        <v>365</v>
      </c>
      <c r="H224" t="s">
        <v>575</v>
      </c>
      <c r="I224">
        <v>0</v>
      </c>
      <c r="J224" s="43">
        <v>0</v>
      </c>
      <c r="K224" s="43">
        <v>4270.12</v>
      </c>
      <c r="L224" s="43">
        <f t="shared" si="9"/>
        <v>-4270.12</v>
      </c>
      <c r="M224">
        <v>1062</v>
      </c>
      <c r="N224" s="43">
        <v>0</v>
      </c>
      <c r="O224" s="43">
        <v>4270.12</v>
      </c>
      <c r="P224" t="s">
        <v>576</v>
      </c>
      <c r="Q224" t="s">
        <v>576</v>
      </c>
      <c r="R224">
        <v>9990</v>
      </c>
      <c r="S224" s="30">
        <v>45966</v>
      </c>
      <c r="T224" t="s">
        <v>377</v>
      </c>
      <c r="U224" t="s">
        <v>378</v>
      </c>
      <c r="V224" t="s">
        <v>577</v>
      </c>
      <c r="W224" t="s">
        <v>372</v>
      </c>
      <c r="X224" t="s">
        <v>369</v>
      </c>
      <c r="Y224" s="1" t="s">
        <v>22</v>
      </c>
    </row>
    <row r="225" spans="1:25">
      <c r="A225">
        <v>103686</v>
      </c>
      <c r="B225" t="s">
        <v>372</v>
      </c>
      <c r="C225" s="30">
        <v>45961</v>
      </c>
      <c r="D225" s="30" t="str">
        <f t="shared" si="10"/>
        <v>October</v>
      </c>
      <c r="E225" t="s">
        <v>391</v>
      </c>
      <c r="F225" t="s">
        <v>392</v>
      </c>
      <c r="G225" t="s">
        <v>365</v>
      </c>
      <c r="H225" t="s">
        <v>578</v>
      </c>
      <c r="I225">
        <v>0</v>
      </c>
      <c r="J225" s="43">
        <v>0</v>
      </c>
      <c r="K225" s="43">
        <v>328.32</v>
      </c>
      <c r="L225" s="43">
        <f t="shared" si="9"/>
        <v>-328.32</v>
      </c>
      <c r="M225">
        <v>1062</v>
      </c>
      <c r="N225" s="43">
        <v>0</v>
      </c>
      <c r="O225" s="43">
        <v>328.32</v>
      </c>
      <c r="P225" t="s">
        <v>579</v>
      </c>
      <c r="Q225" t="s">
        <v>579</v>
      </c>
      <c r="R225">
        <v>9990</v>
      </c>
      <c r="S225" s="30">
        <v>45966</v>
      </c>
      <c r="T225" t="s">
        <v>377</v>
      </c>
      <c r="U225" t="s">
        <v>378</v>
      </c>
      <c r="V225" t="s">
        <v>577</v>
      </c>
      <c r="W225" t="s">
        <v>372</v>
      </c>
      <c r="X225" t="s">
        <v>369</v>
      </c>
      <c r="Y225" s="1" t="s">
        <v>22</v>
      </c>
    </row>
    <row r="226" spans="1:25">
      <c r="A226">
        <v>103686</v>
      </c>
      <c r="B226" t="s">
        <v>372</v>
      </c>
      <c r="C226" s="30">
        <v>45961</v>
      </c>
      <c r="D226" s="30" t="str">
        <f t="shared" si="10"/>
        <v>October</v>
      </c>
      <c r="E226" t="s">
        <v>391</v>
      </c>
      <c r="F226" t="s">
        <v>392</v>
      </c>
      <c r="G226" t="s">
        <v>365</v>
      </c>
      <c r="H226" t="s">
        <v>578</v>
      </c>
      <c r="I226">
        <v>0</v>
      </c>
      <c r="J226" s="43">
        <v>0</v>
      </c>
      <c r="K226" s="43">
        <v>5280.71</v>
      </c>
      <c r="L226" s="43">
        <f t="shared" si="9"/>
        <v>-5280.71</v>
      </c>
      <c r="M226">
        <v>1062</v>
      </c>
      <c r="N226" s="43">
        <v>0</v>
      </c>
      <c r="O226" s="43">
        <v>5280.71</v>
      </c>
      <c r="P226" t="s">
        <v>579</v>
      </c>
      <c r="Q226" t="s">
        <v>579</v>
      </c>
      <c r="R226">
        <v>9990</v>
      </c>
      <c r="S226" s="30">
        <v>45966</v>
      </c>
      <c r="T226" t="s">
        <v>377</v>
      </c>
      <c r="U226" t="s">
        <v>378</v>
      </c>
      <c r="V226" t="s">
        <v>577</v>
      </c>
      <c r="W226" t="s">
        <v>372</v>
      </c>
      <c r="X226" t="s">
        <v>369</v>
      </c>
      <c r="Y226" s="1" t="s">
        <v>22</v>
      </c>
    </row>
    <row r="227" spans="1:25">
      <c r="A227">
        <v>103685</v>
      </c>
      <c r="B227" t="s">
        <v>372</v>
      </c>
      <c r="C227" s="30">
        <v>45961</v>
      </c>
      <c r="D227" s="30" t="str">
        <f t="shared" si="10"/>
        <v>October</v>
      </c>
      <c r="E227" t="s">
        <v>373</v>
      </c>
      <c r="F227" t="s">
        <v>374</v>
      </c>
      <c r="G227" t="s">
        <v>365</v>
      </c>
      <c r="H227" t="s">
        <v>580</v>
      </c>
      <c r="I227">
        <v>0</v>
      </c>
      <c r="J227" s="43">
        <v>0</v>
      </c>
      <c r="K227" s="43">
        <v>16039.8</v>
      </c>
      <c r="L227" s="43">
        <f t="shared" si="9"/>
        <v>-16039.8</v>
      </c>
      <c r="M227">
        <v>1062</v>
      </c>
      <c r="N227" s="43">
        <v>0</v>
      </c>
      <c r="O227" s="43">
        <v>16039.8</v>
      </c>
      <c r="P227" t="s">
        <v>581</v>
      </c>
      <c r="Q227" t="s">
        <v>581</v>
      </c>
      <c r="R227">
        <v>4067</v>
      </c>
      <c r="S227" s="30">
        <v>45966</v>
      </c>
      <c r="T227" t="s">
        <v>377</v>
      </c>
      <c r="U227" t="s">
        <v>378</v>
      </c>
      <c r="V227" t="s">
        <v>570</v>
      </c>
      <c r="W227" t="s">
        <v>581</v>
      </c>
      <c r="X227" t="s">
        <v>369</v>
      </c>
      <c r="Y227" t="s">
        <v>12</v>
      </c>
    </row>
    <row r="228" spans="1:25">
      <c r="A228">
        <v>103684</v>
      </c>
      <c r="B228" t="s">
        <v>372</v>
      </c>
      <c r="C228" s="30">
        <v>45961</v>
      </c>
      <c r="D228" s="30" t="str">
        <f t="shared" si="10"/>
        <v>October</v>
      </c>
      <c r="E228" t="s">
        <v>373</v>
      </c>
      <c r="F228" t="s">
        <v>374</v>
      </c>
      <c r="G228" t="s">
        <v>365</v>
      </c>
      <c r="H228" t="s">
        <v>582</v>
      </c>
      <c r="I228">
        <v>0</v>
      </c>
      <c r="J228" s="43">
        <v>0</v>
      </c>
      <c r="K228" s="43">
        <v>630</v>
      </c>
      <c r="L228" s="43">
        <f t="shared" si="9"/>
        <v>-630</v>
      </c>
      <c r="M228">
        <v>1062</v>
      </c>
      <c r="N228" s="43">
        <v>0</v>
      </c>
      <c r="O228" s="43">
        <v>630</v>
      </c>
      <c r="P228" t="s">
        <v>583</v>
      </c>
      <c r="Q228" t="s">
        <v>583</v>
      </c>
      <c r="R228">
        <v>4067</v>
      </c>
      <c r="S228" s="30">
        <v>45966</v>
      </c>
      <c r="T228" t="s">
        <v>377</v>
      </c>
      <c r="U228" t="s">
        <v>378</v>
      </c>
      <c r="V228" t="s">
        <v>570</v>
      </c>
      <c r="W228" t="s">
        <v>583</v>
      </c>
      <c r="X228" t="s">
        <v>369</v>
      </c>
      <c r="Y228" t="s">
        <v>12</v>
      </c>
    </row>
    <row r="229" spans="1:25">
      <c r="A229">
        <v>103683</v>
      </c>
      <c r="B229" t="s">
        <v>372</v>
      </c>
      <c r="C229" s="30">
        <v>45961</v>
      </c>
      <c r="D229" s="30" t="str">
        <f t="shared" si="10"/>
        <v>October</v>
      </c>
      <c r="E229" t="s">
        <v>373</v>
      </c>
      <c r="F229" t="s">
        <v>374</v>
      </c>
      <c r="G229" t="s">
        <v>365</v>
      </c>
      <c r="H229" t="s">
        <v>584</v>
      </c>
      <c r="I229">
        <v>0</v>
      </c>
      <c r="J229" s="43">
        <v>0</v>
      </c>
      <c r="K229" s="43">
        <v>1575</v>
      </c>
      <c r="L229" s="43">
        <f t="shared" si="9"/>
        <v>-1575</v>
      </c>
      <c r="M229">
        <v>1062</v>
      </c>
      <c r="N229" s="43">
        <v>0</v>
      </c>
      <c r="O229" s="43">
        <v>1575</v>
      </c>
      <c r="P229" t="s">
        <v>585</v>
      </c>
      <c r="Q229" t="s">
        <v>585</v>
      </c>
      <c r="R229">
        <v>4067</v>
      </c>
      <c r="S229" s="30">
        <v>45966</v>
      </c>
      <c r="T229" t="s">
        <v>377</v>
      </c>
      <c r="U229" t="s">
        <v>378</v>
      </c>
      <c r="V229" t="s">
        <v>570</v>
      </c>
      <c r="W229" t="s">
        <v>585</v>
      </c>
      <c r="X229" t="s">
        <v>369</v>
      </c>
      <c r="Y229" t="s">
        <v>12</v>
      </c>
    </row>
    <row r="230" spans="1:25">
      <c r="A230">
        <v>103679</v>
      </c>
      <c r="B230" t="s">
        <v>362</v>
      </c>
      <c r="C230" s="30">
        <v>45961</v>
      </c>
      <c r="D230" s="30" t="str">
        <f t="shared" ref="D230:D241" si="11">TEXT(C230,"mmmm")</f>
        <v>October</v>
      </c>
      <c r="E230" t="s">
        <v>363</v>
      </c>
      <c r="F230" t="s">
        <v>364</v>
      </c>
      <c r="G230" t="s">
        <v>365</v>
      </c>
      <c r="H230" t="s">
        <v>586</v>
      </c>
      <c r="J230" s="43"/>
      <c r="K230" s="43">
        <v>18036.266666666666</v>
      </c>
      <c r="L230" s="43">
        <f t="shared" si="9"/>
        <v>-18036.266666666666</v>
      </c>
      <c r="M230">
        <v>1062</v>
      </c>
      <c r="N230" s="43">
        <v>0</v>
      </c>
      <c r="O230" s="43">
        <v>15325.67</v>
      </c>
      <c r="S230" s="30">
        <v>45965</v>
      </c>
      <c r="U230" t="s">
        <v>367</v>
      </c>
      <c r="V230" t="s">
        <v>587</v>
      </c>
      <c r="X230" t="s">
        <v>369</v>
      </c>
      <c r="Y230" t="s">
        <v>21</v>
      </c>
    </row>
    <row r="231" spans="1:25">
      <c r="A231">
        <v>103679</v>
      </c>
      <c r="B231" t="s">
        <v>362</v>
      </c>
      <c r="C231" s="30">
        <v>45961</v>
      </c>
      <c r="D231" s="30" t="str">
        <f t="shared" si="11"/>
        <v>October</v>
      </c>
      <c r="E231" t="s">
        <v>363</v>
      </c>
      <c r="F231" t="s">
        <v>364</v>
      </c>
      <c r="G231" t="s">
        <v>365</v>
      </c>
      <c r="H231" t="s">
        <v>586</v>
      </c>
      <c r="J231" s="43"/>
      <c r="K231" s="43">
        <v>10878</v>
      </c>
      <c r="L231" s="43">
        <f t="shared" si="9"/>
        <v>-10878</v>
      </c>
      <c r="M231">
        <v>1062</v>
      </c>
      <c r="N231" s="43">
        <v>0</v>
      </c>
      <c r="O231" s="43">
        <v>15325.67</v>
      </c>
      <c r="S231" s="30">
        <v>45965</v>
      </c>
      <c r="U231" t="s">
        <v>367</v>
      </c>
      <c r="V231" t="s">
        <v>587</v>
      </c>
      <c r="X231" t="s">
        <v>369</v>
      </c>
      <c r="Y231" s="1" t="s">
        <v>14</v>
      </c>
    </row>
    <row r="232" spans="1:25">
      <c r="A232">
        <v>103679</v>
      </c>
      <c r="B232" t="s">
        <v>362</v>
      </c>
      <c r="C232" s="30">
        <v>45961</v>
      </c>
      <c r="D232" s="30" t="str">
        <f t="shared" si="11"/>
        <v>October</v>
      </c>
      <c r="E232" t="s">
        <v>363</v>
      </c>
      <c r="F232" t="s">
        <v>364</v>
      </c>
      <c r="G232" t="s">
        <v>365</v>
      </c>
      <c r="H232" t="s">
        <v>586</v>
      </c>
      <c r="J232" s="43"/>
      <c r="K232" s="43">
        <v>1282.6666666666667</v>
      </c>
      <c r="L232" s="43">
        <f t="shared" si="9"/>
        <v>-1282.6666666666667</v>
      </c>
      <c r="M232">
        <v>1062</v>
      </c>
      <c r="N232" s="43">
        <v>0</v>
      </c>
      <c r="O232" s="43">
        <v>15325.67</v>
      </c>
      <c r="S232" s="30">
        <v>45965</v>
      </c>
      <c r="U232" t="s">
        <v>367</v>
      </c>
      <c r="V232" t="s">
        <v>587</v>
      </c>
      <c r="X232" t="s">
        <v>369</v>
      </c>
      <c r="Y232" t="s">
        <v>18</v>
      </c>
    </row>
    <row r="233" spans="1:25">
      <c r="A233">
        <v>103679</v>
      </c>
      <c r="B233" t="s">
        <v>362</v>
      </c>
      <c r="C233" s="30">
        <v>45961</v>
      </c>
      <c r="D233" s="30" t="str">
        <f t="shared" si="11"/>
        <v>October</v>
      </c>
      <c r="E233" t="s">
        <v>363</v>
      </c>
      <c r="F233" t="s">
        <v>364</v>
      </c>
      <c r="G233" t="s">
        <v>365</v>
      </c>
      <c r="H233" t="s">
        <v>586</v>
      </c>
      <c r="J233" s="43"/>
      <c r="K233" s="43">
        <v>15325.668826666666</v>
      </c>
      <c r="L233" s="43">
        <f t="shared" si="9"/>
        <v>-15325.668826666666</v>
      </c>
      <c r="M233">
        <v>1062</v>
      </c>
      <c r="N233" s="43">
        <v>0</v>
      </c>
      <c r="O233" s="43">
        <v>15325.67</v>
      </c>
      <c r="S233" s="30">
        <v>45965</v>
      </c>
      <c r="U233" t="s">
        <v>367</v>
      </c>
      <c r="V233" t="s">
        <v>587</v>
      </c>
      <c r="X233" t="s">
        <v>369</v>
      </c>
      <c r="Y233" t="s">
        <v>57</v>
      </c>
    </row>
    <row r="234" spans="1:25">
      <c r="A234">
        <v>103679</v>
      </c>
      <c r="B234" t="s">
        <v>362</v>
      </c>
      <c r="C234" s="30">
        <v>45961</v>
      </c>
      <c r="D234" s="30" t="str">
        <f t="shared" si="11"/>
        <v>October</v>
      </c>
      <c r="E234" t="s">
        <v>363</v>
      </c>
      <c r="F234" t="s">
        <v>364</v>
      </c>
      <c r="G234" t="s">
        <v>365</v>
      </c>
      <c r="H234" t="s">
        <v>586</v>
      </c>
      <c r="J234" s="43"/>
      <c r="K234" s="43">
        <v>296</v>
      </c>
      <c r="L234" s="43">
        <f t="shared" si="9"/>
        <v>-296</v>
      </c>
      <c r="M234">
        <v>1062</v>
      </c>
      <c r="N234" s="43">
        <v>0</v>
      </c>
      <c r="O234" s="43">
        <v>15325.67</v>
      </c>
      <c r="S234" s="30">
        <v>45965</v>
      </c>
      <c r="U234" t="s">
        <v>367</v>
      </c>
      <c r="V234" t="s">
        <v>587</v>
      </c>
      <c r="X234" t="s">
        <v>369</v>
      </c>
      <c r="Y234" s="1" t="s">
        <v>26</v>
      </c>
    </row>
    <row r="235" spans="1:25">
      <c r="A235">
        <v>103679</v>
      </c>
      <c r="B235" t="s">
        <v>362</v>
      </c>
      <c r="C235" s="30">
        <v>45961</v>
      </c>
      <c r="D235" s="30" t="str">
        <f t="shared" si="11"/>
        <v>October</v>
      </c>
      <c r="E235" t="s">
        <v>363</v>
      </c>
      <c r="F235" t="s">
        <v>364</v>
      </c>
      <c r="G235" t="s">
        <v>365</v>
      </c>
      <c r="H235" t="s">
        <v>586</v>
      </c>
      <c r="J235" s="43"/>
      <c r="K235" s="43">
        <v>1890</v>
      </c>
      <c r="L235" s="43">
        <f t="shared" si="9"/>
        <v>-1890</v>
      </c>
      <c r="M235">
        <v>1062</v>
      </c>
      <c r="N235" s="43">
        <v>0</v>
      </c>
      <c r="O235" s="43">
        <v>15325.67</v>
      </c>
      <c r="S235" s="30">
        <v>45965</v>
      </c>
      <c r="U235" t="s">
        <v>367</v>
      </c>
      <c r="V235" t="s">
        <v>587</v>
      </c>
      <c r="X235" t="s">
        <v>369</v>
      </c>
      <c r="Y235" s="1" t="s">
        <v>14</v>
      </c>
    </row>
    <row r="236" spans="1:25">
      <c r="A236">
        <v>103679</v>
      </c>
      <c r="B236" t="s">
        <v>362</v>
      </c>
      <c r="C236" s="30">
        <v>45962</v>
      </c>
      <c r="D236" s="30" t="str">
        <f t="shared" si="11"/>
        <v>November</v>
      </c>
      <c r="E236" t="s">
        <v>363</v>
      </c>
      <c r="F236" t="s">
        <v>364</v>
      </c>
      <c r="G236" t="s">
        <v>365</v>
      </c>
      <c r="H236" t="s">
        <v>586</v>
      </c>
      <c r="J236" s="43">
        <v>18036.266666666666</v>
      </c>
      <c r="K236" s="43"/>
      <c r="L236" s="43">
        <f t="shared" si="9"/>
        <v>18036.266666666666</v>
      </c>
      <c r="M236">
        <v>1062</v>
      </c>
      <c r="N236" s="43"/>
      <c r="O236" s="43"/>
      <c r="S236" s="30">
        <v>45965</v>
      </c>
      <c r="U236" t="s">
        <v>367</v>
      </c>
      <c r="V236" t="s">
        <v>588</v>
      </c>
      <c r="X236" t="s">
        <v>369</v>
      </c>
      <c r="Y236" t="s">
        <v>21</v>
      </c>
    </row>
    <row r="237" spans="1:25">
      <c r="A237">
        <v>103679</v>
      </c>
      <c r="B237" t="s">
        <v>362</v>
      </c>
      <c r="C237" s="30">
        <v>45962</v>
      </c>
      <c r="D237" s="30" t="str">
        <f t="shared" si="11"/>
        <v>November</v>
      </c>
      <c r="E237" t="s">
        <v>363</v>
      </c>
      <c r="F237" t="s">
        <v>364</v>
      </c>
      <c r="G237" t="s">
        <v>365</v>
      </c>
      <c r="H237" t="s">
        <v>586</v>
      </c>
      <c r="J237" s="43">
        <v>10878</v>
      </c>
      <c r="K237" s="43"/>
      <c r="L237" s="43">
        <f t="shared" si="9"/>
        <v>10878</v>
      </c>
      <c r="M237">
        <v>1062</v>
      </c>
      <c r="N237" s="43"/>
      <c r="O237" s="43"/>
      <c r="S237" s="30">
        <v>45965</v>
      </c>
      <c r="U237" t="s">
        <v>367</v>
      </c>
      <c r="V237" t="s">
        <v>588</v>
      </c>
      <c r="X237" t="s">
        <v>369</v>
      </c>
      <c r="Y237" s="1" t="s">
        <v>14</v>
      </c>
    </row>
    <row r="238" spans="1:25">
      <c r="A238">
        <v>103679</v>
      </c>
      <c r="B238" t="s">
        <v>362</v>
      </c>
      <c r="C238" s="30">
        <v>45962</v>
      </c>
      <c r="D238" s="30" t="str">
        <f t="shared" si="11"/>
        <v>November</v>
      </c>
      <c r="E238" t="s">
        <v>363</v>
      </c>
      <c r="F238" t="s">
        <v>364</v>
      </c>
      <c r="G238" t="s">
        <v>365</v>
      </c>
      <c r="H238" t="s">
        <v>586</v>
      </c>
      <c r="J238" s="43">
        <v>1282.6666666666667</v>
      </c>
      <c r="K238" s="43"/>
      <c r="L238" s="43">
        <f t="shared" si="9"/>
        <v>1282.6666666666667</v>
      </c>
      <c r="M238">
        <v>1062</v>
      </c>
      <c r="N238" s="43"/>
      <c r="O238" s="43"/>
      <c r="S238" s="30">
        <v>45965</v>
      </c>
      <c r="U238" t="s">
        <v>367</v>
      </c>
      <c r="V238" t="s">
        <v>588</v>
      </c>
      <c r="X238" t="s">
        <v>369</v>
      </c>
      <c r="Y238" t="s">
        <v>18</v>
      </c>
    </row>
    <row r="239" spans="1:25">
      <c r="A239">
        <v>103679</v>
      </c>
      <c r="B239" t="s">
        <v>362</v>
      </c>
      <c r="C239" s="30">
        <v>45962</v>
      </c>
      <c r="D239" s="30" t="str">
        <f t="shared" si="11"/>
        <v>November</v>
      </c>
      <c r="E239" t="s">
        <v>363</v>
      </c>
      <c r="F239" t="s">
        <v>364</v>
      </c>
      <c r="G239" t="s">
        <v>365</v>
      </c>
      <c r="H239" t="s">
        <v>586</v>
      </c>
      <c r="J239" s="43">
        <v>15325.668826666666</v>
      </c>
      <c r="K239" s="43"/>
      <c r="L239" s="43">
        <f t="shared" si="9"/>
        <v>15325.668826666666</v>
      </c>
      <c r="M239">
        <v>1062</v>
      </c>
      <c r="N239" s="43"/>
      <c r="O239" s="43"/>
      <c r="S239" s="30">
        <v>45965</v>
      </c>
      <c r="U239" t="s">
        <v>367</v>
      </c>
      <c r="V239" t="s">
        <v>588</v>
      </c>
      <c r="X239" t="s">
        <v>369</v>
      </c>
      <c r="Y239" t="s">
        <v>57</v>
      </c>
    </row>
    <row r="240" spans="1:25">
      <c r="A240">
        <v>103679</v>
      </c>
      <c r="B240" t="s">
        <v>362</v>
      </c>
      <c r="C240" s="30">
        <v>45962</v>
      </c>
      <c r="D240" s="30" t="str">
        <f t="shared" si="11"/>
        <v>November</v>
      </c>
      <c r="E240" t="s">
        <v>363</v>
      </c>
      <c r="F240" t="s">
        <v>364</v>
      </c>
      <c r="G240" t="s">
        <v>365</v>
      </c>
      <c r="H240" t="s">
        <v>586</v>
      </c>
      <c r="J240" s="43">
        <v>296</v>
      </c>
      <c r="K240" s="43"/>
      <c r="L240" s="43">
        <f t="shared" si="9"/>
        <v>296</v>
      </c>
      <c r="M240">
        <v>1062</v>
      </c>
      <c r="N240" s="43"/>
      <c r="O240" s="43"/>
      <c r="S240" s="30">
        <v>45965</v>
      </c>
      <c r="U240" t="s">
        <v>367</v>
      </c>
      <c r="V240" t="s">
        <v>588</v>
      </c>
      <c r="X240" t="s">
        <v>369</v>
      </c>
      <c r="Y240" s="1" t="s">
        <v>26</v>
      </c>
    </row>
    <row r="241" spans="1:25">
      <c r="A241">
        <v>103679</v>
      </c>
      <c r="B241" t="s">
        <v>362</v>
      </c>
      <c r="C241" s="30">
        <v>45962</v>
      </c>
      <c r="D241" s="30" t="str">
        <f t="shared" si="11"/>
        <v>November</v>
      </c>
      <c r="E241" t="s">
        <v>363</v>
      </c>
      <c r="F241" t="s">
        <v>364</v>
      </c>
      <c r="G241" t="s">
        <v>365</v>
      </c>
      <c r="H241" t="s">
        <v>586</v>
      </c>
      <c r="J241" s="43">
        <v>1890</v>
      </c>
      <c r="K241" s="43"/>
      <c r="L241" s="43">
        <f t="shared" si="9"/>
        <v>1890</v>
      </c>
      <c r="M241">
        <v>1062</v>
      </c>
      <c r="N241" s="43"/>
      <c r="O241" s="43"/>
      <c r="S241" s="30">
        <v>45965</v>
      </c>
      <c r="U241" t="s">
        <v>367</v>
      </c>
      <c r="V241" t="s">
        <v>588</v>
      </c>
      <c r="X241" t="s">
        <v>369</v>
      </c>
      <c r="Y241" s="1" t="s">
        <v>14</v>
      </c>
    </row>
    <row r="242" spans="1:25">
      <c r="A242">
        <v>103926</v>
      </c>
      <c r="B242" t="s">
        <v>372</v>
      </c>
      <c r="C242" s="30">
        <v>45979</v>
      </c>
      <c r="D242" s="30" t="str">
        <f>TEXT(C242,"mmmm")</f>
        <v>November</v>
      </c>
      <c r="E242" t="s">
        <v>373</v>
      </c>
      <c r="F242" t="s">
        <v>374</v>
      </c>
      <c r="G242" t="s">
        <v>365</v>
      </c>
      <c r="H242" t="s">
        <v>589</v>
      </c>
      <c r="I242">
        <v>0</v>
      </c>
      <c r="J242" s="43">
        <v>0</v>
      </c>
      <c r="K242" s="43">
        <v>12600</v>
      </c>
      <c r="L242" s="43">
        <f t="shared" si="9"/>
        <v>-12600</v>
      </c>
      <c r="M242">
        <v>1062</v>
      </c>
      <c r="N242" s="43">
        <v>0</v>
      </c>
      <c r="O242" s="43">
        <v>12600</v>
      </c>
      <c r="P242" t="s">
        <v>590</v>
      </c>
      <c r="Q242" t="s">
        <v>590</v>
      </c>
      <c r="R242">
        <v>4135</v>
      </c>
      <c r="S242" s="30">
        <v>45979</v>
      </c>
      <c r="T242" t="s">
        <v>377</v>
      </c>
      <c r="U242" t="s">
        <v>378</v>
      </c>
      <c r="V242" t="s">
        <v>591</v>
      </c>
      <c r="W242" t="s">
        <v>590</v>
      </c>
      <c r="X242" t="s">
        <v>369</v>
      </c>
      <c r="Y242" s="1" t="s">
        <v>14</v>
      </c>
    </row>
    <row r="243" spans="1:25">
      <c r="A243">
        <v>103927</v>
      </c>
      <c r="B243" t="s">
        <v>372</v>
      </c>
      <c r="C243" s="30">
        <v>45979</v>
      </c>
      <c r="D243" s="30" t="str">
        <f>TEXT(C243,"mmmm")</f>
        <v>November</v>
      </c>
      <c r="E243" t="s">
        <v>373</v>
      </c>
      <c r="F243" t="s">
        <v>374</v>
      </c>
      <c r="G243" t="s">
        <v>365</v>
      </c>
      <c r="H243" t="s">
        <v>592</v>
      </c>
      <c r="I243">
        <v>0</v>
      </c>
      <c r="J243" s="43">
        <v>0</v>
      </c>
      <c r="K243" s="43">
        <v>23561.599999999999</v>
      </c>
      <c r="L243" s="43">
        <f t="shared" si="9"/>
        <v>-23561.599999999999</v>
      </c>
      <c r="M243">
        <v>1062</v>
      </c>
      <c r="N243" s="43">
        <v>0</v>
      </c>
      <c r="O243" s="43">
        <v>23561.599999999999</v>
      </c>
      <c r="P243" t="s">
        <v>593</v>
      </c>
      <c r="Q243" t="s">
        <v>593</v>
      </c>
      <c r="R243">
        <v>750</v>
      </c>
      <c r="S243" s="30">
        <v>45979</v>
      </c>
      <c r="T243" t="s">
        <v>377</v>
      </c>
      <c r="U243" t="s">
        <v>378</v>
      </c>
      <c r="V243" t="s">
        <v>591</v>
      </c>
      <c r="W243" t="s">
        <v>593</v>
      </c>
      <c r="X243" t="s">
        <v>369</v>
      </c>
      <c r="Y243" t="s">
        <v>21</v>
      </c>
    </row>
    <row r="244" spans="1:25">
      <c r="A244">
        <v>103928</v>
      </c>
      <c r="B244" t="s">
        <v>372</v>
      </c>
      <c r="C244" s="30">
        <v>45979</v>
      </c>
      <c r="D244" s="30" t="str">
        <f>TEXT(C244,"mmmm")</f>
        <v>November</v>
      </c>
      <c r="E244" t="s">
        <v>373</v>
      </c>
      <c r="F244" t="s">
        <v>374</v>
      </c>
      <c r="G244" t="s">
        <v>365</v>
      </c>
      <c r="H244" t="s">
        <v>594</v>
      </c>
      <c r="I244">
        <v>0</v>
      </c>
      <c r="J244" s="43">
        <v>0</v>
      </c>
      <c r="K244" s="43">
        <v>2205</v>
      </c>
      <c r="L244" s="43">
        <f t="shared" si="9"/>
        <v>-2205</v>
      </c>
      <c r="M244">
        <v>1062</v>
      </c>
      <c r="N244" s="43">
        <v>0</v>
      </c>
      <c r="O244" s="43">
        <v>2205</v>
      </c>
      <c r="P244" t="s">
        <v>595</v>
      </c>
      <c r="Q244" t="s">
        <v>595</v>
      </c>
      <c r="R244">
        <v>4135</v>
      </c>
      <c r="S244" s="30">
        <v>45979</v>
      </c>
      <c r="T244" t="s">
        <v>377</v>
      </c>
      <c r="U244" t="s">
        <v>378</v>
      </c>
      <c r="V244" t="s">
        <v>591</v>
      </c>
      <c r="W244" t="s">
        <v>595</v>
      </c>
      <c r="X244" t="s">
        <v>369</v>
      </c>
      <c r="Y244" s="1" t="s">
        <v>14</v>
      </c>
    </row>
    <row r="245" spans="1:25">
      <c r="A245">
        <v>104058</v>
      </c>
      <c r="B245" t="s">
        <v>372</v>
      </c>
      <c r="C245" s="30">
        <v>45989</v>
      </c>
      <c r="D245" s="30" t="str">
        <f>TEXT(C245,"mmmm")</f>
        <v>November</v>
      </c>
      <c r="E245" t="s">
        <v>373</v>
      </c>
      <c r="F245" t="s">
        <v>374</v>
      </c>
      <c r="G245" t="s">
        <v>365</v>
      </c>
      <c r="H245" t="s">
        <v>596</v>
      </c>
      <c r="I245">
        <v>0</v>
      </c>
      <c r="J245" s="43">
        <v>0</v>
      </c>
      <c r="K245" s="43">
        <v>630</v>
      </c>
      <c r="L245" s="43">
        <f t="shared" si="9"/>
        <v>-630</v>
      </c>
      <c r="M245">
        <v>1062</v>
      </c>
      <c r="N245" s="43">
        <v>0</v>
      </c>
      <c r="O245" s="43">
        <v>630</v>
      </c>
      <c r="P245" t="s">
        <v>597</v>
      </c>
      <c r="Q245" t="s">
        <v>597</v>
      </c>
      <c r="R245">
        <v>4067</v>
      </c>
      <c r="S245" s="30">
        <v>45994</v>
      </c>
      <c r="T245" t="s">
        <v>377</v>
      </c>
      <c r="U245" t="s">
        <v>378</v>
      </c>
      <c r="V245" t="s">
        <v>598</v>
      </c>
      <c r="W245" t="s">
        <v>372</v>
      </c>
      <c r="X245" t="s">
        <v>369</v>
      </c>
      <c r="Y245" t="s">
        <v>12</v>
      </c>
    </row>
    <row r="246" spans="1:25">
      <c r="A246">
        <v>104075</v>
      </c>
      <c r="B246" t="s">
        <v>362</v>
      </c>
      <c r="C246" s="30">
        <v>45992</v>
      </c>
      <c r="D246" s="30" t="str">
        <f t="shared" ref="D246:D251" si="12">TEXT(C246,"mmmm")</f>
        <v>December</v>
      </c>
      <c r="E246" t="s">
        <v>363</v>
      </c>
      <c r="F246" t="s">
        <v>364</v>
      </c>
      <c r="G246" t="s">
        <v>365</v>
      </c>
      <c r="H246" t="s">
        <v>599</v>
      </c>
      <c r="J246" s="43">
        <v>1480</v>
      </c>
      <c r="K246" s="43"/>
      <c r="L246" s="43">
        <f>J246-K246</f>
        <v>1480</v>
      </c>
      <c r="N246" s="43"/>
      <c r="O246" s="43"/>
      <c r="S246" s="30">
        <v>45994</v>
      </c>
      <c r="U246" t="s">
        <v>367</v>
      </c>
      <c r="V246" t="s">
        <v>600</v>
      </c>
      <c r="X246" t="s">
        <v>382</v>
      </c>
      <c r="Y246" t="s">
        <v>18</v>
      </c>
    </row>
    <row r="247" spans="1:25">
      <c r="A247">
        <v>104075</v>
      </c>
      <c r="B247" t="s">
        <v>362</v>
      </c>
      <c r="C247" s="30">
        <v>45992</v>
      </c>
      <c r="D247" s="30" t="str">
        <f t="shared" si="12"/>
        <v>December</v>
      </c>
      <c r="E247" t="s">
        <v>370</v>
      </c>
      <c r="F247" t="s">
        <v>371</v>
      </c>
      <c r="G247" t="s">
        <v>365</v>
      </c>
      <c r="H247" t="s">
        <v>599</v>
      </c>
      <c r="J247" s="43">
        <v>21869.123866666669</v>
      </c>
      <c r="K247" s="43"/>
      <c r="L247" s="43">
        <f t="shared" ref="L247:L267" si="13">J247-K247</f>
        <v>21869.123866666669</v>
      </c>
      <c r="N247" s="43"/>
      <c r="O247" s="43"/>
      <c r="S247" s="30">
        <v>45994</v>
      </c>
      <c r="U247" t="s">
        <v>367</v>
      </c>
      <c r="V247" t="s">
        <v>600</v>
      </c>
      <c r="X247" t="s">
        <v>382</v>
      </c>
      <c r="Y247" t="s">
        <v>57</v>
      </c>
    </row>
    <row r="248" spans="1:25">
      <c r="A248">
        <v>104075</v>
      </c>
      <c r="B248" t="s">
        <v>362</v>
      </c>
      <c r="C248" s="30">
        <v>45992</v>
      </c>
      <c r="D248" s="30" t="str">
        <f t="shared" si="12"/>
        <v>December</v>
      </c>
      <c r="E248" t="s">
        <v>363</v>
      </c>
      <c r="F248" t="s">
        <v>364</v>
      </c>
      <c r="G248" t="s">
        <v>365</v>
      </c>
      <c r="H248" t="s">
        <v>599</v>
      </c>
      <c r="J248" s="43">
        <v>296</v>
      </c>
      <c r="K248" s="43"/>
      <c r="L248" s="43">
        <f t="shared" si="13"/>
        <v>296</v>
      </c>
      <c r="N248" s="43"/>
      <c r="O248" s="43"/>
      <c r="S248" s="30">
        <v>45994</v>
      </c>
      <c r="U248" t="s">
        <v>367</v>
      </c>
      <c r="V248" t="s">
        <v>600</v>
      </c>
      <c r="X248" t="s">
        <v>382</v>
      </c>
      <c r="Y248" s="1" t="s">
        <v>26</v>
      </c>
    </row>
    <row r="249" spans="1:25">
      <c r="A249">
        <v>104075</v>
      </c>
      <c r="B249" t="s">
        <v>362</v>
      </c>
      <c r="C249" s="30">
        <v>45992</v>
      </c>
      <c r="D249" s="30" t="str">
        <f t="shared" si="12"/>
        <v>December</v>
      </c>
      <c r="E249" t="s">
        <v>370</v>
      </c>
      <c r="F249" t="s">
        <v>371</v>
      </c>
      <c r="G249" t="s">
        <v>365</v>
      </c>
      <c r="H249" t="s">
        <v>599</v>
      </c>
      <c r="J249" s="43">
        <v>690.66666666666663</v>
      </c>
      <c r="K249" s="43"/>
      <c r="L249" s="43">
        <f t="shared" si="13"/>
        <v>690.66666666666663</v>
      </c>
      <c r="N249" s="43"/>
      <c r="O249" s="43"/>
      <c r="S249" s="30">
        <v>45994</v>
      </c>
      <c r="U249" t="s">
        <v>367</v>
      </c>
      <c r="V249" t="s">
        <v>600</v>
      </c>
      <c r="X249" t="s">
        <v>382</v>
      </c>
      <c r="Y249" s="1" t="s">
        <v>24</v>
      </c>
    </row>
    <row r="250" spans="1:25">
      <c r="A250">
        <v>104075</v>
      </c>
      <c r="B250" t="s">
        <v>362</v>
      </c>
      <c r="C250" s="30">
        <v>45992</v>
      </c>
      <c r="D250" s="30" t="str">
        <f t="shared" si="12"/>
        <v>December</v>
      </c>
      <c r="E250" t="s">
        <v>363</v>
      </c>
      <c r="F250" t="s">
        <v>364</v>
      </c>
      <c r="G250" t="s">
        <v>365</v>
      </c>
      <c r="H250" t="s">
        <v>599</v>
      </c>
      <c r="J250" s="43">
        <v>2829.12</v>
      </c>
      <c r="K250" s="43"/>
      <c r="L250" s="43">
        <f t="shared" si="13"/>
        <v>2829.12</v>
      </c>
      <c r="N250" s="43"/>
      <c r="O250" s="43"/>
      <c r="S250" s="30">
        <v>45994</v>
      </c>
      <c r="U250" t="s">
        <v>367</v>
      </c>
      <c r="V250" t="s">
        <v>600</v>
      </c>
      <c r="X250" t="s">
        <v>382</v>
      </c>
      <c r="Y250" t="s">
        <v>12</v>
      </c>
    </row>
    <row r="251" spans="1:25">
      <c r="A251">
        <v>104075</v>
      </c>
      <c r="B251" t="s">
        <v>362</v>
      </c>
      <c r="C251" s="30">
        <v>45992</v>
      </c>
      <c r="D251" s="30" t="str">
        <f t="shared" si="12"/>
        <v>December</v>
      </c>
      <c r="E251" t="s">
        <v>370</v>
      </c>
      <c r="F251" t="s">
        <v>371</v>
      </c>
      <c r="G251" t="s">
        <v>365</v>
      </c>
      <c r="H251" t="s">
        <v>599</v>
      </c>
      <c r="J251" s="43">
        <v>5920</v>
      </c>
      <c r="K251" s="43"/>
      <c r="L251" s="43">
        <f t="shared" si="13"/>
        <v>5920</v>
      </c>
      <c r="N251" s="43"/>
      <c r="O251" s="43"/>
      <c r="S251" s="30">
        <v>45994</v>
      </c>
      <c r="U251" t="s">
        <v>367</v>
      </c>
      <c r="V251" t="s">
        <v>600</v>
      </c>
      <c r="X251" t="s">
        <v>382</v>
      </c>
      <c r="Y251" t="s">
        <v>17</v>
      </c>
    </row>
    <row r="252" spans="1:25">
      <c r="A252">
        <v>104144</v>
      </c>
      <c r="B252" t="s">
        <v>372</v>
      </c>
      <c r="C252" s="30">
        <v>46001</v>
      </c>
      <c r="D252" s="30" t="str">
        <f t="shared" ref="D252:D257" si="14">TEXT(C252,"mmmm")</f>
        <v>December</v>
      </c>
      <c r="E252" t="s">
        <v>417</v>
      </c>
      <c r="F252" t="s">
        <v>418</v>
      </c>
      <c r="G252" t="s">
        <v>365</v>
      </c>
      <c r="H252" t="s">
        <v>601</v>
      </c>
      <c r="I252">
        <v>0</v>
      </c>
      <c r="J252" s="43">
        <v>0</v>
      </c>
      <c r="K252" s="43">
        <v>3700</v>
      </c>
      <c r="L252" s="43">
        <f t="shared" si="13"/>
        <v>-3700</v>
      </c>
      <c r="M252">
        <v>1062</v>
      </c>
      <c r="N252" s="43">
        <v>0</v>
      </c>
      <c r="O252" s="43">
        <v>3700</v>
      </c>
      <c r="P252" t="s">
        <v>602</v>
      </c>
      <c r="Q252" t="s">
        <v>602</v>
      </c>
      <c r="R252">
        <v>9005</v>
      </c>
      <c r="S252" s="30">
        <v>46009</v>
      </c>
      <c r="T252" t="s">
        <v>377</v>
      </c>
      <c r="U252" t="s">
        <v>378</v>
      </c>
      <c r="V252" t="s">
        <v>603</v>
      </c>
      <c r="W252" t="s">
        <v>602</v>
      </c>
      <c r="X252" t="s">
        <v>369</v>
      </c>
      <c r="Y252" t="s">
        <v>18</v>
      </c>
    </row>
    <row r="253" spans="1:25">
      <c r="A253">
        <v>104204</v>
      </c>
      <c r="B253" t="s">
        <v>372</v>
      </c>
      <c r="C253" s="30">
        <v>46009</v>
      </c>
      <c r="D253" s="30" t="str">
        <f t="shared" si="14"/>
        <v>December</v>
      </c>
      <c r="E253" t="s">
        <v>373</v>
      </c>
      <c r="F253" t="s">
        <v>374</v>
      </c>
      <c r="G253" t="s">
        <v>365</v>
      </c>
      <c r="H253" t="s">
        <v>561</v>
      </c>
      <c r="I253">
        <v>0</v>
      </c>
      <c r="J253" s="43">
        <v>0</v>
      </c>
      <c r="K253" s="43">
        <v>3112.2</v>
      </c>
      <c r="L253" s="43">
        <f t="shared" si="13"/>
        <v>-3112.2</v>
      </c>
      <c r="M253">
        <v>1062</v>
      </c>
      <c r="N253" s="43">
        <v>0</v>
      </c>
      <c r="O253" s="43">
        <v>3112.2</v>
      </c>
      <c r="P253" t="s">
        <v>604</v>
      </c>
      <c r="Q253" t="s">
        <v>604</v>
      </c>
      <c r="R253">
        <v>4135</v>
      </c>
      <c r="S253" s="30">
        <v>46013</v>
      </c>
      <c r="T253" t="s">
        <v>377</v>
      </c>
      <c r="U253" t="s">
        <v>378</v>
      </c>
      <c r="V253" t="s">
        <v>605</v>
      </c>
      <c r="W253" t="s">
        <v>604</v>
      </c>
      <c r="X253" t="s">
        <v>369</v>
      </c>
      <c r="Y253" s="1" t="s">
        <v>14</v>
      </c>
    </row>
    <row r="254" spans="1:25">
      <c r="A254">
        <v>104205</v>
      </c>
      <c r="B254" t="s">
        <v>372</v>
      </c>
      <c r="C254" s="30">
        <v>46013</v>
      </c>
      <c r="D254" s="30" t="str">
        <f t="shared" si="14"/>
        <v>December</v>
      </c>
      <c r="E254" t="s">
        <v>373</v>
      </c>
      <c r="F254" t="s">
        <v>374</v>
      </c>
      <c r="G254" t="s">
        <v>365</v>
      </c>
      <c r="H254" t="s">
        <v>606</v>
      </c>
      <c r="I254">
        <v>0</v>
      </c>
      <c r="J254" s="43">
        <v>0</v>
      </c>
      <c r="K254" s="43">
        <v>9450</v>
      </c>
      <c r="L254" s="43">
        <f t="shared" si="13"/>
        <v>-9450</v>
      </c>
      <c r="M254">
        <v>1062</v>
      </c>
      <c r="N254" s="43">
        <v>0</v>
      </c>
      <c r="O254" s="43">
        <v>9450</v>
      </c>
      <c r="P254" t="s">
        <v>607</v>
      </c>
      <c r="Q254" t="s">
        <v>607</v>
      </c>
      <c r="R254">
        <v>4067</v>
      </c>
      <c r="S254" s="30">
        <v>46013</v>
      </c>
      <c r="T254" t="s">
        <v>377</v>
      </c>
      <c r="U254" t="s">
        <v>378</v>
      </c>
      <c r="V254" t="s">
        <v>605</v>
      </c>
      <c r="W254" t="s">
        <v>607</v>
      </c>
      <c r="X254" t="s">
        <v>369</v>
      </c>
      <c r="Y254" t="s">
        <v>12</v>
      </c>
    </row>
    <row r="255" spans="1:25">
      <c r="A255">
        <v>104206</v>
      </c>
      <c r="B255" t="s">
        <v>372</v>
      </c>
      <c r="C255" s="30">
        <v>46013</v>
      </c>
      <c r="D255" s="30" t="str">
        <f t="shared" si="14"/>
        <v>December</v>
      </c>
      <c r="E255" t="s">
        <v>373</v>
      </c>
      <c r="F255" t="s">
        <v>374</v>
      </c>
      <c r="G255" t="s">
        <v>365</v>
      </c>
      <c r="H255" t="s">
        <v>608</v>
      </c>
      <c r="I255">
        <v>0</v>
      </c>
      <c r="J255" s="43">
        <v>0</v>
      </c>
      <c r="K255" s="43">
        <v>740</v>
      </c>
      <c r="L255" s="43">
        <f t="shared" si="13"/>
        <v>-740</v>
      </c>
      <c r="M255">
        <v>1062</v>
      </c>
      <c r="N255" s="43">
        <v>0</v>
      </c>
      <c r="O255" s="43">
        <v>740</v>
      </c>
      <c r="P255" t="s">
        <v>609</v>
      </c>
      <c r="Q255" t="s">
        <v>609</v>
      </c>
      <c r="R255">
        <v>4136</v>
      </c>
      <c r="S255" s="30">
        <v>46013</v>
      </c>
      <c r="T255" t="s">
        <v>377</v>
      </c>
      <c r="U255" t="s">
        <v>378</v>
      </c>
      <c r="V255" t="s">
        <v>605</v>
      </c>
      <c r="W255" t="s">
        <v>609</v>
      </c>
      <c r="X255" t="s">
        <v>369</v>
      </c>
      <c r="Y255" s="1" t="s">
        <v>24</v>
      </c>
    </row>
    <row r="256" spans="1:25">
      <c r="A256">
        <v>104207</v>
      </c>
      <c r="B256" t="s">
        <v>372</v>
      </c>
      <c r="C256" s="30">
        <v>46013</v>
      </c>
      <c r="D256" s="30" t="str">
        <f t="shared" si="14"/>
        <v>December</v>
      </c>
      <c r="E256" t="s">
        <v>373</v>
      </c>
      <c r="F256" t="s">
        <v>374</v>
      </c>
      <c r="G256" t="s">
        <v>365</v>
      </c>
      <c r="H256" t="s">
        <v>610</v>
      </c>
      <c r="I256">
        <v>0</v>
      </c>
      <c r="J256" s="43">
        <v>0</v>
      </c>
      <c r="K256" s="43">
        <v>2520</v>
      </c>
      <c r="L256" s="43">
        <f t="shared" si="13"/>
        <v>-2520</v>
      </c>
      <c r="M256">
        <v>1062</v>
      </c>
      <c r="N256" s="43">
        <v>0</v>
      </c>
      <c r="O256" s="43">
        <v>2520</v>
      </c>
      <c r="P256" t="s">
        <v>611</v>
      </c>
      <c r="Q256" t="s">
        <v>611</v>
      </c>
      <c r="R256">
        <v>4102</v>
      </c>
      <c r="S256" s="30">
        <v>46013</v>
      </c>
      <c r="T256" t="s">
        <v>377</v>
      </c>
      <c r="U256" t="s">
        <v>378</v>
      </c>
      <c r="V256" t="s">
        <v>612</v>
      </c>
      <c r="W256" t="s">
        <v>372</v>
      </c>
      <c r="X256" t="s">
        <v>369</v>
      </c>
      <c r="Y256" t="s">
        <v>56</v>
      </c>
    </row>
    <row r="257" spans="1:25">
      <c r="A257">
        <v>104345</v>
      </c>
      <c r="B257" t="s">
        <v>362</v>
      </c>
      <c r="C257" s="30">
        <v>46022</v>
      </c>
      <c r="D257" s="30" t="str">
        <f t="shared" si="14"/>
        <v>December</v>
      </c>
      <c r="E257" t="s">
        <v>571</v>
      </c>
      <c r="F257" t="s">
        <v>572</v>
      </c>
      <c r="G257" t="s">
        <v>365</v>
      </c>
      <c r="H257" t="s">
        <v>613</v>
      </c>
      <c r="I257">
        <v>0</v>
      </c>
      <c r="J257" s="43">
        <v>12718.75</v>
      </c>
      <c r="K257" s="43">
        <v>0</v>
      </c>
      <c r="L257" s="43">
        <f t="shared" si="13"/>
        <v>12718.75</v>
      </c>
      <c r="M257">
        <v>1062</v>
      </c>
      <c r="N257" s="43">
        <v>12718.75</v>
      </c>
      <c r="O257" s="43">
        <v>0</v>
      </c>
      <c r="S257" s="30">
        <v>46028</v>
      </c>
      <c r="U257" t="s">
        <v>367</v>
      </c>
      <c r="V257" t="s">
        <v>614</v>
      </c>
      <c r="X257" t="s">
        <v>382</v>
      </c>
      <c r="Y257" t="s">
        <v>18</v>
      </c>
    </row>
    <row r="258" spans="1:25">
      <c r="A258">
        <v>104075</v>
      </c>
      <c r="B258" t="s">
        <v>362</v>
      </c>
      <c r="C258" s="30">
        <v>45989</v>
      </c>
      <c r="D258" s="30" t="str">
        <f t="shared" ref="D258:D267" si="15">TEXT(C258,"mmmm")</f>
        <v>November</v>
      </c>
      <c r="E258" t="s">
        <v>363</v>
      </c>
      <c r="F258" t="s">
        <v>364</v>
      </c>
      <c r="G258" t="s">
        <v>365</v>
      </c>
      <c r="H258" t="s">
        <v>615</v>
      </c>
      <c r="K258">
        <v>1480</v>
      </c>
      <c r="L258" s="43">
        <f t="shared" si="13"/>
        <v>-1480</v>
      </c>
      <c r="M258">
        <v>1062</v>
      </c>
      <c r="O258" s="43">
        <v>1480</v>
      </c>
      <c r="S258" s="30">
        <v>45994</v>
      </c>
      <c r="U258" t="s">
        <v>367</v>
      </c>
      <c r="V258" t="s">
        <v>616</v>
      </c>
      <c r="X258" t="s">
        <v>382</v>
      </c>
      <c r="Y258" t="s">
        <v>18</v>
      </c>
    </row>
    <row r="259" spans="1:25">
      <c r="A259">
        <v>104075</v>
      </c>
      <c r="B259" t="s">
        <v>362</v>
      </c>
      <c r="C259" s="30">
        <v>45989</v>
      </c>
      <c r="D259" s="30" t="str">
        <f t="shared" si="15"/>
        <v>November</v>
      </c>
      <c r="E259" t="s">
        <v>370</v>
      </c>
      <c r="F259" t="s">
        <v>371</v>
      </c>
      <c r="G259" t="s">
        <v>365</v>
      </c>
      <c r="H259" t="s">
        <v>615</v>
      </c>
      <c r="K259">
        <v>21869.123866666669</v>
      </c>
      <c r="L259" s="43">
        <f t="shared" si="13"/>
        <v>-21869.123866666669</v>
      </c>
      <c r="M259">
        <v>1062</v>
      </c>
      <c r="O259" s="43">
        <v>21869.123866666669</v>
      </c>
      <c r="S259" s="30">
        <v>45994</v>
      </c>
      <c r="U259" t="s">
        <v>367</v>
      </c>
      <c r="V259" t="s">
        <v>616</v>
      </c>
      <c r="X259" t="s">
        <v>382</v>
      </c>
      <c r="Y259" t="s">
        <v>57</v>
      </c>
    </row>
    <row r="260" spans="1:25">
      <c r="A260">
        <v>104075</v>
      </c>
      <c r="B260" t="s">
        <v>362</v>
      </c>
      <c r="C260" s="30">
        <v>45989</v>
      </c>
      <c r="D260" s="30" t="str">
        <f t="shared" si="15"/>
        <v>November</v>
      </c>
      <c r="E260" t="s">
        <v>363</v>
      </c>
      <c r="F260" t="s">
        <v>364</v>
      </c>
      <c r="G260" t="s">
        <v>365</v>
      </c>
      <c r="H260" t="s">
        <v>615</v>
      </c>
      <c r="K260">
        <v>296</v>
      </c>
      <c r="L260" s="43">
        <f t="shared" si="13"/>
        <v>-296</v>
      </c>
      <c r="M260">
        <v>1062</v>
      </c>
      <c r="O260" s="43">
        <v>296</v>
      </c>
      <c r="S260" s="30">
        <v>45994</v>
      </c>
      <c r="U260" t="s">
        <v>367</v>
      </c>
      <c r="V260" t="s">
        <v>616</v>
      </c>
      <c r="X260" t="s">
        <v>382</v>
      </c>
      <c r="Y260" s="1" t="s">
        <v>26</v>
      </c>
    </row>
    <row r="261" spans="1:25">
      <c r="A261">
        <v>104075</v>
      </c>
      <c r="B261" t="s">
        <v>362</v>
      </c>
      <c r="C261" s="30">
        <v>45989</v>
      </c>
      <c r="D261" s="30" t="str">
        <f t="shared" si="15"/>
        <v>November</v>
      </c>
      <c r="E261" t="s">
        <v>370</v>
      </c>
      <c r="F261" t="s">
        <v>371</v>
      </c>
      <c r="G261" t="s">
        <v>365</v>
      </c>
      <c r="H261" t="s">
        <v>615</v>
      </c>
      <c r="K261">
        <v>690.66666666666663</v>
      </c>
      <c r="L261" s="43">
        <f t="shared" si="13"/>
        <v>-690.66666666666663</v>
      </c>
      <c r="M261">
        <v>1062</v>
      </c>
      <c r="O261" s="43">
        <v>690.66666666666663</v>
      </c>
      <c r="S261" s="30">
        <v>45994</v>
      </c>
      <c r="U261" t="s">
        <v>367</v>
      </c>
      <c r="V261" t="s">
        <v>616</v>
      </c>
      <c r="X261" t="s">
        <v>382</v>
      </c>
      <c r="Y261" s="1" t="s">
        <v>24</v>
      </c>
    </row>
    <row r="262" spans="1:25">
      <c r="A262">
        <v>104075</v>
      </c>
      <c r="B262" t="s">
        <v>362</v>
      </c>
      <c r="C262" s="30">
        <v>45989</v>
      </c>
      <c r="D262" s="30" t="str">
        <f t="shared" si="15"/>
        <v>November</v>
      </c>
      <c r="E262" t="s">
        <v>363</v>
      </c>
      <c r="F262" t="s">
        <v>364</v>
      </c>
      <c r="G262" t="s">
        <v>365</v>
      </c>
      <c r="H262" t="s">
        <v>615</v>
      </c>
      <c r="K262">
        <v>2829.12</v>
      </c>
      <c r="L262" s="43">
        <f t="shared" si="13"/>
        <v>-2829.12</v>
      </c>
      <c r="M262">
        <v>1062</v>
      </c>
      <c r="O262" s="43">
        <v>2829.12</v>
      </c>
      <c r="S262" s="30">
        <v>45994</v>
      </c>
      <c r="U262" t="s">
        <v>367</v>
      </c>
      <c r="V262" t="s">
        <v>616</v>
      </c>
      <c r="X262" t="s">
        <v>382</v>
      </c>
      <c r="Y262" t="s">
        <v>12</v>
      </c>
    </row>
    <row r="263" spans="1:25">
      <c r="A263">
        <v>104075</v>
      </c>
      <c r="B263" t="s">
        <v>362</v>
      </c>
      <c r="C263" s="30">
        <v>45989</v>
      </c>
      <c r="D263" s="30" t="str">
        <f t="shared" si="15"/>
        <v>November</v>
      </c>
      <c r="E263" t="s">
        <v>370</v>
      </c>
      <c r="F263" t="s">
        <v>371</v>
      </c>
      <c r="G263" t="s">
        <v>365</v>
      </c>
      <c r="H263" t="s">
        <v>615</v>
      </c>
      <c r="K263">
        <v>5920</v>
      </c>
      <c r="L263" s="43">
        <f t="shared" si="13"/>
        <v>-5920</v>
      </c>
      <c r="M263">
        <v>1062</v>
      </c>
      <c r="O263" s="43">
        <v>5920</v>
      </c>
      <c r="S263" s="30">
        <v>45994</v>
      </c>
      <c r="U263" t="s">
        <v>367</v>
      </c>
      <c r="V263" t="s">
        <v>616</v>
      </c>
      <c r="X263" t="s">
        <v>382</v>
      </c>
      <c r="Y263" t="s">
        <v>17</v>
      </c>
    </row>
    <row r="264" spans="1:25">
      <c r="A264">
        <v>104371</v>
      </c>
      <c r="B264" t="s">
        <v>362</v>
      </c>
      <c r="C264" s="30">
        <v>46022</v>
      </c>
      <c r="D264" s="30" t="str">
        <f t="shared" si="15"/>
        <v>December</v>
      </c>
      <c r="E264" t="s">
        <v>363</v>
      </c>
      <c r="F264" t="s">
        <v>364</v>
      </c>
      <c r="G264" t="s">
        <v>365</v>
      </c>
      <c r="H264" t="s">
        <v>366</v>
      </c>
      <c r="K264" s="43">
        <v>21869.123866666669</v>
      </c>
      <c r="L264" s="43">
        <f t="shared" si="13"/>
        <v>-21869.123866666669</v>
      </c>
      <c r="S264" s="30">
        <v>46028</v>
      </c>
      <c r="U264" t="s">
        <v>367</v>
      </c>
      <c r="V264" t="s">
        <v>617</v>
      </c>
      <c r="X264" t="s">
        <v>369</v>
      </c>
      <c r="Y264" t="s">
        <v>57</v>
      </c>
    </row>
    <row r="265" spans="1:25">
      <c r="A265">
        <v>104371</v>
      </c>
      <c r="B265" t="s">
        <v>362</v>
      </c>
      <c r="C265" s="30">
        <v>46022</v>
      </c>
      <c r="D265" s="30" t="str">
        <f t="shared" si="15"/>
        <v>December</v>
      </c>
      <c r="E265" t="s">
        <v>370</v>
      </c>
      <c r="F265" t="s">
        <v>371</v>
      </c>
      <c r="G265" t="s">
        <v>365</v>
      </c>
      <c r="H265" t="s">
        <v>366</v>
      </c>
      <c r="K265" s="43">
        <v>296</v>
      </c>
      <c r="L265" s="43">
        <f t="shared" si="13"/>
        <v>-296</v>
      </c>
      <c r="S265" s="30">
        <v>46028</v>
      </c>
      <c r="U265" t="s">
        <v>367</v>
      </c>
      <c r="V265" t="s">
        <v>617</v>
      </c>
      <c r="X265" t="s">
        <v>369</v>
      </c>
      <c r="Y265" s="1" t="s">
        <v>26</v>
      </c>
    </row>
    <row r="266" spans="1:25">
      <c r="A266">
        <v>104371</v>
      </c>
      <c r="B266" t="s">
        <v>362</v>
      </c>
      <c r="C266" s="30">
        <v>46022</v>
      </c>
      <c r="D266" s="30" t="str">
        <f t="shared" si="15"/>
        <v>December</v>
      </c>
      <c r="E266" t="s">
        <v>363</v>
      </c>
      <c r="F266" t="s">
        <v>364</v>
      </c>
      <c r="G266" t="s">
        <v>365</v>
      </c>
      <c r="H266" t="s">
        <v>366</v>
      </c>
      <c r="K266" s="43">
        <v>16181.333333333334</v>
      </c>
      <c r="L266" s="43">
        <f t="shared" si="13"/>
        <v>-16181.333333333334</v>
      </c>
      <c r="S266" s="30">
        <v>46028</v>
      </c>
      <c r="U266" t="s">
        <v>367</v>
      </c>
      <c r="V266" t="s">
        <v>617</v>
      </c>
      <c r="X266" t="s">
        <v>369</v>
      </c>
      <c r="Y266" t="s">
        <v>17</v>
      </c>
    </row>
    <row r="267" spans="1:25">
      <c r="A267">
        <v>104371</v>
      </c>
      <c r="B267" t="s">
        <v>362</v>
      </c>
      <c r="C267" s="30">
        <v>46022</v>
      </c>
      <c r="D267" s="30" t="str">
        <f t="shared" si="15"/>
        <v>December</v>
      </c>
      <c r="E267" t="s">
        <v>370</v>
      </c>
      <c r="F267" t="s">
        <v>371</v>
      </c>
      <c r="G267" t="s">
        <v>365</v>
      </c>
      <c r="H267" t="s">
        <v>366</v>
      </c>
      <c r="K267" s="43">
        <v>1973.3333333333333</v>
      </c>
      <c r="L267" s="43">
        <f t="shared" si="13"/>
        <v>-1973.3333333333333</v>
      </c>
      <c r="S267" s="30">
        <v>46028</v>
      </c>
      <c r="U267" t="s">
        <v>367</v>
      </c>
      <c r="V267" t="s">
        <v>617</v>
      </c>
      <c r="X267" t="s">
        <v>369</v>
      </c>
      <c r="Y267" t="s">
        <v>21</v>
      </c>
    </row>
    <row r="268" spans="1:25">
      <c r="A268">
        <v>104090</v>
      </c>
      <c r="B268" t="s">
        <v>362</v>
      </c>
      <c r="C268" s="30">
        <v>45991</v>
      </c>
      <c r="D268" t="s">
        <v>256</v>
      </c>
      <c r="E268" t="s">
        <v>571</v>
      </c>
      <c r="F268" t="s">
        <v>572</v>
      </c>
      <c r="G268" t="s">
        <v>365</v>
      </c>
      <c r="H268" t="s">
        <v>618</v>
      </c>
      <c r="I268">
        <v>0</v>
      </c>
      <c r="J268">
        <v>0</v>
      </c>
      <c r="K268">
        <v>7400</v>
      </c>
      <c r="L268">
        <v>-7400</v>
      </c>
      <c r="M268">
        <v>1062</v>
      </c>
      <c r="N268">
        <v>0</v>
      </c>
      <c r="O268">
        <v>7400</v>
      </c>
      <c r="S268">
        <v>45995</v>
      </c>
      <c r="U268" t="s">
        <v>367</v>
      </c>
      <c r="V268" t="s">
        <v>619</v>
      </c>
      <c r="X268" t="s">
        <v>382</v>
      </c>
      <c r="Y268" t="s">
        <v>18</v>
      </c>
    </row>
    <row r="269" spans="1:25">
      <c r="A269">
        <v>104405</v>
      </c>
      <c r="B269" t="s">
        <v>362</v>
      </c>
      <c r="C269" s="30">
        <v>46022</v>
      </c>
      <c r="D269" t="s">
        <v>257</v>
      </c>
      <c r="E269" t="s">
        <v>417</v>
      </c>
      <c r="F269" t="s">
        <v>418</v>
      </c>
      <c r="G269" t="s">
        <v>365</v>
      </c>
      <c r="H269" t="s">
        <v>618</v>
      </c>
      <c r="I269">
        <v>0</v>
      </c>
      <c r="J269">
        <v>0</v>
      </c>
      <c r="K269">
        <v>7400</v>
      </c>
      <c r="L269">
        <v>-7400</v>
      </c>
      <c r="M269">
        <v>1062</v>
      </c>
      <c r="N269">
        <v>0</v>
      </c>
      <c r="O269">
        <v>7400</v>
      </c>
      <c r="S269">
        <v>46032</v>
      </c>
      <c r="U269" t="s">
        <v>367</v>
      </c>
      <c r="V269" t="s">
        <v>620</v>
      </c>
      <c r="X269" t="s">
        <v>382</v>
      </c>
      <c r="Y269" t="s">
        <v>18</v>
      </c>
    </row>
    <row r="270" spans="1:25">
      <c r="A270">
        <v>104090</v>
      </c>
      <c r="B270" t="s">
        <v>362</v>
      </c>
      <c r="C270" s="30">
        <v>45991</v>
      </c>
      <c r="D270" t="s">
        <v>256</v>
      </c>
      <c r="E270" t="s">
        <v>417</v>
      </c>
      <c r="F270" t="s">
        <v>418</v>
      </c>
      <c r="G270" t="s">
        <v>365</v>
      </c>
      <c r="H270" t="s">
        <v>618</v>
      </c>
      <c r="I270">
        <v>0</v>
      </c>
      <c r="J270">
        <v>7400</v>
      </c>
      <c r="K270">
        <v>0</v>
      </c>
      <c r="L270">
        <v>7400</v>
      </c>
      <c r="M270">
        <v>1062</v>
      </c>
      <c r="N270">
        <v>7400</v>
      </c>
      <c r="O270">
        <v>0</v>
      </c>
      <c r="S270">
        <v>45995</v>
      </c>
      <c r="U270" t="s">
        <v>367</v>
      </c>
      <c r="V270" t="s">
        <v>619</v>
      </c>
      <c r="X270" t="s">
        <v>382</v>
      </c>
      <c r="Y270" t="s">
        <v>18</v>
      </c>
    </row>
    <row r="271" spans="1:25">
      <c r="A271">
        <v>104405</v>
      </c>
      <c r="B271" t="s">
        <v>362</v>
      </c>
      <c r="C271" s="30">
        <v>46022</v>
      </c>
      <c r="D271" t="s">
        <v>257</v>
      </c>
      <c r="E271" t="s">
        <v>571</v>
      </c>
      <c r="F271" t="s">
        <v>572</v>
      </c>
      <c r="G271" t="s">
        <v>365</v>
      </c>
      <c r="H271" t="s">
        <v>618</v>
      </c>
      <c r="I271">
        <v>0</v>
      </c>
      <c r="J271">
        <v>7400</v>
      </c>
      <c r="K271">
        <v>0</v>
      </c>
      <c r="L271">
        <v>7400</v>
      </c>
      <c r="M271">
        <v>1062</v>
      </c>
      <c r="N271">
        <v>7400</v>
      </c>
      <c r="O271">
        <v>0</v>
      </c>
      <c r="S271">
        <v>46032</v>
      </c>
      <c r="U271" t="s">
        <v>367</v>
      </c>
      <c r="V271" t="s">
        <v>620</v>
      </c>
      <c r="X271" t="s">
        <v>382</v>
      </c>
      <c r="Y271" t="s">
        <v>18</v>
      </c>
    </row>
  </sheetData>
  <autoFilter ref="A1:Y271" xr:uid="{576BC6A8-3168-4D06-BDCF-EFF8F3513D1E}"/>
  <phoneticPr fontId="8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6372C-57A9-44B6-A7C7-2846BF36ABB6}">
  <dimension ref="A4:O58"/>
  <sheetViews>
    <sheetView topLeftCell="A13" workbookViewId="0">
      <selection activeCell="O58" sqref="O58"/>
    </sheetView>
  </sheetViews>
  <sheetFormatPr defaultRowHeight="14.45"/>
  <cols>
    <col min="2" max="2" width="30.140625" bestFit="1" customWidth="1"/>
    <col min="3" max="3" width="15.85546875" bestFit="1" customWidth="1"/>
    <col min="4" max="4" width="9.28515625" bestFit="1" customWidth="1"/>
    <col min="5" max="7" width="12.7109375" bestFit="1" customWidth="1"/>
    <col min="8" max="8" width="8.7109375" bestFit="1" customWidth="1"/>
    <col min="9" max="11" width="12.7109375" bestFit="1" customWidth="1"/>
    <col min="12" max="12" width="13.7109375" bestFit="1" customWidth="1"/>
    <col min="13" max="15" width="12.7109375" bestFit="1" customWidth="1"/>
  </cols>
  <sheetData>
    <row r="4" spans="2:15">
      <c r="B4" s="5" t="s">
        <v>621</v>
      </c>
      <c r="C4" s="5" t="s">
        <v>242</v>
      </c>
    </row>
    <row r="5" spans="2:15">
      <c r="B5" s="5" t="s">
        <v>62</v>
      </c>
      <c r="C5" t="s">
        <v>240</v>
      </c>
      <c r="D5" t="s">
        <v>247</v>
      </c>
      <c r="E5" t="s">
        <v>248</v>
      </c>
      <c r="F5" t="s">
        <v>249</v>
      </c>
      <c r="G5" t="s">
        <v>250</v>
      </c>
      <c r="H5" t="s">
        <v>251</v>
      </c>
      <c r="I5" t="s">
        <v>252</v>
      </c>
      <c r="J5" t="s">
        <v>253</v>
      </c>
      <c r="K5" t="s">
        <v>254</v>
      </c>
      <c r="L5" t="s">
        <v>255</v>
      </c>
      <c r="M5" t="s">
        <v>256</v>
      </c>
      <c r="N5" t="s">
        <v>257</v>
      </c>
      <c r="O5" t="s">
        <v>76</v>
      </c>
    </row>
    <row r="6" spans="2:15">
      <c r="B6" s="1" t="s">
        <v>35</v>
      </c>
      <c r="G6">
        <v>-2960</v>
      </c>
      <c r="O6" s="47">
        <v>-2960</v>
      </c>
    </row>
    <row r="7" spans="2:15">
      <c r="B7" s="1" t="s">
        <v>32</v>
      </c>
      <c r="J7">
        <v>-1864.8</v>
      </c>
      <c r="K7">
        <v>-754.8</v>
      </c>
      <c r="O7" s="47">
        <v>-2619.6</v>
      </c>
    </row>
    <row r="8" spans="2:15">
      <c r="B8" s="1" t="s">
        <v>22</v>
      </c>
      <c r="D8">
        <v>-4182.24</v>
      </c>
      <c r="E8">
        <v>-412.2</v>
      </c>
      <c r="F8">
        <v>-1073.3</v>
      </c>
      <c r="I8">
        <v>-3808.72</v>
      </c>
      <c r="J8">
        <v>-484.57500000000005</v>
      </c>
      <c r="K8" s="47">
        <v>-9621.1059000000023</v>
      </c>
      <c r="L8">
        <v>-58.139099999998507</v>
      </c>
      <c r="O8" s="47">
        <v>-19640.28</v>
      </c>
    </row>
    <row r="9" spans="2:15">
      <c r="B9" s="1" t="s">
        <v>29</v>
      </c>
      <c r="C9">
        <v>-1763.67</v>
      </c>
      <c r="D9">
        <v>0</v>
      </c>
      <c r="E9">
        <v>-5086.03</v>
      </c>
      <c r="O9" s="47">
        <v>-6849.7</v>
      </c>
    </row>
    <row r="10" spans="2:15">
      <c r="B10" s="1" t="s">
        <v>57</v>
      </c>
      <c r="J10" s="47">
        <v>-4340.9195199999995</v>
      </c>
      <c r="K10" s="47">
        <v>-15328.239306666666</v>
      </c>
      <c r="L10" s="47">
        <v>0</v>
      </c>
      <c r="M10" s="47">
        <v>-6543.4550400000026</v>
      </c>
      <c r="N10">
        <v>0</v>
      </c>
      <c r="O10" s="47">
        <v>-26212.613866666667</v>
      </c>
    </row>
    <row r="11" spans="2:15">
      <c r="B11" s="1" t="s">
        <v>56</v>
      </c>
      <c r="M11" s="47"/>
      <c r="N11">
        <v>-2520</v>
      </c>
      <c r="O11" s="47">
        <v>-2520</v>
      </c>
    </row>
    <row r="12" spans="2:15">
      <c r="B12" s="1" t="s">
        <v>18</v>
      </c>
      <c r="J12" s="47">
        <v>-1282.6666666666667</v>
      </c>
      <c r="K12">
        <v>0</v>
      </c>
      <c r="L12">
        <v>5318.75</v>
      </c>
      <c r="M12" s="47">
        <v>-197.33333333333303</v>
      </c>
      <c r="N12">
        <v>10498.75</v>
      </c>
      <c r="O12" s="47">
        <v>14337.5</v>
      </c>
    </row>
    <row r="13" spans="2:15">
      <c r="B13" s="1" t="s">
        <v>40</v>
      </c>
      <c r="C13">
        <v>0</v>
      </c>
      <c r="D13">
        <v>0</v>
      </c>
      <c r="E13">
        <v>116.59999999999991</v>
      </c>
      <c r="F13">
        <v>2215.4</v>
      </c>
      <c r="G13">
        <v>-4359.07</v>
      </c>
      <c r="O13" s="47">
        <v>-2027.0699999999997</v>
      </c>
    </row>
    <row r="14" spans="2:15">
      <c r="B14" s="1" t="s">
        <v>28</v>
      </c>
      <c r="F14">
        <v>-2543.4899999999998</v>
      </c>
      <c r="G14">
        <v>-2604.5100000000002</v>
      </c>
      <c r="I14">
        <v>-1480</v>
      </c>
      <c r="O14" s="47">
        <v>-6628</v>
      </c>
    </row>
    <row r="15" spans="2:15">
      <c r="B15" s="1" t="s">
        <v>26</v>
      </c>
      <c r="K15">
        <v>-296</v>
      </c>
      <c r="L15">
        <v>0</v>
      </c>
      <c r="M15">
        <v>0</v>
      </c>
      <c r="N15">
        <v>0</v>
      </c>
      <c r="O15" s="47">
        <v>-296</v>
      </c>
    </row>
    <row r="16" spans="2:15">
      <c r="B16" s="1" t="s">
        <v>42</v>
      </c>
      <c r="F16">
        <v>-4144</v>
      </c>
      <c r="G16">
        <v>-3700</v>
      </c>
      <c r="O16" s="47">
        <v>-7844</v>
      </c>
    </row>
    <row r="17" spans="2:15">
      <c r="B17" s="1" t="s">
        <v>21</v>
      </c>
      <c r="C17">
        <v>0</v>
      </c>
      <c r="D17">
        <v>1525.33</v>
      </c>
      <c r="H17">
        <v>-3236.27</v>
      </c>
      <c r="I17" s="47">
        <v>-1627.9966666666664</v>
      </c>
      <c r="J17" s="47">
        <v>-5870.6666666666661</v>
      </c>
      <c r="K17" s="47">
        <v>-5969.3333333333339</v>
      </c>
      <c r="L17">
        <v>-1332</v>
      </c>
      <c r="M17" s="47">
        <v>-5525.3333333333321</v>
      </c>
      <c r="N17" s="47">
        <v>-1973.3333333333333</v>
      </c>
      <c r="O17" s="47">
        <v>-24009.603333333333</v>
      </c>
    </row>
    <row r="18" spans="2:15">
      <c r="B18" s="1" t="s">
        <v>19</v>
      </c>
      <c r="D18">
        <v>-715</v>
      </c>
      <c r="E18" s="47">
        <v>-5821.333333333333</v>
      </c>
      <c r="F18" s="47">
        <v>-197.32666666666691</v>
      </c>
      <c r="G18">
        <v>-2516</v>
      </c>
      <c r="H18">
        <v>-744.94</v>
      </c>
      <c r="M18" s="47"/>
      <c r="N18" s="47"/>
      <c r="O18" s="47">
        <v>-9994.6</v>
      </c>
    </row>
    <row r="19" spans="2:15">
      <c r="B19" s="1" t="s">
        <v>24</v>
      </c>
      <c r="D19">
        <v>-3625</v>
      </c>
      <c r="M19" s="47">
        <v>-690.66666666666663</v>
      </c>
      <c r="N19" s="47">
        <v>-49.333333333333371</v>
      </c>
      <c r="O19" s="47">
        <v>-4365</v>
      </c>
    </row>
    <row r="20" spans="2:15">
      <c r="B20" s="1" t="s">
        <v>37</v>
      </c>
      <c r="D20">
        <v>-1950</v>
      </c>
      <c r="O20" s="47">
        <v>-1950</v>
      </c>
    </row>
    <row r="21" spans="2:15">
      <c r="B21" s="1" t="s">
        <v>39</v>
      </c>
      <c r="H21">
        <v>-1287.5999999999999</v>
      </c>
      <c r="O21" s="47">
        <v>-1287.5999999999999</v>
      </c>
    </row>
    <row r="22" spans="2:15">
      <c r="B22" s="1" t="s">
        <v>12</v>
      </c>
      <c r="C22">
        <v>-6551.2800000000007</v>
      </c>
      <c r="D22">
        <v>-11591.099999999999</v>
      </c>
      <c r="E22">
        <v>-6458.9400000000014</v>
      </c>
      <c r="F22">
        <v>-6227.7300000000005</v>
      </c>
      <c r="G22">
        <v>-5070.24</v>
      </c>
      <c r="H22">
        <v>-6420.1200000000008</v>
      </c>
      <c r="I22" s="47">
        <v>-2593.9199999999996</v>
      </c>
      <c r="J22" s="47">
        <v>-905.95000000000061</v>
      </c>
      <c r="K22">
        <v>-21738.77</v>
      </c>
      <c r="L22">
        <v>-1486.7999999999993</v>
      </c>
      <c r="M22">
        <v>-3459.12</v>
      </c>
      <c r="N22">
        <v>-6620.88</v>
      </c>
      <c r="O22" s="47">
        <v>-79124.850000000006</v>
      </c>
    </row>
    <row r="23" spans="2:15">
      <c r="B23" s="1" t="s">
        <v>30</v>
      </c>
      <c r="G23">
        <v>-986.67</v>
      </c>
      <c r="H23">
        <v>0</v>
      </c>
      <c r="I23" s="47">
        <v>3.3333333333303017E-3</v>
      </c>
      <c r="J23" s="47">
        <v>-1973.3333333333335</v>
      </c>
      <c r="O23" s="47">
        <v>-2960</v>
      </c>
    </row>
    <row r="24" spans="2:15">
      <c r="B24" s="1" t="s">
        <v>17</v>
      </c>
      <c r="C24">
        <v>-1430</v>
      </c>
      <c r="D24">
        <v>-9990</v>
      </c>
      <c r="E24" s="47">
        <v>-14981.546666666667</v>
      </c>
      <c r="F24" s="47">
        <v>-2103.5733333333328</v>
      </c>
      <c r="G24">
        <v>-9110.880000000001</v>
      </c>
      <c r="H24">
        <v>-2072</v>
      </c>
      <c r="I24" s="47">
        <v>-2368</v>
      </c>
      <c r="J24" s="47">
        <v>-5520.4</v>
      </c>
      <c r="K24">
        <v>-6512</v>
      </c>
      <c r="M24">
        <v>-5920</v>
      </c>
      <c r="N24" s="47">
        <v>-10261.333333333334</v>
      </c>
      <c r="O24" s="47">
        <v>-70269.733333333337</v>
      </c>
    </row>
    <row r="25" spans="2:15">
      <c r="B25" s="1" t="s">
        <v>14</v>
      </c>
      <c r="C25">
        <v>-486.00000000000023</v>
      </c>
      <c r="D25">
        <v>-1370.6499999999999</v>
      </c>
      <c r="E25">
        <v>-6040.4400000000005</v>
      </c>
      <c r="F25">
        <v>0</v>
      </c>
      <c r="G25">
        <v>0</v>
      </c>
      <c r="H25">
        <v>-8967.84</v>
      </c>
      <c r="I25" s="47">
        <v>-10083.36</v>
      </c>
      <c r="J25" s="47">
        <v>-5880.0000000000018</v>
      </c>
      <c r="K25">
        <v>-1793.5499999999993</v>
      </c>
      <c r="L25">
        <v>-1890</v>
      </c>
      <c r="M25">
        <v>-2037</v>
      </c>
      <c r="N25">
        <v>-3112.2</v>
      </c>
      <c r="O25" s="47">
        <v>-41661.039999999994</v>
      </c>
    </row>
    <row r="26" spans="2:15">
      <c r="B26" s="1" t="s">
        <v>47</v>
      </c>
      <c r="E26">
        <v>2145</v>
      </c>
      <c r="I26" s="47">
        <v>-7298.65</v>
      </c>
      <c r="J26" s="47">
        <v>-2145</v>
      </c>
      <c r="O26" s="47">
        <v>-7298.65</v>
      </c>
    </row>
    <row r="27" spans="2:15">
      <c r="B27" s="1" t="s">
        <v>13</v>
      </c>
      <c r="C27">
        <v>0</v>
      </c>
      <c r="D27">
        <v>-282.84000000000015</v>
      </c>
      <c r="E27">
        <v>0</v>
      </c>
      <c r="F27">
        <v>-668.97999999999956</v>
      </c>
      <c r="H27">
        <v>-4153.7299999999996</v>
      </c>
      <c r="I27" s="47"/>
      <c r="J27" s="47">
        <v>-2055.81</v>
      </c>
      <c r="O27" s="47">
        <v>-7161.3599999999988</v>
      </c>
    </row>
    <row r="28" spans="2:15">
      <c r="B28" s="1" t="s">
        <v>76</v>
      </c>
      <c r="C28">
        <v>-10230.950000000001</v>
      </c>
      <c r="D28">
        <v>-32181.5</v>
      </c>
      <c r="E28">
        <v>-36538.890000000007</v>
      </c>
      <c r="F28">
        <v>-14743</v>
      </c>
      <c r="G28">
        <v>-31307.37</v>
      </c>
      <c r="H28">
        <v>-26882.5</v>
      </c>
      <c r="I28" s="47">
        <v>-29260.643333333333</v>
      </c>
      <c r="J28" s="47">
        <v>-32324.121186666667</v>
      </c>
      <c r="K28" s="47">
        <v>-62013.798540000003</v>
      </c>
      <c r="L28">
        <v>551.81090000000222</v>
      </c>
      <c r="M28">
        <v>-24372.908373333335</v>
      </c>
      <c r="N28">
        <v>-14038.330000000002</v>
      </c>
      <c r="O28">
        <v>-313342.20053333335</v>
      </c>
    </row>
    <row r="29" spans="2:15">
      <c r="C29">
        <v>10231</v>
      </c>
      <c r="D29">
        <v>32182</v>
      </c>
      <c r="E29">
        <v>36539</v>
      </c>
      <c r="F29">
        <v>14743</v>
      </c>
      <c r="G29">
        <v>31307</v>
      </c>
      <c r="H29">
        <v>26882</v>
      </c>
      <c r="I29" s="47">
        <v>29261</v>
      </c>
      <c r="J29" s="47">
        <v>32324</v>
      </c>
      <c r="K29">
        <v>62014</v>
      </c>
      <c r="L29">
        <v>552</v>
      </c>
      <c r="M29">
        <v>24373</v>
      </c>
      <c r="N29">
        <v>14038</v>
      </c>
    </row>
    <row r="30" spans="2:15">
      <c r="C30">
        <f>C29+C28</f>
        <v>4.9999999999272404E-2</v>
      </c>
      <c r="D30">
        <f t="shared" ref="D30:N30" si="0">D29+D28</f>
        <v>0.5</v>
      </c>
      <c r="E30">
        <f t="shared" si="0"/>
        <v>0.10999999999330612</v>
      </c>
      <c r="F30">
        <f t="shared" si="0"/>
        <v>0</v>
      </c>
      <c r="G30">
        <f t="shared" si="0"/>
        <v>-0.36999999999898137</v>
      </c>
      <c r="H30">
        <f t="shared" si="0"/>
        <v>-0.5</v>
      </c>
      <c r="I30" s="47">
        <f t="shared" si="0"/>
        <v>0.35666666666656965</v>
      </c>
      <c r="J30" s="47">
        <f t="shared" si="0"/>
        <v>-0.12118666666719946</v>
      </c>
      <c r="K30" s="47">
        <f t="shared" si="0"/>
        <v>0.2014599999965867</v>
      </c>
      <c r="L30" s="47">
        <f>L29-L28</f>
        <v>0.18909999999777938</v>
      </c>
      <c r="M30" s="47">
        <f t="shared" si="0"/>
        <v>9.1626666664524237E-2</v>
      </c>
      <c r="N30">
        <f t="shared" si="0"/>
        <v>-0.33000000000174623</v>
      </c>
    </row>
    <row r="33" spans="2:15">
      <c r="B33" t="s">
        <v>77</v>
      </c>
      <c r="C33">
        <v>0.80549000000000004</v>
      </c>
      <c r="D33">
        <v>0.79437000000000002</v>
      </c>
      <c r="E33">
        <v>0.77312000000000003</v>
      </c>
      <c r="F33">
        <v>0.74848000000000003</v>
      </c>
      <c r="G33">
        <v>0.74348000000000003</v>
      </c>
      <c r="H33">
        <v>0.72924</v>
      </c>
      <c r="I33">
        <v>0.75575000000000003</v>
      </c>
      <c r="J33">
        <v>0.74082999999999999</v>
      </c>
      <c r="K33">
        <v>0.74399999999999999</v>
      </c>
      <c r="L33">
        <v>0.76107999999999998</v>
      </c>
      <c r="M33">
        <v>0.75609000000000004</v>
      </c>
      <c r="N33">
        <v>0.74321999999999999</v>
      </c>
    </row>
    <row r="35" spans="2:15">
      <c r="B35" t="s">
        <v>35</v>
      </c>
      <c r="C35" s="47">
        <f>C6/$C$33</f>
        <v>0</v>
      </c>
      <c r="D35" s="47">
        <f>D6/$D$33</f>
        <v>0</v>
      </c>
      <c r="E35" s="47">
        <f>E6/$E$33</f>
        <v>0</v>
      </c>
      <c r="F35" s="47">
        <f>F6/$F$33</f>
        <v>0</v>
      </c>
      <c r="G35" s="47">
        <f>G6/$G$33</f>
        <v>-3981.2772367783932</v>
      </c>
      <c r="H35">
        <f>H6/$H$33</f>
        <v>0</v>
      </c>
      <c r="I35" s="47">
        <f>I6/$I$33</f>
        <v>0</v>
      </c>
      <c r="J35" s="47">
        <f>J6/$J$33</f>
        <v>0</v>
      </c>
      <c r="K35" s="47">
        <f>K6/$K$33</f>
        <v>0</v>
      </c>
      <c r="L35" s="47">
        <f>L6/$L$33</f>
        <v>0</v>
      </c>
      <c r="M35" s="47">
        <f>M6/$M$33</f>
        <v>0</v>
      </c>
      <c r="N35" s="47">
        <f>N6/$N$33</f>
        <v>0</v>
      </c>
      <c r="O35" s="47">
        <f>SUM(C35:N35)</f>
        <v>-3981.2772367783932</v>
      </c>
    </row>
    <row r="36" spans="2:15">
      <c r="B36" t="s">
        <v>32</v>
      </c>
      <c r="C36" s="47">
        <f t="shared" ref="C36:C56" si="1">C7/$C$33</f>
        <v>0</v>
      </c>
      <c r="D36" s="47">
        <f t="shared" ref="D36:D56" si="2">D7/$D$33</f>
        <v>0</v>
      </c>
      <c r="E36" s="47">
        <f t="shared" ref="E36:E56" si="3">E7/$E$33</f>
        <v>0</v>
      </c>
      <c r="F36" s="47">
        <f t="shared" ref="F36:F56" si="4">F7/$F$33</f>
        <v>0</v>
      </c>
      <c r="G36" s="47">
        <f t="shared" ref="G36:G56" si="5">G7/$G$33</f>
        <v>0</v>
      </c>
      <c r="H36">
        <f t="shared" ref="H36:H56" si="6">H7/$H$33</f>
        <v>0</v>
      </c>
      <c r="I36" s="47">
        <f t="shared" ref="I36:I56" si="7">I7/$I$33</f>
        <v>0</v>
      </c>
      <c r="J36" s="47">
        <f t="shared" ref="J36:J56" si="8">J7/$J$33</f>
        <v>-2517.1766802100346</v>
      </c>
      <c r="K36" s="47">
        <f t="shared" ref="K36:K56" si="9">K7/$K$33</f>
        <v>-1014.516129032258</v>
      </c>
      <c r="L36" s="47">
        <f t="shared" ref="L36:L56" si="10">L7/$L$33</f>
        <v>0</v>
      </c>
      <c r="M36" s="47">
        <f t="shared" ref="M36:M56" si="11">M7/$M$33</f>
        <v>0</v>
      </c>
      <c r="N36" s="47">
        <f t="shared" ref="N36:N56" si="12">N7/$N$33</f>
        <v>0</v>
      </c>
      <c r="O36" s="47">
        <f t="shared" ref="O36:O56" si="13">SUM(C36:N36)</f>
        <v>-3531.6928092422927</v>
      </c>
    </row>
    <row r="37" spans="2:15">
      <c r="B37" t="s">
        <v>22</v>
      </c>
      <c r="C37" s="47">
        <f t="shared" si="1"/>
        <v>0</v>
      </c>
      <c r="D37" s="47">
        <f t="shared" si="2"/>
        <v>-5264.8513916688689</v>
      </c>
      <c r="E37" s="47">
        <f t="shared" si="3"/>
        <v>-533.16432119205297</v>
      </c>
      <c r="F37" s="47">
        <f t="shared" si="4"/>
        <v>-1433.9728516460025</v>
      </c>
      <c r="G37" s="47">
        <f t="shared" si="5"/>
        <v>0</v>
      </c>
      <c r="H37">
        <f t="shared" si="6"/>
        <v>0</v>
      </c>
      <c r="I37" s="47">
        <f t="shared" si="7"/>
        <v>-5039.655970889844</v>
      </c>
      <c r="J37" s="47">
        <f t="shared" si="8"/>
        <v>-654.09743125953332</v>
      </c>
      <c r="K37" s="47">
        <f t="shared" si="9"/>
        <v>-12931.593951612906</v>
      </c>
      <c r="L37" s="47">
        <f t="shared" si="10"/>
        <v>-76.390261207755444</v>
      </c>
      <c r="M37" s="47">
        <f t="shared" si="11"/>
        <v>0</v>
      </c>
      <c r="N37" s="47">
        <f t="shared" si="12"/>
        <v>0</v>
      </c>
      <c r="O37" s="47">
        <f t="shared" si="13"/>
        <v>-25933.726179476962</v>
      </c>
    </row>
    <row r="38" spans="2:15">
      <c r="B38" t="s">
        <v>29</v>
      </c>
      <c r="C38" s="47">
        <f t="shared" si="1"/>
        <v>-2189.561633291537</v>
      </c>
      <c r="D38" s="47">
        <f t="shared" si="2"/>
        <v>0</v>
      </c>
      <c r="E38" s="47">
        <f t="shared" si="3"/>
        <v>-6578.5777110927147</v>
      </c>
      <c r="F38" s="47">
        <f t="shared" si="4"/>
        <v>0</v>
      </c>
      <c r="G38" s="47">
        <f t="shared" si="5"/>
        <v>0</v>
      </c>
      <c r="H38">
        <f t="shared" si="6"/>
        <v>0</v>
      </c>
      <c r="I38" s="47">
        <f t="shared" si="7"/>
        <v>0</v>
      </c>
      <c r="J38" s="47">
        <f t="shared" si="8"/>
        <v>0</v>
      </c>
      <c r="K38" s="47">
        <f t="shared" si="9"/>
        <v>0</v>
      </c>
      <c r="L38" s="47">
        <f t="shared" si="10"/>
        <v>0</v>
      </c>
      <c r="M38" s="47">
        <f t="shared" si="11"/>
        <v>0</v>
      </c>
      <c r="N38" s="47">
        <f t="shared" si="12"/>
        <v>0</v>
      </c>
      <c r="O38" s="47">
        <f t="shared" si="13"/>
        <v>-8768.1393443842517</v>
      </c>
    </row>
    <row r="39" spans="2:15">
      <c r="B39" t="s">
        <v>57</v>
      </c>
      <c r="C39" s="47">
        <f t="shared" si="1"/>
        <v>0</v>
      </c>
      <c r="D39" s="47">
        <f t="shared" si="2"/>
        <v>0</v>
      </c>
      <c r="E39" s="47">
        <f t="shared" si="3"/>
        <v>0</v>
      </c>
      <c r="F39" s="47">
        <f t="shared" si="4"/>
        <v>0</v>
      </c>
      <c r="G39" s="47">
        <f t="shared" si="5"/>
        <v>0</v>
      </c>
      <c r="H39">
        <f t="shared" si="6"/>
        <v>0</v>
      </c>
      <c r="I39" s="47">
        <f t="shared" si="7"/>
        <v>0</v>
      </c>
      <c r="J39" s="47">
        <f t="shared" si="8"/>
        <v>-5859.5352779990008</v>
      </c>
      <c r="K39" s="47">
        <f t="shared" si="9"/>
        <v>-20602.472186379928</v>
      </c>
      <c r="L39" s="47">
        <f t="shared" si="10"/>
        <v>0</v>
      </c>
      <c r="M39" s="47">
        <f t="shared" si="11"/>
        <v>-8654.3335317224173</v>
      </c>
      <c r="N39" s="47">
        <f t="shared" si="12"/>
        <v>0</v>
      </c>
      <c r="O39" s="47">
        <f t="shared" si="13"/>
        <v>-35116.340996101346</v>
      </c>
    </row>
    <row r="40" spans="2:15">
      <c r="B40" t="s">
        <v>56</v>
      </c>
      <c r="C40" s="47">
        <f t="shared" si="1"/>
        <v>0</v>
      </c>
      <c r="D40" s="47">
        <f t="shared" si="2"/>
        <v>0</v>
      </c>
      <c r="E40" s="47">
        <f t="shared" si="3"/>
        <v>0</v>
      </c>
      <c r="F40" s="47">
        <f t="shared" si="4"/>
        <v>0</v>
      </c>
      <c r="G40" s="47">
        <f t="shared" si="5"/>
        <v>0</v>
      </c>
      <c r="H40">
        <f t="shared" si="6"/>
        <v>0</v>
      </c>
      <c r="I40" s="47">
        <f t="shared" si="7"/>
        <v>0</v>
      </c>
      <c r="J40" s="47">
        <f t="shared" si="8"/>
        <v>0</v>
      </c>
      <c r="K40" s="47">
        <f t="shared" si="9"/>
        <v>0</v>
      </c>
      <c r="L40" s="47">
        <f t="shared" si="10"/>
        <v>0</v>
      </c>
      <c r="M40" s="47">
        <f t="shared" si="11"/>
        <v>0</v>
      </c>
      <c r="N40" s="47">
        <f t="shared" si="12"/>
        <v>-3390.6514894647617</v>
      </c>
      <c r="O40" s="47">
        <f t="shared" si="13"/>
        <v>-3390.6514894647617</v>
      </c>
    </row>
    <row r="41" spans="2:15">
      <c r="B41" t="s">
        <v>18</v>
      </c>
      <c r="C41" s="47">
        <f t="shared" si="1"/>
        <v>0</v>
      </c>
      <c r="D41" s="47">
        <f t="shared" si="2"/>
        <v>0</v>
      </c>
      <c r="E41" s="47">
        <f t="shared" si="3"/>
        <v>0</v>
      </c>
      <c r="F41" s="47">
        <f t="shared" si="4"/>
        <v>0</v>
      </c>
      <c r="G41" s="47">
        <f t="shared" si="5"/>
        <v>0</v>
      </c>
      <c r="H41">
        <f t="shared" si="6"/>
        <v>0</v>
      </c>
      <c r="I41" s="47">
        <f t="shared" si="7"/>
        <v>0</v>
      </c>
      <c r="J41" s="47">
        <f t="shared" si="8"/>
        <v>-1731.3913673402355</v>
      </c>
      <c r="K41" s="47">
        <f t="shared" si="9"/>
        <v>0</v>
      </c>
      <c r="L41" s="47">
        <f t="shared" si="10"/>
        <v>6988.4243443527621</v>
      </c>
      <c r="M41" s="47">
        <f t="shared" si="11"/>
        <v>-260.99185723039983</v>
      </c>
      <c r="N41" s="47">
        <f t="shared" si="12"/>
        <v>14126.032668658001</v>
      </c>
      <c r="O41" s="47">
        <f t="shared" si="13"/>
        <v>19122.073788440128</v>
      </c>
    </row>
    <row r="42" spans="2:15">
      <c r="B42" t="s">
        <v>40</v>
      </c>
      <c r="C42" s="47">
        <f t="shared" si="1"/>
        <v>0</v>
      </c>
      <c r="D42" s="47">
        <f t="shared" si="2"/>
        <v>0</v>
      </c>
      <c r="E42" s="47">
        <f t="shared" si="3"/>
        <v>150.81746688741708</v>
      </c>
      <c r="F42" s="47">
        <f t="shared" si="4"/>
        <v>2959.8653270628474</v>
      </c>
      <c r="G42" s="47">
        <f t="shared" si="5"/>
        <v>-5863.0628934201313</v>
      </c>
      <c r="H42">
        <f t="shared" si="6"/>
        <v>0</v>
      </c>
      <c r="I42" s="47">
        <f t="shared" si="7"/>
        <v>0</v>
      </c>
      <c r="J42" s="47">
        <f t="shared" si="8"/>
        <v>0</v>
      </c>
      <c r="K42" s="47">
        <f t="shared" si="9"/>
        <v>0</v>
      </c>
      <c r="L42" s="47">
        <f t="shared" si="10"/>
        <v>0</v>
      </c>
      <c r="M42" s="47">
        <f t="shared" si="11"/>
        <v>0</v>
      </c>
      <c r="N42" s="47">
        <f t="shared" si="12"/>
        <v>0</v>
      </c>
      <c r="O42" s="47">
        <f t="shared" si="13"/>
        <v>-2752.3800994698668</v>
      </c>
    </row>
    <row r="43" spans="2:15">
      <c r="B43" t="s">
        <v>28</v>
      </c>
      <c r="C43" s="47">
        <f t="shared" si="1"/>
        <v>0</v>
      </c>
      <c r="D43" s="47">
        <f t="shared" si="2"/>
        <v>0</v>
      </c>
      <c r="E43" s="47">
        <f t="shared" si="3"/>
        <v>0</v>
      </c>
      <c r="F43" s="47">
        <f t="shared" si="4"/>
        <v>-3398.207032920051</v>
      </c>
      <c r="G43" s="47">
        <f t="shared" si="5"/>
        <v>-3503.1339107978697</v>
      </c>
      <c r="H43">
        <f t="shared" si="6"/>
        <v>0</v>
      </c>
      <c r="I43" s="47">
        <f t="shared" si="7"/>
        <v>-1958.3195501157788</v>
      </c>
      <c r="J43" s="47">
        <f t="shared" si="8"/>
        <v>0</v>
      </c>
      <c r="K43" s="47">
        <f t="shared" si="9"/>
        <v>0</v>
      </c>
      <c r="L43" s="47">
        <f t="shared" si="10"/>
        <v>0</v>
      </c>
      <c r="M43" s="47">
        <f t="shared" si="11"/>
        <v>0</v>
      </c>
      <c r="N43" s="47">
        <f t="shared" si="12"/>
        <v>0</v>
      </c>
      <c r="O43" s="47">
        <f t="shared" si="13"/>
        <v>-8859.6604938337005</v>
      </c>
    </row>
    <row r="44" spans="2:15">
      <c r="B44" t="s">
        <v>26</v>
      </c>
      <c r="C44" s="47">
        <f t="shared" si="1"/>
        <v>0</v>
      </c>
      <c r="D44" s="47">
        <f t="shared" si="2"/>
        <v>0</v>
      </c>
      <c r="E44" s="47">
        <f t="shared" si="3"/>
        <v>0</v>
      </c>
      <c r="F44" s="47">
        <f t="shared" si="4"/>
        <v>0</v>
      </c>
      <c r="G44" s="47">
        <f t="shared" si="5"/>
        <v>0</v>
      </c>
      <c r="H44">
        <f t="shared" si="6"/>
        <v>0</v>
      </c>
      <c r="I44" s="47">
        <f t="shared" si="7"/>
        <v>0</v>
      </c>
      <c r="J44" s="47">
        <f t="shared" si="8"/>
        <v>0</v>
      </c>
      <c r="K44" s="47">
        <f t="shared" si="9"/>
        <v>-397.84946236559142</v>
      </c>
      <c r="L44" s="47">
        <f t="shared" si="10"/>
        <v>0</v>
      </c>
      <c r="M44" s="47">
        <f t="shared" si="11"/>
        <v>0</v>
      </c>
      <c r="N44" s="47">
        <f t="shared" si="12"/>
        <v>0</v>
      </c>
      <c r="O44" s="47">
        <f t="shared" si="13"/>
        <v>-397.84946236559142</v>
      </c>
    </row>
    <row r="45" spans="2:15">
      <c r="B45" t="s">
        <v>42</v>
      </c>
      <c r="C45" s="47">
        <f t="shared" si="1"/>
        <v>0</v>
      </c>
      <c r="D45" s="47">
        <f t="shared" si="2"/>
        <v>0</v>
      </c>
      <c r="E45" s="47">
        <f t="shared" si="3"/>
        <v>0</v>
      </c>
      <c r="F45" s="47">
        <f t="shared" si="4"/>
        <v>-5536.5540829414276</v>
      </c>
      <c r="G45" s="47">
        <f t="shared" si="5"/>
        <v>-4976.5965459729914</v>
      </c>
      <c r="H45">
        <f t="shared" si="6"/>
        <v>0</v>
      </c>
      <c r="I45" s="47">
        <f t="shared" si="7"/>
        <v>0</v>
      </c>
      <c r="J45" s="47">
        <f t="shared" si="8"/>
        <v>0</v>
      </c>
      <c r="K45" s="47">
        <f t="shared" si="9"/>
        <v>0</v>
      </c>
      <c r="L45" s="47">
        <f t="shared" si="10"/>
        <v>0</v>
      </c>
      <c r="M45" s="47">
        <f t="shared" si="11"/>
        <v>0</v>
      </c>
      <c r="N45" s="47">
        <f t="shared" si="12"/>
        <v>0</v>
      </c>
      <c r="O45" s="47">
        <f t="shared" si="13"/>
        <v>-10513.15062891442</v>
      </c>
    </row>
    <row r="46" spans="2:15">
      <c r="B46" t="s">
        <v>21</v>
      </c>
      <c r="C46" s="47">
        <f t="shared" si="1"/>
        <v>0</v>
      </c>
      <c r="D46" s="47">
        <f t="shared" si="2"/>
        <v>1920.1757367473595</v>
      </c>
      <c r="E46" s="47">
        <f t="shared" si="3"/>
        <v>0</v>
      </c>
      <c r="F46" s="47">
        <f t="shared" si="4"/>
        <v>0</v>
      </c>
      <c r="G46" s="47">
        <f t="shared" si="5"/>
        <v>0</v>
      </c>
      <c r="H46">
        <f t="shared" si="6"/>
        <v>-4437.8668202512208</v>
      </c>
      <c r="I46" s="47">
        <f t="shared" si="7"/>
        <v>-2154.1470944977391</v>
      </c>
      <c r="J46" s="47">
        <f t="shared" si="8"/>
        <v>-7924.4451043649233</v>
      </c>
      <c r="K46" s="47">
        <f t="shared" si="9"/>
        <v>-8023.2974910394278</v>
      </c>
      <c r="L46" s="47">
        <f t="shared" si="10"/>
        <v>-1750.1445314553005</v>
      </c>
      <c r="M46" s="47">
        <f t="shared" si="11"/>
        <v>-7307.7720024512055</v>
      </c>
      <c r="N46" s="47">
        <f t="shared" si="12"/>
        <v>-2655.1133356655273</v>
      </c>
      <c r="O46" s="47">
        <f t="shared" si="13"/>
        <v>-32332.610642977983</v>
      </c>
    </row>
    <row r="47" spans="2:15">
      <c r="B47" t="s">
        <v>19</v>
      </c>
      <c r="C47" s="47">
        <f t="shared" si="1"/>
        <v>0</v>
      </c>
      <c r="D47" s="47">
        <f t="shared" si="2"/>
        <v>-900.08434356785881</v>
      </c>
      <c r="E47" s="47">
        <f t="shared" si="3"/>
        <v>-7529.6633554083883</v>
      </c>
      <c r="F47" s="47">
        <f t="shared" si="4"/>
        <v>-263.63652558073284</v>
      </c>
      <c r="G47" s="47">
        <f t="shared" si="5"/>
        <v>-3384.0856512616342</v>
      </c>
      <c r="H47">
        <f t="shared" si="6"/>
        <v>-1021.5292633426582</v>
      </c>
      <c r="I47" s="47">
        <f t="shared" si="7"/>
        <v>0</v>
      </c>
      <c r="J47" s="47">
        <f t="shared" si="8"/>
        <v>0</v>
      </c>
      <c r="K47" s="47">
        <f t="shared" si="9"/>
        <v>0</v>
      </c>
      <c r="L47" s="47">
        <f t="shared" si="10"/>
        <v>0</v>
      </c>
      <c r="M47" s="47">
        <f t="shared" si="11"/>
        <v>0</v>
      </c>
      <c r="N47" s="47">
        <f t="shared" si="12"/>
        <v>0</v>
      </c>
      <c r="O47" s="47">
        <f t="shared" si="13"/>
        <v>-13098.999139161271</v>
      </c>
    </row>
    <row r="48" spans="2:15">
      <c r="B48" t="s">
        <v>24</v>
      </c>
      <c r="C48" s="47">
        <f t="shared" si="1"/>
        <v>0</v>
      </c>
      <c r="D48" s="47">
        <f t="shared" si="2"/>
        <v>-4563.3646789279555</v>
      </c>
      <c r="E48" s="47">
        <f t="shared" si="3"/>
        <v>0</v>
      </c>
      <c r="F48" s="47">
        <f t="shared" si="4"/>
        <v>0</v>
      </c>
      <c r="G48" s="47">
        <f t="shared" si="5"/>
        <v>0</v>
      </c>
      <c r="H48">
        <f t="shared" si="6"/>
        <v>0</v>
      </c>
      <c r="I48" s="47">
        <f t="shared" si="7"/>
        <v>0</v>
      </c>
      <c r="J48" s="47">
        <f t="shared" si="8"/>
        <v>0</v>
      </c>
      <c r="K48" s="47">
        <f t="shared" si="9"/>
        <v>0</v>
      </c>
      <c r="L48" s="47">
        <f t="shared" si="10"/>
        <v>0</v>
      </c>
      <c r="M48" s="47">
        <f t="shared" si="11"/>
        <v>-913.4715003064008</v>
      </c>
      <c r="N48" s="47">
        <f t="shared" si="12"/>
        <v>-66.377833391638234</v>
      </c>
      <c r="O48" s="47">
        <f t="shared" si="13"/>
        <v>-5543.2140126259947</v>
      </c>
    </row>
    <row r="49" spans="1:15">
      <c r="B49" t="s">
        <v>37</v>
      </c>
      <c r="C49" s="47">
        <f t="shared" si="1"/>
        <v>0</v>
      </c>
      <c r="D49" s="47">
        <f t="shared" si="2"/>
        <v>-2454.7754824577969</v>
      </c>
      <c r="E49" s="47">
        <f t="shared" si="3"/>
        <v>0</v>
      </c>
      <c r="F49" s="47">
        <f t="shared" si="4"/>
        <v>0</v>
      </c>
      <c r="G49" s="47">
        <f t="shared" si="5"/>
        <v>0</v>
      </c>
      <c r="H49">
        <f t="shared" si="6"/>
        <v>0</v>
      </c>
      <c r="I49" s="47">
        <f t="shared" si="7"/>
        <v>0</v>
      </c>
      <c r="J49" s="47">
        <f t="shared" si="8"/>
        <v>0</v>
      </c>
      <c r="K49" s="47">
        <f t="shared" si="9"/>
        <v>0</v>
      </c>
      <c r="L49" s="47">
        <f t="shared" si="10"/>
        <v>0</v>
      </c>
      <c r="M49" s="47">
        <f t="shared" si="11"/>
        <v>0</v>
      </c>
      <c r="N49" s="47">
        <f t="shared" si="12"/>
        <v>0</v>
      </c>
      <c r="O49" s="47">
        <f t="shared" si="13"/>
        <v>-2454.7754824577969</v>
      </c>
    </row>
    <row r="50" spans="1:15">
      <c r="B50" t="s">
        <v>39</v>
      </c>
      <c r="C50" s="47">
        <f t="shared" si="1"/>
        <v>0</v>
      </c>
      <c r="D50" s="47">
        <f t="shared" si="2"/>
        <v>0</v>
      </c>
      <c r="E50" s="47">
        <f t="shared" si="3"/>
        <v>0</v>
      </c>
      <c r="F50" s="47">
        <f t="shared" si="4"/>
        <v>0</v>
      </c>
      <c r="G50" s="47">
        <f t="shared" si="5"/>
        <v>0</v>
      </c>
      <c r="H50">
        <f t="shared" si="6"/>
        <v>-1765.6738522297185</v>
      </c>
      <c r="I50" s="47">
        <f t="shared" si="7"/>
        <v>0</v>
      </c>
      <c r="J50" s="47">
        <f t="shared" si="8"/>
        <v>0</v>
      </c>
      <c r="K50" s="47">
        <f t="shared" si="9"/>
        <v>0</v>
      </c>
      <c r="L50" s="47">
        <f t="shared" si="10"/>
        <v>0</v>
      </c>
      <c r="M50" s="47">
        <f t="shared" si="11"/>
        <v>0</v>
      </c>
      <c r="N50" s="47">
        <f t="shared" si="12"/>
        <v>0</v>
      </c>
      <c r="O50" s="47">
        <f t="shared" si="13"/>
        <v>-1765.6738522297185</v>
      </c>
    </row>
    <row r="51" spans="1:15">
      <c r="B51" t="s">
        <v>12</v>
      </c>
      <c r="C51" s="47">
        <f t="shared" si="1"/>
        <v>-8133.2853294268089</v>
      </c>
      <c r="D51" s="47">
        <f t="shared" si="2"/>
        <v>-14591.563125495673</v>
      </c>
      <c r="E51" s="47">
        <f t="shared" si="3"/>
        <v>-8354.3822433774858</v>
      </c>
      <c r="F51" s="47">
        <f t="shared" si="4"/>
        <v>-8320.502885848653</v>
      </c>
      <c r="G51" s="47">
        <f t="shared" si="5"/>
        <v>-6819.6051003389457</v>
      </c>
      <c r="H51">
        <f t="shared" si="6"/>
        <v>-8803.8505841698225</v>
      </c>
      <c r="I51" s="47">
        <f t="shared" si="7"/>
        <v>-3432.246113132649</v>
      </c>
      <c r="J51" s="47">
        <f t="shared" si="8"/>
        <v>-1222.8851423403489</v>
      </c>
      <c r="K51" s="47">
        <f t="shared" si="9"/>
        <v>-29218.776881720431</v>
      </c>
      <c r="L51" s="47">
        <f t="shared" si="10"/>
        <v>-1953.5397067325371</v>
      </c>
      <c r="M51" s="47">
        <f t="shared" si="11"/>
        <v>-4575.0109113994358</v>
      </c>
      <c r="N51" s="47">
        <f t="shared" si="12"/>
        <v>-8908.3716799870836</v>
      </c>
      <c r="O51" s="47">
        <f t="shared" si="13"/>
        <v>-104334.01970396988</v>
      </c>
    </row>
    <row r="52" spans="1:15">
      <c r="B52" t="s">
        <v>30</v>
      </c>
      <c r="C52" s="47">
        <f t="shared" si="1"/>
        <v>0</v>
      </c>
      <c r="D52" s="47">
        <f t="shared" si="2"/>
        <v>0</v>
      </c>
      <c r="E52" s="47">
        <f t="shared" si="3"/>
        <v>0</v>
      </c>
      <c r="F52" s="47">
        <f t="shared" si="4"/>
        <v>0</v>
      </c>
      <c r="G52" s="47">
        <f t="shared" si="5"/>
        <v>-1327.096895679776</v>
      </c>
      <c r="H52">
        <f t="shared" si="6"/>
        <v>0</v>
      </c>
      <c r="I52" s="47">
        <f t="shared" si="7"/>
        <v>4.4106296173738692E-3</v>
      </c>
      <c r="J52" s="47">
        <f t="shared" si="8"/>
        <v>-2663.6790266772855</v>
      </c>
      <c r="K52" s="47">
        <f t="shared" si="9"/>
        <v>0</v>
      </c>
      <c r="L52" s="47">
        <f t="shared" si="10"/>
        <v>0</v>
      </c>
      <c r="M52" s="47">
        <f t="shared" si="11"/>
        <v>0</v>
      </c>
      <c r="N52" s="47">
        <f t="shared" si="12"/>
        <v>0</v>
      </c>
      <c r="O52" s="47">
        <f t="shared" si="13"/>
        <v>-3990.7715117274442</v>
      </c>
    </row>
    <row r="53" spans="1:15">
      <c r="B53" t="s">
        <v>17</v>
      </c>
      <c r="C53" s="47">
        <f t="shared" si="1"/>
        <v>-1775.3168878570807</v>
      </c>
      <c r="D53" s="47">
        <f t="shared" si="2"/>
        <v>-12576.003625514559</v>
      </c>
      <c r="E53" s="47">
        <f t="shared" si="3"/>
        <v>-19378.0353200883</v>
      </c>
      <c r="F53" s="47">
        <f t="shared" si="4"/>
        <v>-2810.4603106740765</v>
      </c>
      <c r="G53" s="47">
        <f t="shared" si="5"/>
        <v>-12254.371334803896</v>
      </c>
      <c r="H53">
        <f t="shared" si="6"/>
        <v>-2841.3142449673633</v>
      </c>
      <c r="I53" s="47">
        <f t="shared" si="7"/>
        <v>-3133.3112801852462</v>
      </c>
      <c r="J53" s="47">
        <f t="shared" si="8"/>
        <v>-7451.6420771297053</v>
      </c>
      <c r="K53" s="47">
        <f t="shared" si="9"/>
        <v>-8752.6881720430101</v>
      </c>
      <c r="L53" s="47">
        <f t="shared" si="10"/>
        <v>0</v>
      </c>
      <c r="M53" s="47">
        <f t="shared" si="11"/>
        <v>-7829.7557169120073</v>
      </c>
      <c r="N53" s="47">
        <f t="shared" si="12"/>
        <v>-13806.589345460743</v>
      </c>
      <c r="O53" s="47">
        <f t="shared" si="13"/>
        <v>-92609.488315635987</v>
      </c>
    </row>
    <row r="54" spans="1:15">
      <c r="B54" t="s">
        <v>14</v>
      </c>
      <c r="C54" s="47">
        <f t="shared" si="1"/>
        <v>-603.35944580317596</v>
      </c>
      <c r="D54" s="47">
        <f t="shared" si="2"/>
        <v>-1725.4553923234762</v>
      </c>
      <c r="E54" s="47">
        <f t="shared" si="3"/>
        <v>-7813.0691225165565</v>
      </c>
      <c r="F54" s="47">
        <f t="shared" si="4"/>
        <v>0</v>
      </c>
      <c r="G54" s="47">
        <f t="shared" si="5"/>
        <v>0</v>
      </c>
      <c r="H54">
        <f t="shared" si="6"/>
        <v>-12297.515221326312</v>
      </c>
      <c r="I54" s="47">
        <f t="shared" si="7"/>
        <v>-13342.189877605028</v>
      </c>
      <c r="J54" s="47">
        <f t="shared" si="8"/>
        <v>-7937.0435862478598</v>
      </c>
      <c r="K54" s="47">
        <f t="shared" si="9"/>
        <v>-2410.6854838709669</v>
      </c>
      <c r="L54" s="47">
        <f t="shared" si="10"/>
        <v>-2483.3131865244127</v>
      </c>
      <c r="M54" s="47">
        <f t="shared" si="11"/>
        <v>-2694.1237154307028</v>
      </c>
      <c r="N54" s="47">
        <f t="shared" si="12"/>
        <v>-4187.4545894889798</v>
      </c>
      <c r="O54" s="47">
        <f t="shared" si="13"/>
        <v>-55494.209621137481</v>
      </c>
    </row>
    <row r="55" spans="1:15">
      <c r="B55" t="s">
        <v>47</v>
      </c>
      <c r="C55" s="47">
        <f t="shared" si="1"/>
        <v>0</v>
      </c>
      <c r="D55" s="47">
        <f t="shared" si="2"/>
        <v>0</v>
      </c>
      <c r="E55" s="47">
        <f t="shared" si="3"/>
        <v>2774.4722682119204</v>
      </c>
      <c r="F55" s="47">
        <f t="shared" si="4"/>
        <v>0</v>
      </c>
      <c r="G55" s="47">
        <f t="shared" si="5"/>
        <v>0</v>
      </c>
      <c r="H55">
        <f t="shared" si="6"/>
        <v>0</v>
      </c>
      <c r="I55" s="47">
        <f t="shared" si="7"/>
        <v>-9657.4925570625201</v>
      </c>
      <c r="J55" s="47">
        <f t="shared" si="8"/>
        <v>-2895.4011041669478</v>
      </c>
      <c r="K55" s="47">
        <f t="shared" si="9"/>
        <v>0</v>
      </c>
      <c r="L55" s="47">
        <f t="shared" si="10"/>
        <v>0</v>
      </c>
      <c r="M55" s="47">
        <f t="shared" si="11"/>
        <v>0</v>
      </c>
      <c r="N55" s="47">
        <f t="shared" si="12"/>
        <v>0</v>
      </c>
      <c r="O55" s="47">
        <f t="shared" si="13"/>
        <v>-9778.4213930175465</v>
      </c>
    </row>
    <row r="56" spans="1:15">
      <c r="A56" s="43"/>
      <c r="B56" t="s">
        <v>13</v>
      </c>
      <c r="C56" s="47">
        <f t="shared" si="1"/>
        <v>0</v>
      </c>
      <c r="D56" s="47">
        <f t="shared" si="2"/>
        <v>-356.05574228634032</v>
      </c>
      <c r="E56">
        <f t="shared" si="3"/>
        <v>0</v>
      </c>
      <c r="F56" s="47">
        <f t="shared" si="4"/>
        <v>-893.78473706712202</v>
      </c>
      <c r="G56" s="47">
        <f t="shared" si="5"/>
        <v>0</v>
      </c>
      <c r="H56">
        <f t="shared" si="6"/>
        <v>-5695.9711480445385</v>
      </c>
      <c r="I56" s="47">
        <f t="shared" si="7"/>
        <v>0</v>
      </c>
      <c r="J56" s="47">
        <f t="shared" si="8"/>
        <v>-2775.0091114020761</v>
      </c>
      <c r="K56" s="47">
        <f t="shared" si="9"/>
        <v>0</v>
      </c>
      <c r="L56" s="47">
        <f t="shared" si="10"/>
        <v>0</v>
      </c>
      <c r="M56" s="47">
        <f t="shared" si="11"/>
        <v>0</v>
      </c>
      <c r="N56" s="47">
        <f t="shared" si="12"/>
        <v>0</v>
      </c>
      <c r="O56" s="47">
        <f t="shared" si="13"/>
        <v>-9720.8207388000774</v>
      </c>
    </row>
    <row r="57" spans="1:15">
      <c r="F57" s="47"/>
      <c r="J57" s="47"/>
      <c r="M57" s="47"/>
    </row>
    <row r="58" spans="1:15">
      <c r="O58" s="95">
        <f>SUM(O35:O57)</f>
        <v>-415245.7993653327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FE7E0-6663-4AAD-B9EC-5693BAB537D0}">
  <dimension ref="A3:N55"/>
  <sheetViews>
    <sheetView topLeftCell="A10" workbookViewId="0">
      <selection activeCell="N55" sqref="N55"/>
    </sheetView>
  </sheetViews>
  <sheetFormatPr defaultRowHeight="14.45"/>
  <cols>
    <col min="1" max="1" width="20.42578125" bestFit="1" customWidth="1"/>
    <col min="2" max="2" width="12.28515625" bestFit="1" customWidth="1"/>
    <col min="3" max="4" width="12.7109375" bestFit="1" customWidth="1"/>
    <col min="5" max="5" width="12.5703125" bestFit="1" customWidth="1"/>
    <col min="6" max="6" width="13.140625" bestFit="1" customWidth="1"/>
    <col min="7" max="7" width="12.28515625" bestFit="1" customWidth="1"/>
    <col min="8" max="8" width="11.85546875" bestFit="1" customWidth="1"/>
    <col min="9" max="9" width="12.7109375" bestFit="1" customWidth="1"/>
    <col min="10" max="10" width="12.85546875" bestFit="1" customWidth="1"/>
    <col min="11" max="11" width="12.7109375" bestFit="1" customWidth="1"/>
    <col min="12" max="13" width="12.85546875" bestFit="1" customWidth="1"/>
    <col min="14" max="14" width="22.28515625" bestFit="1" customWidth="1"/>
  </cols>
  <sheetData>
    <row r="3" spans="1:14">
      <c r="A3" s="5" t="s">
        <v>62</v>
      </c>
      <c r="B3" t="s">
        <v>63</v>
      </c>
      <c r="C3" t="s">
        <v>64</v>
      </c>
      <c r="D3" t="s">
        <v>65</v>
      </c>
      <c r="E3" t="s">
        <v>66</v>
      </c>
      <c r="F3" t="s">
        <v>67</v>
      </c>
      <c r="G3" t="s">
        <v>68</v>
      </c>
      <c r="H3" t="s">
        <v>69</v>
      </c>
      <c r="I3" t="s">
        <v>70</v>
      </c>
      <c r="J3" t="s">
        <v>71</v>
      </c>
      <c r="K3" t="s">
        <v>72</v>
      </c>
      <c r="L3" t="s">
        <v>73</v>
      </c>
      <c r="M3" t="s">
        <v>74</v>
      </c>
      <c r="N3" t="s">
        <v>75</v>
      </c>
    </row>
    <row r="4" spans="1:14">
      <c r="A4" s="1" t="s">
        <v>27</v>
      </c>
      <c r="B4">
        <v>448.37</v>
      </c>
      <c r="N4">
        <v>448.37</v>
      </c>
    </row>
    <row r="5" spans="1:14">
      <c r="A5" s="1" t="s">
        <v>22</v>
      </c>
      <c r="F5">
        <v>2206.62</v>
      </c>
      <c r="K5">
        <v>3406.29</v>
      </c>
      <c r="L5">
        <v>6474.47</v>
      </c>
      <c r="M5">
        <v>1929.21</v>
      </c>
      <c r="N5">
        <v>14016.59</v>
      </c>
    </row>
    <row r="6" spans="1:14">
      <c r="A6" s="1" t="s">
        <v>29</v>
      </c>
      <c r="N6">
        <v>0</v>
      </c>
    </row>
    <row r="7" spans="1:14">
      <c r="A7" s="1" t="s">
        <v>57</v>
      </c>
      <c r="L7">
        <v>8404.0300000000007</v>
      </c>
      <c r="N7">
        <v>8404.0300000000007</v>
      </c>
    </row>
    <row r="8" spans="1:14">
      <c r="A8" s="1" t="s">
        <v>18</v>
      </c>
      <c r="G8">
        <v>6109.5</v>
      </c>
      <c r="N8">
        <v>6109.5</v>
      </c>
    </row>
    <row r="9" spans="1:14">
      <c r="A9" s="1" t="s">
        <v>40</v>
      </c>
      <c r="F9">
        <v>4604.18</v>
      </c>
      <c r="N9">
        <v>4604.18</v>
      </c>
    </row>
    <row r="10" spans="1:14">
      <c r="A10" s="1" t="s">
        <v>28</v>
      </c>
      <c r="I10">
        <v>553.82000000000005</v>
      </c>
      <c r="N10">
        <v>553.82000000000005</v>
      </c>
    </row>
    <row r="11" spans="1:14">
      <c r="A11" s="1" t="s">
        <v>26</v>
      </c>
      <c r="L11">
        <v>3796.28</v>
      </c>
      <c r="N11">
        <v>3796.28</v>
      </c>
    </row>
    <row r="12" spans="1:14">
      <c r="A12" s="1" t="s">
        <v>42</v>
      </c>
      <c r="E12">
        <v>786.47</v>
      </c>
      <c r="N12">
        <v>786.47</v>
      </c>
    </row>
    <row r="13" spans="1:14">
      <c r="A13" s="1" t="s">
        <v>21</v>
      </c>
      <c r="G13">
        <v>4258.7700000000004</v>
      </c>
      <c r="N13">
        <v>4258.7700000000004</v>
      </c>
    </row>
    <row r="14" spans="1:14">
      <c r="A14" s="1" t="s">
        <v>19</v>
      </c>
      <c r="B14">
        <v>1890.35</v>
      </c>
      <c r="J14">
        <v>5620.42</v>
      </c>
      <c r="N14">
        <v>7510.77</v>
      </c>
    </row>
    <row r="15" spans="1:14">
      <c r="A15" s="1" t="s">
        <v>37</v>
      </c>
      <c r="J15">
        <v>545.41</v>
      </c>
      <c r="N15">
        <v>545.41</v>
      </c>
    </row>
    <row r="16" spans="1:14">
      <c r="A16" s="1" t="s">
        <v>48</v>
      </c>
      <c r="B16">
        <v>2489.66</v>
      </c>
      <c r="N16">
        <v>2489.66</v>
      </c>
    </row>
    <row r="17" spans="1:14">
      <c r="A17" s="1" t="s">
        <v>39</v>
      </c>
      <c r="E17">
        <v>399.37</v>
      </c>
      <c r="N17">
        <v>399.37</v>
      </c>
    </row>
    <row r="18" spans="1:14">
      <c r="A18" s="1" t="s">
        <v>12</v>
      </c>
      <c r="K18">
        <v>847.45</v>
      </c>
      <c r="L18">
        <v>37255.599999999999</v>
      </c>
      <c r="N18">
        <v>38103.049999999996</v>
      </c>
    </row>
    <row r="19" spans="1:14">
      <c r="A19" s="1" t="s">
        <v>30</v>
      </c>
      <c r="M19">
        <v>513.30999999999995</v>
      </c>
      <c r="N19">
        <v>513.30999999999995</v>
      </c>
    </row>
    <row r="20" spans="1:14">
      <c r="A20" s="1" t="s">
        <v>17</v>
      </c>
      <c r="B20">
        <v>5075</v>
      </c>
      <c r="D20">
        <v>575.39</v>
      </c>
      <c r="H20">
        <v>5298.3</v>
      </c>
      <c r="N20">
        <v>10948.69</v>
      </c>
    </row>
    <row r="21" spans="1:14">
      <c r="A21" s="1" t="s">
        <v>14</v>
      </c>
      <c r="B21">
        <v>0</v>
      </c>
      <c r="G21">
        <v>3806.31</v>
      </c>
      <c r="N21">
        <v>3806.31</v>
      </c>
    </row>
    <row r="22" spans="1:14">
      <c r="A22" s="1" t="s">
        <v>13</v>
      </c>
      <c r="D22">
        <v>2531.9</v>
      </c>
      <c r="J22">
        <v>6597.09</v>
      </c>
      <c r="L22">
        <v>10885.81</v>
      </c>
      <c r="N22">
        <v>20014.800000000003</v>
      </c>
    </row>
    <row r="23" spans="1:14">
      <c r="A23" s="1" t="s">
        <v>76</v>
      </c>
      <c r="B23">
        <v>9903.3799999999992</v>
      </c>
      <c r="D23">
        <v>3107.29</v>
      </c>
      <c r="E23">
        <v>1185.8400000000001</v>
      </c>
      <c r="F23" s="47">
        <v>6810.8</v>
      </c>
      <c r="G23">
        <v>14174.58</v>
      </c>
      <c r="H23">
        <v>5298.3</v>
      </c>
      <c r="I23">
        <v>553.82000000000005</v>
      </c>
      <c r="J23">
        <v>12762.92</v>
      </c>
      <c r="K23">
        <v>4253.74</v>
      </c>
      <c r="L23">
        <v>66816.19</v>
      </c>
      <c r="M23">
        <v>2442.52</v>
      </c>
      <c r="N23">
        <v>127309.38</v>
      </c>
    </row>
    <row r="25" spans="1:14">
      <c r="B25" s="48">
        <v>9904</v>
      </c>
      <c r="C25">
        <v>0</v>
      </c>
      <c r="D25" s="48">
        <v>3107</v>
      </c>
      <c r="E25">
        <v>1186</v>
      </c>
      <c r="F25" s="48">
        <v>6811</v>
      </c>
      <c r="G25">
        <v>14175</v>
      </c>
      <c r="H25" s="48">
        <v>5298</v>
      </c>
      <c r="I25">
        <v>554</v>
      </c>
      <c r="J25" s="48">
        <v>12763</v>
      </c>
      <c r="K25">
        <v>4253</v>
      </c>
      <c r="L25" s="48">
        <v>66817</v>
      </c>
      <c r="M25">
        <v>2442</v>
      </c>
    </row>
    <row r="27" spans="1:14">
      <c r="B27" s="52">
        <f>GETPIVOTDATA("Sum of Jan-25",$A$3)-B25</f>
        <v>-0.62000000000080036</v>
      </c>
      <c r="C27" s="52">
        <f>C25</f>
        <v>0</v>
      </c>
      <c r="D27" s="52">
        <f>D25-GETPIVOTDATA("Sum of Mar-25",$A$3)</f>
        <v>-0.28999999999996362</v>
      </c>
      <c r="E27" s="52">
        <f>E25-GETPIVOTDATA("Sum of Apr-25",$A$3)</f>
        <v>0.15999999999985448</v>
      </c>
      <c r="F27" s="70">
        <f>F25-GETPIVOTDATA("Sum of May-25",$A$3)</f>
        <v>0.1999999999998181</v>
      </c>
      <c r="G27" s="52">
        <f>G25-GETPIVOTDATA("Sum of Jun-25",$A$3)</f>
        <v>0.42000000000007276</v>
      </c>
      <c r="H27" s="52">
        <f>H25-H23</f>
        <v>-0.3000000000001819</v>
      </c>
      <c r="I27" s="52">
        <f t="shared" ref="I27:M27" si="0">I25-I23</f>
        <v>0.17999999999994998</v>
      </c>
      <c r="J27" s="52">
        <f t="shared" si="0"/>
        <v>7.999999999992724E-2</v>
      </c>
      <c r="K27" s="52">
        <f t="shared" si="0"/>
        <v>-0.73999999999978172</v>
      </c>
      <c r="L27" s="52">
        <f t="shared" si="0"/>
        <v>0.80999999999767169</v>
      </c>
      <c r="M27" s="52">
        <f t="shared" si="0"/>
        <v>-0.51999999999998181</v>
      </c>
    </row>
    <row r="28" spans="1:14">
      <c r="K28" s="2"/>
    </row>
    <row r="33" spans="1:14">
      <c r="A33" t="s">
        <v>77</v>
      </c>
      <c r="B33">
        <v>0.80549000000000004</v>
      </c>
      <c r="C33">
        <v>0.79437000000000002</v>
      </c>
      <c r="D33">
        <v>0.77312000000000003</v>
      </c>
      <c r="E33">
        <v>0.74848000000000003</v>
      </c>
      <c r="F33">
        <v>0.74348000000000003</v>
      </c>
      <c r="G33">
        <v>0.72924</v>
      </c>
      <c r="H33">
        <v>0.75575000000000003</v>
      </c>
      <c r="I33">
        <v>0.74082999999999999</v>
      </c>
      <c r="J33">
        <v>0.74399999999999999</v>
      </c>
      <c r="K33">
        <v>0.76107999999999998</v>
      </c>
      <c r="L33">
        <v>0.75609000000000004</v>
      </c>
      <c r="M33">
        <v>0.74321999999999999</v>
      </c>
    </row>
    <row r="35" spans="1:14">
      <c r="A35" s="1" t="s">
        <v>27</v>
      </c>
      <c r="B35" s="47">
        <f>B4/$B$33</f>
        <v>556.64254056537015</v>
      </c>
      <c r="C35" s="47">
        <f>C4/$C$33</f>
        <v>0</v>
      </c>
      <c r="D35" s="47">
        <f>D4/$D$33</f>
        <v>0</v>
      </c>
      <c r="E35" s="47">
        <f>E4/$E$33</f>
        <v>0</v>
      </c>
      <c r="F35" s="47">
        <f>F4/$F$33</f>
        <v>0</v>
      </c>
      <c r="G35" s="47">
        <f>G4/$G$33</f>
        <v>0</v>
      </c>
      <c r="H35" s="47">
        <f>H4/$H$33</f>
        <v>0</v>
      </c>
      <c r="I35" s="47">
        <f>I4/$I$33</f>
        <v>0</v>
      </c>
      <c r="J35" s="47">
        <f>J4/$J$33</f>
        <v>0</v>
      </c>
      <c r="K35" s="47">
        <f>K4/$K$33</f>
        <v>0</v>
      </c>
      <c r="L35" s="47">
        <f>L4/$L$33</f>
        <v>0</v>
      </c>
      <c r="M35" s="47">
        <f>M4/$M$33</f>
        <v>0</v>
      </c>
      <c r="N35" s="47">
        <f>SUM(B35:M35)</f>
        <v>556.64254056537015</v>
      </c>
    </row>
    <row r="36" spans="1:14">
      <c r="A36" s="1" t="s">
        <v>22</v>
      </c>
      <c r="B36" s="47">
        <f t="shared" ref="B36:B53" si="1">B5/$B$33</f>
        <v>0</v>
      </c>
      <c r="C36" s="47">
        <f t="shared" ref="C36:C53" si="2">C5/$C$33</f>
        <v>0</v>
      </c>
      <c r="D36" s="47">
        <f t="shared" ref="D36:D53" si="3">D5/$D$33</f>
        <v>0</v>
      </c>
      <c r="E36" s="47">
        <f t="shared" ref="E36:E53" si="4">E5/$E$33</f>
        <v>0</v>
      </c>
      <c r="F36" s="47">
        <f t="shared" ref="F36:F53" si="5">F5/$F$33</f>
        <v>2967.9614784526816</v>
      </c>
      <c r="G36" s="47">
        <f t="shared" ref="G36:G53" si="6">G5/$G$33</f>
        <v>0</v>
      </c>
      <c r="H36" s="47">
        <f t="shared" ref="H36:H53" si="7">H5/$H$33</f>
        <v>0</v>
      </c>
      <c r="I36" s="47">
        <f t="shared" ref="I36:I53" si="8">I5/$I$33</f>
        <v>0</v>
      </c>
      <c r="J36" s="47">
        <f t="shared" ref="J36:J53" si="9">J5/$J$33</f>
        <v>0</v>
      </c>
      <c r="K36" s="47">
        <f t="shared" ref="K36:K53" si="10">K5/$K$33</f>
        <v>4475.6004625006572</v>
      </c>
      <c r="L36" s="47">
        <f t="shared" ref="L36:L53" si="11">L5/$L$33</f>
        <v>8563.0943406208262</v>
      </c>
      <c r="M36" s="47">
        <f t="shared" ref="M36:M53" si="12">M5/$M$33</f>
        <v>2595.7455396786954</v>
      </c>
      <c r="N36" s="47">
        <f t="shared" ref="N36:N53" si="13">SUM(B36:M36)</f>
        <v>18602.401821252861</v>
      </c>
    </row>
    <row r="37" spans="1:14">
      <c r="A37" s="1" t="s">
        <v>29</v>
      </c>
      <c r="B37" s="47">
        <f t="shared" si="1"/>
        <v>0</v>
      </c>
      <c r="C37" s="47">
        <f t="shared" si="2"/>
        <v>0</v>
      </c>
      <c r="D37" s="47">
        <f t="shared" si="3"/>
        <v>0</v>
      </c>
      <c r="E37" s="47">
        <f t="shared" si="4"/>
        <v>0</v>
      </c>
      <c r="F37" s="47">
        <f t="shared" si="5"/>
        <v>0</v>
      </c>
      <c r="G37" s="47">
        <f t="shared" si="6"/>
        <v>0</v>
      </c>
      <c r="H37" s="47">
        <f t="shared" si="7"/>
        <v>0</v>
      </c>
      <c r="I37" s="47">
        <f t="shared" si="8"/>
        <v>0</v>
      </c>
      <c r="J37" s="47">
        <f t="shared" si="9"/>
        <v>0</v>
      </c>
      <c r="K37" s="47">
        <f t="shared" si="10"/>
        <v>0</v>
      </c>
      <c r="L37" s="47">
        <f t="shared" si="11"/>
        <v>0</v>
      </c>
      <c r="M37" s="47">
        <f t="shared" si="12"/>
        <v>0</v>
      </c>
      <c r="N37" s="47">
        <f t="shared" si="13"/>
        <v>0</v>
      </c>
    </row>
    <row r="38" spans="1:14">
      <c r="A38" s="1" t="s">
        <v>57</v>
      </c>
      <c r="B38" s="47">
        <f t="shared" si="1"/>
        <v>0</v>
      </c>
      <c r="C38" s="47">
        <f t="shared" si="2"/>
        <v>0</v>
      </c>
      <c r="D38" s="47">
        <f t="shared" si="3"/>
        <v>0</v>
      </c>
      <c r="E38" s="47">
        <f t="shared" si="4"/>
        <v>0</v>
      </c>
      <c r="F38" s="47">
        <f t="shared" si="5"/>
        <v>0</v>
      </c>
      <c r="G38" s="47">
        <f t="shared" si="6"/>
        <v>0</v>
      </c>
      <c r="H38" s="47">
        <f t="shared" si="7"/>
        <v>0</v>
      </c>
      <c r="I38" s="47">
        <f t="shared" si="8"/>
        <v>0</v>
      </c>
      <c r="J38" s="47">
        <f t="shared" si="9"/>
        <v>0</v>
      </c>
      <c r="K38" s="47">
        <f t="shared" si="10"/>
        <v>0</v>
      </c>
      <c r="L38" s="47">
        <f t="shared" si="11"/>
        <v>11115.118570540544</v>
      </c>
      <c r="M38" s="47">
        <f t="shared" si="12"/>
        <v>0</v>
      </c>
      <c r="N38" s="47">
        <f t="shared" si="13"/>
        <v>11115.118570540544</v>
      </c>
    </row>
    <row r="39" spans="1:14">
      <c r="A39" s="1" t="s">
        <v>18</v>
      </c>
      <c r="B39" s="47">
        <f t="shared" si="1"/>
        <v>0</v>
      </c>
      <c r="C39" s="47">
        <f t="shared" si="2"/>
        <v>0</v>
      </c>
      <c r="D39" s="47">
        <f t="shared" si="3"/>
        <v>0</v>
      </c>
      <c r="E39" s="47">
        <f t="shared" si="4"/>
        <v>0</v>
      </c>
      <c r="F39" s="47">
        <f t="shared" si="5"/>
        <v>0</v>
      </c>
      <c r="G39" s="47">
        <f t="shared" si="6"/>
        <v>8377.900279743295</v>
      </c>
      <c r="H39" s="47">
        <f t="shared" si="7"/>
        <v>0</v>
      </c>
      <c r="I39" s="47">
        <f t="shared" si="8"/>
        <v>0</v>
      </c>
      <c r="J39" s="47">
        <f t="shared" si="9"/>
        <v>0</v>
      </c>
      <c r="K39" s="47">
        <f t="shared" si="10"/>
        <v>0</v>
      </c>
      <c r="L39" s="47">
        <f t="shared" si="11"/>
        <v>0</v>
      </c>
      <c r="M39" s="47">
        <f t="shared" si="12"/>
        <v>0</v>
      </c>
      <c r="N39" s="47">
        <f t="shared" si="13"/>
        <v>8377.900279743295</v>
      </c>
    </row>
    <row r="40" spans="1:14">
      <c r="A40" s="1" t="s">
        <v>40</v>
      </c>
      <c r="B40" s="47">
        <f t="shared" si="1"/>
        <v>0</v>
      </c>
      <c r="C40" s="47">
        <f t="shared" si="2"/>
        <v>0</v>
      </c>
      <c r="D40" s="47">
        <f t="shared" si="3"/>
        <v>0</v>
      </c>
      <c r="E40" s="47">
        <f t="shared" si="4"/>
        <v>0</v>
      </c>
      <c r="F40" s="47">
        <f t="shared" si="5"/>
        <v>6192.7422391994405</v>
      </c>
      <c r="G40" s="47">
        <f t="shared" si="6"/>
        <v>0</v>
      </c>
      <c r="H40" s="47">
        <f t="shared" si="7"/>
        <v>0</v>
      </c>
      <c r="I40" s="47">
        <f t="shared" si="8"/>
        <v>0</v>
      </c>
      <c r="J40" s="47">
        <f t="shared" si="9"/>
        <v>0</v>
      </c>
      <c r="K40" s="47">
        <f t="shared" si="10"/>
        <v>0</v>
      </c>
      <c r="L40" s="47">
        <f t="shared" si="11"/>
        <v>0</v>
      </c>
      <c r="M40" s="47">
        <f t="shared" si="12"/>
        <v>0</v>
      </c>
      <c r="N40" s="47">
        <f t="shared" si="13"/>
        <v>6192.7422391994405</v>
      </c>
    </row>
    <row r="41" spans="1:14">
      <c r="A41" s="1" t="s">
        <v>28</v>
      </c>
      <c r="B41" s="47">
        <f t="shared" si="1"/>
        <v>0</v>
      </c>
      <c r="C41" s="47">
        <f t="shared" si="2"/>
        <v>0</v>
      </c>
      <c r="D41" s="47">
        <f t="shared" si="3"/>
        <v>0</v>
      </c>
      <c r="E41" s="47">
        <f t="shared" si="4"/>
        <v>0</v>
      </c>
      <c r="F41" s="47">
        <f t="shared" si="5"/>
        <v>0</v>
      </c>
      <c r="G41" s="47">
        <f t="shared" si="6"/>
        <v>0</v>
      </c>
      <c r="H41" s="47">
        <f t="shared" si="7"/>
        <v>0</v>
      </c>
      <c r="I41" s="47">
        <f t="shared" si="8"/>
        <v>747.56691818635863</v>
      </c>
      <c r="J41" s="47">
        <f t="shared" si="9"/>
        <v>0</v>
      </c>
      <c r="K41" s="47">
        <f t="shared" si="10"/>
        <v>0</v>
      </c>
      <c r="L41" s="47">
        <f t="shared" si="11"/>
        <v>0</v>
      </c>
      <c r="M41" s="47">
        <f t="shared" si="12"/>
        <v>0</v>
      </c>
      <c r="N41" s="47">
        <f t="shared" si="13"/>
        <v>747.56691818635863</v>
      </c>
    </row>
    <row r="42" spans="1:14">
      <c r="A42" s="1" t="s">
        <v>26</v>
      </c>
      <c r="B42" s="47">
        <f t="shared" si="1"/>
        <v>0</v>
      </c>
      <c r="C42" s="47">
        <f t="shared" si="2"/>
        <v>0</v>
      </c>
      <c r="D42" s="47">
        <f t="shared" si="3"/>
        <v>0</v>
      </c>
      <c r="E42" s="47">
        <f t="shared" si="4"/>
        <v>0</v>
      </c>
      <c r="F42" s="47">
        <f t="shared" si="5"/>
        <v>0</v>
      </c>
      <c r="G42" s="47">
        <f t="shared" si="6"/>
        <v>0</v>
      </c>
      <c r="H42" s="47">
        <f t="shared" si="7"/>
        <v>0</v>
      </c>
      <c r="I42" s="47">
        <f t="shared" si="8"/>
        <v>0</v>
      </c>
      <c r="J42" s="47">
        <f t="shared" si="9"/>
        <v>0</v>
      </c>
      <c r="K42" s="47">
        <f t="shared" si="10"/>
        <v>0</v>
      </c>
      <c r="L42" s="47">
        <f t="shared" si="11"/>
        <v>5020.9366609795134</v>
      </c>
      <c r="M42" s="47">
        <f t="shared" si="12"/>
        <v>0</v>
      </c>
      <c r="N42" s="47">
        <f t="shared" si="13"/>
        <v>5020.9366609795134</v>
      </c>
    </row>
    <row r="43" spans="1:14">
      <c r="A43" s="1" t="s">
        <v>42</v>
      </c>
      <c r="B43" s="47">
        <f t="shared" si="1"/>
        <v>0</v>
      </c>
      <c r="C43" s="47">
        <f t="shared" si="2"/>
        <v>0</v>
      </c>
      <c r="D43" s="47">
        <f t="shared" si="3"/>
        <v>0</v>
      </c>
      <c r="E43" s="47">
        <f t="shared" si="4"/>
        <v>1050.7561992304404</v>
      </c>
      <c r="F43" s="47">
        <f t="shared" si="5"/>
        <v>0</v>
      </c>
      <c r="G43" s="47">
        <f t="shared" si="6"/>
        <v>0</v>
      </c>
      <c r="H43" s="47">
        <f t="shared" si="7"/>
        <v>0</v>
      </c>
      <c r="I43" s="47">
        <f t="shared" si="8"/>
        <v>0</v>
      </c>
      <c r="J43" s="47">
        <f t="shared" si="9"/>
        <v>0</v>
      </c>
      <c r="K43" s="47">
        <f t="shared" si="10"/>
        <v>0</v>
      </c>
      <c r="L43" s="47">
        <f t="shared" si="11"/>
        <v>0</v>
      </c>
      <c r="M43" s="47">
        <f t="shared" si="12"/>
        <v>0</v>
      </c>
      <c r="N43" s="47">
        <f t="shared" si="13"/>
        <v>1050.7561992304404</v>
      </c>
    </row>
    <row r="44" spans="1:14">
      <c r="A44" s="1" t="s">
        <v>21</v>
      </c>
      <c r="B44" s="47">
        <f t="shared" si="1"/>
        <v>0</v>
      </c>
      <c r="C44" s="47">
        <f t="shared" si="2"/>
        <v>0</v>
      </c>
      <c r="D44" s="47">
        <f t="shared" si="3"/>
        <v>0</v>
      </c>
      <c r="E44" s="47">
        <f t="shared" si="4"/>
        <v>0</v>
      </c>
      <c r="F44" s="47">
        <f t="shared" si="5"/>
        <v>0</v>
      </c>
      <c r="G44" s="47">
        <f t="shared" si="6"/>
        <v>5840.0115188415339</v>
      </c>
      <c r="H44" s="47">
        <f t="shared" si="7"/>
        <v>0</v>
      </c>
      <c r="I44" s="47">
        <f t="shared" si="8"/>
        <v>0</v>
      </c>
      <c r="J44" s="47">
        <f t="shared" si="9"/>
        <v>0</v>
      </c>
      <c r="K44" s="47">
        <f t="shared" si="10"/>
        <v>0</v>
      </c>
      <c r="L44" s="47">
        <f t="shared" si="11"/>
        <v>0</v>
      </c>
      <c r="M44" s="47">
        <f t="shared" si="12"/>
        <v>0</v>
      </c>
      <c r="N44" s="47">
        <f t="shared" si="13"/>
        <v>5840.0115188415339</v>
      </c>
    </row>
    <row r="45" spans="1:14">
      <c r="A45" s="1" t="s">
        <v>19</v>
      </c>
      <c r="B45" s="47">
        <f t="shared" si="1"/>
        <v>2346.832362909533</v>
      </c>
      <c r="C45" s="47">
        <f t="shared" si="2"/>
        <v>0</v>
      </c>
      <c r="D45" s="47">
        <f t="shared" si="3"/>
        <v>0</v>
      </c>
      <c r="E45" s="47">
        <f t="shared" si="4"/>
        <v>0</v>
      </c>
      <c r="F45" s="47">
        <f t="shared" si="5"/>
        <v>0</v>
      </c>
      <c r="G45" s="47">
        <f t="shared" si="6"/>
        <v>0</v>
      </c>
      <c r="H45" s="47">
        <f t="shared" si="7"/>
        <v>0</v>
      </c>
      <c r="I45" s="47">
        <f t="shared" si="8"/>
        <v>0</v>
      </c>
      <c r="J45" s="47">
        <f t="shared" si="9"/>
        <v>7554.3279569892475</v>
      </c>
      <c r="K45" s="47">
        <f t="shared" si="10"/>
        <v>0</v>
      </c>
      <c r="L45" s="47">
        <f t="shared" si="11"/>
        <v>0</v>
      </c>
      <c r="M45" s="47">
        <f t="shared" si="12"/>
        <v>0</v>
      </c>
      <c r="N45" s="47">
        <f t="shared" si="13"/>
        <v>9901.1603198987796</v>
      </c>
    </row>
    <row r="46" spans="1:14">
      <c r="A46" s="1" t="s">
        <v>37</v>
      </c>
      <c r="B46" s="47">
        <f t="shared" si="1"/>
        <v>0</v>
      </c>
      <c r="C46" s="47">
        <f t="shared" si="2"/>
        <v>0</v>
      </c>
      <c r="D46" s="47">
        <f t="shared" si="3"/>
        <v>0</v>
      </c>
      <c r="E46" s="47">
        <f t="shared" si="4"/>
        <v>0</v>
      </c>
      <c r="F46" s="47">
        <f t="shared" si="5"/>
        <v>0</v>
      </c>
      <c r="G46" s="47">
        <f t="shared" si="6"/>
        <v>0</v>
      </c>
      <c r="H46" s="47">
        <f t="shared" si="7"/>
        <v>0</v>
      </c>
      <c r="I46" s="47">
        <f t="shared" si="8"/>
        <v>0</v>
      </c>
      <c r="J46" s="47">
        <f t="shared" si="9"/>
        <v>733.07795698924724</v>
      </c>
      <c r="K46" s="47">
        <f t="shared" si="10"/>
        <v>0</v>
      </c>
      <c r="L46" s="47">
        <f t="shared" si="11"/>
        <v>0</v>
      </c>
      <c r="M46" s="47">
        <f t="shared" si="12"/>
        <v>0</v>
      </c>
      <c r="N46" s="47">
        <f t="shared" si="13"/>
        <v>733.07795698924724</v>
      </c>
    </row>
    <row r="47" spans="1:14">
      <c r="A47" s="1" t="s">
        <v>48</v>
      </c>
      <c r="B47" s="47">
        <f t="shared" si="1"/>
        <v>3090.863946169412</v>
      </c>
      <c r="C47" s="47">
        <f t="shared" si="2"/>
        <v>0</v>
      </c>
      <c r="D47" s="47">
        <f t="shared" si="3"/>
        <v>0</v>
      </c>
      <c r="E47" s="47">
        <f t="shared" si="4"/>
        <v>0</v>
      </c>
      <c r="F47" s="47">
        <f t="shared" si="5"/>
        <v>0</v>
      </c>
      <c r="G47" s="47">
        <f t="shared" si="6"/>
        <v>0</v>
      </c>
      <c r="H47" s="47">
        <f t="shared" si="7"/>
        <v>0</v>
      </c>
      <c r="I47" s="47">
        <f t="shared" si="8"/>
        <v>0</v>
      </c>
      <c r="J47" s="47">
        <f t="shared" si="9"/>
        <v>0</v>
      </c>
      <c r="K47" s="47">
        <f t="shared" si="10"/>
        <v>0</v>
      </c>
      <c r="L47" s="47">
        <f t="shared" si="11"/>
        <v>0</v>
      </c>
      <c r="M47" s="47">
        <f t="shared" si="12"/>
        <v>0</v>
      </c>
      <c r="N47" s="47">
        <f t="shared" si="13"/>
        <v>3090.863946169412</v>
      </c>
    </row>
    <row r="48" spans="1:14">
      <c r="A48" s="1" t="s">
        <v>39</v>
      </c>
      <c r="B48" s="47">
        <f t="shared" si="1"/>
        <v>0</v>
      </c>
      <c r="C48" s="47">
        <f t="shared" si="2"/>
        <v>0</v>
      </c>
      <c r="D48" s="47">
        <f t="shared" si="3"/>
        <v>0</v>
      </c>
      <c r="E48" s="47">
        <f t="shared" si="4"/>
        <v>533.57471141513463</v>
      </c>
      <c r="F48" s="47">
        <f t="shared" si="5"/>
        <v>0</v>
      </c>
      <c r="G48" s="47">
        <f t="shared" si="6"/>
        <v>0</v>
      </c>
      <c r="H48" s="47">
        <f t="shared" si="7"/>
        <v>0</v>
      </c>
      <c r="I48" s="47">
        <f t="shared" si="8"/>
        <v>0</v>
      </c>
      <c r="J48" s="47">
        <f t="shared" si="9"/>
        <v>0</v>
      </c>
      <c r="K48" s="47">
        <f t="shared" si="10"/>
        <v>0</v>
      </c>
      <c r="L48" s="47">
        <f t="shared" si="11"/>
        <v>0</v>
      </c>
      <c r="M48" s="47">
        <f t="shared" si="12"/>
        <v>0</v>
      </c>
      <c r="N48" s="47">
        <f t="shared" si="13"/>
        <v>533.57471141513463</v>
      </c>
    </row>
    <row r="49" spans="1:14">
      <c r="A49" s="1" t="s">
        <v>12</v>
      </c>
      <c r="B49" s="47">
        <f t="shared" si="1"/>
        <v>0</v>
      </c>
      <c r="C49" s="47">
        <f t="shared" si="2"/>
        <v>0</v>
      </c>
      <c r="D49" s="47">
        <f t="shared" si="3"/>
        <v>0</v>
      </c>
      <c r="E49" s="47">
        <f t="shared" si="4"/>
        <v>0</v>
      </c>
      <c r="F49" s="47">
        <f t="shared" si="5"/>
        <v>0</v>
      </c>
      <c r="G49" s="47">
        <f t="shared" si="6"/>
        <v>0</v>
      </c>
      <c r="H49" s="47">
        <f t="shared" si="7"/>
        <v>0</v>
      </c>
      <c r="I49" s="47">
        <f t="shared" si="8"/>
        <v>0</v>
      </c>
      <c r="J49" s="47">
        <f t="shared" si="9"/>
        <v>0</v>
      </c>
      <c r="K49" s="47">
        <f t="shared" si="10"/>
        <v>1113.483470857203</v>
      </c>
      <c r="L49" s="47">
        <f t="shared" si="11"/>
        <v>49274.028224153204</v>
      </c>
      <c r="M49" s="47">
        <f t="shared" si="12"/>
        <v>0</v>
      </c>
      <c r="N49" s="47">
        <f t="shared" si="13"/>
        <v>50387.511695010406</v>
      </c>
    </row>
    <row r="50" spans="1:14">
      <c r="A50" s="1" t="s">
        <v>30</v>
      </c>
      <c r="B50" s="47">
        <f t="shared" si="1"/>
        <v>0</v>
      </c>
      <c r="C50" s="47">
        <f t="shared" si="2"/>
        <v>0</v>
      </c>
      <c r="D50" s="47">
        <f t="shared" si="3"/>
        <v>0</v>
      </c>
      <c r="E50" s="47">
        <f t="shared" si="4"/>
        <v>0</v>
      </c>
      <c r="F50" s="47">
        <f t="shared" si="5"/>
        <v>0</v>
      </c>
      <c r="G50" s="47">
        <f t="shared" si="6"/>
        <v>0</v>
      </c>
      <c r="H50" s="47">
        <f t="shared" si="7"/>
        <v>0</v>
      </c>
      <c r="I50" s="47">
        <f t="shared" si="8"/>
        <v>0</v>
      </c>
      <c r="J50" s="47">
        <f t="shared" si="9"/>
        <v>0</v>
      </c>
      <c r="K50" s="47">
        <f t="shared" si="10"/>
        <v>0</v>
      </c>
      <c r="L50" s="47">
        <f t="shared" si="11"/>
        <v>0</v>
      </c>
      <c r="M50" s="47">
        <f t="shared" si="12"/>
        <v>690.65687145125264</v>
      </c>
      <c r="N50" s="47">
        <f t="shared" si="13"/>
        <v>690.65687145125264</v>
      </c>
    </row>
    <row r="51" spans="1:14">
      <c r="A51" s="1" t="s">
        <v>17</v>
      </c>
      <c r="B51" s="47">
        <f t="shared" si="1"/>
        <v>6300.512731380898</v>
      </c>
      <c r="C51" s="47">
        <f t="shared" si="2"/>
        <v>0</v>
      </c>
      <c r="D51" s="47">
        <f t="shared" si="3"/>
        <v>744.24410182119198</v>
      </c>
      <c r="E51" s="47">
        <f t="shared" si="4"/>
        <v>0</v>
      </c>
      <c r="F51" s="47">
        <f t="shared" si="5"/>
        <v>0</v>
      </c>
      <c r="G51" s="47">
        <f t="shared" si="6"/>
        <v>0</v>
      </c>
      <c r="H51" s="47">
        <f t="shared" si="7"/>
        <v>7010.6516705259673</v>
      </c>
      <c r="I51" s="47">
        <f t="shared" si="8"/>
        <v>0</v>
      </c>
      <c r="J51" s="47">
        <f t="shared" si="9"/>
        <v>0</v>
      </c>
      <c r="K51" s="47">
        <f t="shared" si="10"/>
        <v>0</v>
      </c>
      <c r="L51" s="47">
        <f t="shared" si="11"/>
        <v>0</v>
      </c>
      <c r="M51" s="47">
        <f t="shared" si="12"/>
        <v>0</v>
      </c>
      <c r="N51" s="47">
        <f t="shared" si="13"/>
        <v>14055.408503728057</v>
      </c>
    </row>
    <row r="52" spans="1:14">
      <c r="A52" s="1" t="s">
        <v>14</v>
      </c>
      <c r="B52" s="47">
        <f t="shared" si="1"/>
        <v>0</v>
      </c>
      <c r="C52" s="47">
        <f t="shared" si="2"/>
        <v>0</v>
      </c>
      <c r="D52" s="47">
        <f t="shared" si="3"/>
        <v>0</v>
      </c>
      <c r="E52" s="47">
        <f t="shared" si="4"/>
        <v>0</v>
      </c>
      <c r="F52" s="47">
        <f t="shared" si="5"/>
        <v>0</v>
      </c>
      <c r="G52" s="47">
        <f t="shared" si="6"/>
        <v>5219.5573473753493</v>
      </c>
      <c r="H52" s="47">
        <f t="shared" si="7"/>
        <v>0</v>
      </c>
      <c r="I52" s="47">
        <f t="shared" si="8"/>
        <v>0</v>
      </c>
      <c r="J52" s="47">
        <f t="shared" si="9"/>
        <v>0</v>
      </c>
      <c r="K52" s="47">
        <f t="shared" si="10"/>
        <v>0</v>
      </c>
      <c r="L52" s="47">
        <f t="shared" si="11"/>
        <v>0</v>
      </c>
      <c r="M52" s="47">
        <f t="shared" si="12"/>
        <v>0</v>
      </c>
      <c r="N52" s="47">
        <f t="shared" si="13"/>
        <v>5219.5573473753493</v>
      </c>
    </row>
    <row r="53" spans="1:14">
      <c r="A53" s="1" t="s">
        <v>13</v>
      </c>
      <c r="B53" s="47">
        <f t="shared" si="1"/>
        <v>0</v>
      </c>
      <c r="C53" s="47">
        <f t="shared" si="2"/>
        <v>0</v>
      </c>
      <c r="D53" s="47">
        <f t="shared" si="3"/>
        <v>3274.9120447019868</v>
      </c>
      <c r="E53" s="47">
        <f t="shared" si="4"/>
        <v>0</v>
      </c>
      <c r="F53" s="47">
        <f t="shared" si="5"/>
        <v>0</v>
      </c>
      <c r="G53" s="47">
        <f t="shared" si="6"/>
        <v>0</v>
      </c>
      <c r="H53" s="47">
        <f t="shared" si="7"/>
        <v>0</v>
      </c>
      <c r="I53" s="47">
        <f t="shared" si="8"/>
        <v>0</v>
      </c>
      <c r="J53" s="47">
        <f t="shared" si="9"/>
        <v>8867.0564516129034</v>
      </c>
      <c r="K53" s="47">
        <f t="shared" si="10"/>
        <v>0</v>
      </c>
      <c r="L53" s="47">
        <f t="shared" si="11"/>
        <v>14397.505587959104</v>
      </c>
      <c r="M53" s="47">
        <f t="shared" si="12"/>
        <v>0</v>
      </c>
      <c r="N53" s="47">
        <f t="shared" si="13"/>
        <v>26539.474084273992</v>
      </c>
    </row>
    <row r="55" spans="1:14">
      <c r="N55" s="95">
        <f>SUM(N35:N54)</f>
        <v>168655.36218485099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5D23C-57A9-419F-8AC7-205AD6196298}">
  <dimension ref="A1:N45"/>
  <sheetViews>
    <sheetView workbookViewId="0">
      <selection activeCell="N43" sqref="N43"/>
    </sheetView>
  </sheetViews>
  <sheetFormatPr defaultRowHeight="14.45"/>
  <cols>
    <col min="1" max="1" width="22.28515625" bestFit="1" customWidth="1"/>
    <col min="2" max="2" width="11.5703125" bestFit="1" customWidth="1"/>
    <col min="3" max="3" width="23" bestFit="1" customWidth="1"/>
    <col min="5" max="5" width="27.85546875" bestFit="1" customWidth="1"/>
    <col min="7" max="7" width="27.85546875" bestFit="1" customWidth="1"/>
    <col min="8" max="8" width="27.85546875" customWidth="1"/>
    <col min="9" max="9" width="11" customWidth="1"/>
    <col min="10" max="10" width="29.42578125" customWidth="1"/>
    <col min="11" max="11" width="8.85546875" customWidth="1"/>
    <col min="12" max="12" width="26.140625" customWidth="1"/>
    <col min="13" max="13" width="8.85546875" customWidth="1"/>
    <col min="14" max="14" width="13.7109375" customWidth="1"/>
  </cols>
  <sheetData>
    <row r="1" spans="1:14">
      <c r="A1" s="6" t="s">
        <v>2</v>
      </c>
      <c r="B1" s="6" t="s">
        <v>78</v>
      </c>
      <c r="C1" s="6" t="s">
        <v>622</v>
      </c>
      <c r="D1" s="6"/>
      <c r="E1" s="7" t="s">
        <v>623</v>
      </c>
      <c r="F1" s="7"/>
      <c r="G1" s="8" t="s">
        <v>624</v>
      </c>
      <c r="H1" s="6"/>
      <c r="J1" t="s">
        <v>625</v>
      </c>
      <c r="L1" t="s">
        <v>626</v>
      </c>
      <c r="N1" t="s">
        <v>627</v>
      </c>
    </row>
    <row r="2" spans="1:14">
      <c r="A2" s="1" t="s">
        <v>20</v>
      </c>
      <c r="B2" t="s">
        <v>54</v>
      </c>
      <c r="C2" s="3">
        <f>IFERROR(VLOOKUP(A2,'Own-Auth Maint'!$A$1:$N$34,14,FALSE),0)</f>
        <v>86882.936743940998</v>
      </c>
      <c r="D2" s="3">
        <f>IFERROR(VLOOKUP(B2,#REF!,8,FALSE),0)</f>
        <v>0</v>
      </c>
      <c r="E2" s="3">
        <f>IFERROR(VLOOKUP(A2,'3rd Party Maint'!$A$2:$N$36,14,FALSE),0)</f>
        <v>0</v>
      </c>
      <c r="G2" s="2">
        <f>E2+C2</f>
        <v>86882.936743940998</v>
      </c>
      <c r="H2" s="2"/>
      <c r="J2" s="3">
        <f>IFERROR(VLOOKUP(A2,'Own-Auth Maint'!$A$48:$N$80,14,FALSE),0)</f>
        <v>114783.73083625709</v>
      </c>
      <c r="L2" s="3">
        <f>IFERROR(VLOOKUP(A2,'3rd Party Maint'!$A$46:$N$79,14,FALSE),0)</f>
        <v>0</v>
      </c>
      <c r="N2" s="2">
        <f>SUM(J2:L2)</f>
        <v>114783.73083625709</v>
      </c>
    </row>
    <row r="3" spans="1:14">
      <c r="A3" s="1" t="s">
        <v>35</v>
      </c>
      <c r="B3" t="s">
        <v>54</v>
      </c>
      <c r="C3" s="3">
        <f>IFERROR(VLOOKUP(A3,'Own-Auth Maint'!$A$1:$N$34,14,FALSE),0)</f>
        <v>30682.274230769232</v>
      </c>
      <c r="E3" s="3">
        <f>IFERROR(VLOOKUP(A3,'3rd Party Maint'!$A$2:$N$36,14,FALSE),0)</f>
        <v>3969.0418406593403</v>
      </c>
      <c r="G3" s="2">
        <f t="shared" ref="G3:G41" si="0">E3+C3</f>
        <v>34651.31607142857</v>
      </c>
      <c r="H3" s="2"/>
      <c r="J3" s="3">
        <f>IFERROR(VLOOKUP(A3,'Own-Auth Maint'!$A$48:$N$80,14,FALSE),0)</f>
        <v>40527.54553200685</v>
      </c>
      <c r="L3" s="3">
        <f>IFERROR(VLOOKUP(A3,'3rd Party Maint'!$A$46:$N$79,14,FALSE),0)</f>
        <v>5243.6805104847699</v>
      </c>
      <c r="N3" s="2">
        <f t="shared" ref="N3:N41" si="1">SUM(J3:L3)</f>
        <v>45771.226042491617</v>
      </c>
    </row>
    <row r="4" spans="1:14">
      <c r="A4" s="1" t="s">
        <v>31</v>
      </c>
      <c r="B4" t="s">
        <v>54</v>
      </c>
      <c r="C4" s="3">
        <f>IFERROR(VLOOKUP(A4,'Own-Auth Maint'!$A$1:$N$34,14,FALSE),0)</f>
        <v>24683.532527472526</v>
      </c>
      <c r="E4" s="3">
        <f>IFERROR(VLOOKUP(A4,'3rd Party Maint'!$A$2:$N$36,14,FALSE),0)</f>
        <v>0</v>
      </c>
      <c r="G4" s="2">
        <f>E4+C4</f>
        <v>24683.532527472526</v>
      </c>
      <c r="H4" s="2"/>
      <c r="J4" s="3">
        <f>IFERROR(VLOOKUP(A4,'Own-Auth Maint'!$A$48:$N$80,14,FALSE),0)</f>
        <v>32178.467644449069</v>
      </c>
      <c r="L4" s="3">
        <f>IFERROR(VLOOKUP(A4,'3rd Party Maint'!$A$46:$N$79,14,FALSE),0)</f>
        <v>0</v>
      </c>
      <c r="N4" s="2">
        <f t="shared" si="1"/>
        <v>32178.467644449069</v>
      </c>
    </row>
    <row r="5" spans="1:14">
      <c r="A5" s="1" t="s">
        <v>32</v>
      </c>
      <c r="B5" t="s">
        <v>54</v>
      </c>
      <c r="C5" s="3">
        <f>IFERROR(VLOOKUP(A5,'Own-Auth Maint'!$A$1:$N$34,14,FALSE),0)</f>
        <v>11904.123201064065</v>
      </c>
      <c r="E5" s="3">
        <f>IFERROR(VLOOKUP(A5,'3rd Party Maint'!$A$2:$N$36,14,FALSE),0)</f>
        <v>1232.98</v>
      </c>
      <c r="G5" s="2">
        <f>E5+C5</f>
        <v>13137.103201064065</v>
      </c>
      <c r="H5" s="2"/>
      <c r="J5" s="3">
        <f>IFERROR(VLOOKUP(A5,'Own-Auth Maint'!$A$48:$N$80,14,FALSE),0)</f>
        <v>15724.279963872434</v>
      </c>
      <c r="L5" s="3">
        <f>IFERROR(VLOOKUP(A5,'3rd Party Maint'!$A$46:$N$79,14,FALSE),0)</f>
        <v>1628.6395969553146</v>
      </c>
      <c r="N5" s="2">
        <f t="shared" si="1"/>
        <v>17352.919560827748</v>
      </c>
    </row>
    <row r="6" spans="1:14">
      <c r="A6" s="1" t="s">
        <v>27</v>
      </c>
      <c r="B6" t="s">
        <v>54</v>
      </c>
      <c r="C6" s="3">
        <f>IFERROR(VLOOKUP(A6,'Own-Auth Maint'!$A$1:$N$34,14,FALSE),0)</f>
        <v>46946.939999999988</v>
      </c>
      <c r="E6" s="3">
        <f>IFERROR(VLOOKUP(A6,'3rd Party Maint'!$A$2:$N$36,14,FALSE),0)</f>
        <v>12144.929999999998</v>
      </c>
      <c r="G6" s="2">
        <f t="shared" si="0"/>
        <v>59091.869999999988</v>
      </c>
      <c r="H6" s="2"/>
      <c r="J6" s="3">
        <f>IFERROR(VLOOKUP(A6,'Own-Auth Maint'!$A$48:$N$80,14,FALSE),0)</f>
        <v>62002.612209589031</v>
      </c>
      <c r="L6" s="3">
        <f>IFERROR(VLOOKUP(A6,'3rd Party Maint'!$A$46:$N$79,14,FALSE),0)</f>
        <v>16039.536402275888</v>
      </c>
      <c r="N6" s="2">
        <f t="shared" si="1"/>
        <v>78042.148611864919</v>
      </c>
    </row>
    <row r="7" spans="1:14">
      <c r="A7" s="1" t="s">
        <v>22</v>
      </c>
      <c r="B7" t="s">
        <v>55</v>
      </c>
      <c r="C7" s="3">
        <f>IFERROR(VLOOKUP(A7,'Own-Auth Maint'!$A$1:$N$34,14,FALSE),0)</f>
        <v>57590.68023295184</v>
      </c>
      <c r="E7" s="3">
        <f>IFERROR(VLOOKUP(A7,'3rd Party Maint'!$A$2:$N$36,14,FALSE),0)</f>
        <v>4504.5320879120882</v>
      </c>
      <c r="G7" s="2">
        <f t="shared" si="0"/>
        <v>62095.212320863924</v>
      </c>
      <c r="H7" s="2"/>
      <c r="J7" s="3">
        <f>IFERROR(VLOOKUP(A7,'Own-Auth Maint'!$A$48:$N$80,14,FALSE),0)</f>
        <v>76080.909395674447</v>
      </c>
      <c r="L7" s="3">
        <f>IFERROR(VLOOKUP(A7,'3rd Party Maint'!$A$46:$N$79,14,FALSE),0)</f>
        <v>5943.6281727255318</v>
      </c>
      <c r="N7" s="2">
        <f t="shared" si="1"/>
        <v>82024.537568399974</v>
      </c>
    </row>
    <row r="8" spans="1:14">
      <c r="A8" s="1" t="s">
        <v>29</v>
      </c>
      <c r="B8" t="s">
        <v>54</v>
      </c>
      <c r="C8" s="3">
        <f>IFERROR(VLOOKUP(A8,'Own-Auth Maint'!$A$1:$N$34,14,FALSE),0)</f>
        <v>47578.363681318682</v>
      </c>
      <c r="E8" s="3">
        <f>IFERROR(VLOOKUP(A8,'3rd Party Maint'!$A$2:$N$36,14,FALSE),0)</f>
        <v>14951.252197802198</v>
      </c>
      <c r="G8" s="2">
        <f t="shared" si="0"/>
        <v>62529.61587912088</v>
      </c>
      <c r="H8" s="2"/>
      <c r="J8" s="3">
        <f>IFERROR(VLOOKUP(A8,'Own-Auth Maint'!$A$48:$N$80,14,FALSE),0)</f>
        <v>62837.171106212147</v>
      </c>
      <c r="L8" s="3">
        <f>IFERROR(VLOOKUP(A8,'3rd Party Maint'!$A$46:$N$79,14,FALSE),0)</f>
        <v>19742.815371953791</v>
      </c>
      <c r="N8" s="2">
        <f t="shared" si="1"/>
        <v>82579.986478165942</v>
      </c>
    </row>
    <row r="9" spans="1:14">
      <c r="A9" s="1" t="s">
        <v>18</v>
      </c>
      <c r="B9" t="s">
        <v>54</v>
      </c>
      <c r="C9" s="3">
        <f>IFERROR(VLOOKUP(A9,'Own-Auth Maint'!$A$1:$N$34,14,FALSE),0)</f>
        <v>54643.368642573645</v>
      </c>
      <c r="E9" s="3">
        <f>IFERROR(VLOOKUP(A9,'3rd Party Maint'!$A$2:$N$36,14,FALSE),0)</f>
        <v>909.95438356164379</v>
      </c>
      <c r="G9" s="2">
        <f t="shared" si="0"/>
        <v>55553.323026135287</v>
      </c>
      <c r="H9" s="2"/>
      <c r="J9" s="3">
        <f>IFERROR(VLOOKUP(A9,'Own-Auth Maint'!$A$48:$N$80,14,FALSE),0)</f>
        <v>72194.427744363784</v>
      </c>
      <c r="L9" s="3">
        <f>IFERROR(VLOOKUP(A9,'3rd Party Maint'!$A$46:$N$79,14,FALSE),0)</f>
        <v>1189.64966683648</v>
      </c>
      <c r="N9" s="2">
        <f t="shared" si="1"/>
        <v>73384.077411200269</v>
      </c>
    </row>
    <row r="10" spans="1:14">
      <c r="A10" s="1" t="s">
        <v>40</v>
      </c>
      <c r="B10" t="s">
        <v>55</v>
      </c>
      <c r="C10" s="3">
        <f>IFERROR(VLOOKUP(A10,'Own-Auth Maint'!$A$1:$N$34,14,FALSE),0)</f>
        <v>6370.3005494505496</v>
      </c>
      <c r="E10" s="3">
        <f>IFERROR(VLOOKUP(A10,'3rd Party Maint'!$A$2:$N$36,14,FALSE),0)</f>
        <v>2638.0638490892666</v>
      </c>
      <c r="G10" s="2">
        <f t="shared" si="0"/>
        <v>9008.3643985398157</v>
      </c>
      <c r="H10" s="2"/>
      <c r="J10" s="3">
        <f>IFERROR(VLOOKUP(A10,'Own-Auth Maint'!$A$48:$N$80,14,FALSE),0)</f>
        <v>8212.1164829189711</v>
      </c>
      <c r="L10" s="3">
        <f>IFERROR(VLOOKUP(A10,'3rd Party Maint'!$A$46:$N$79,14,FALSE),0)</f>
        <v>3486.2253961070592</v>
      </c>
      <c r="N10" s="2">
        <f t="shared" si="1"/>
        <v>11698.341879026029</v>
      </c>
    </row>
    <row r="11" spans="1:14">
      <c r="A11" s="1" t="s">
        <v>28</v>
      </c>
      <c r="B11" t="s">
        <v>54</v>
      </c>
      <c r="C11" s="3">
        <f>IFERROR(VLOOKUP(A11,'Own-Auth Maint'!$A$1:$N$34,14,FALSE),0)</f>
        <v>53749.570940717182</v>
      </c>
      <c r="E11" s="3">
        <f>IFERROR(VLOOKUP(A11,'3rd Party Maint'!$A$2:$N$36,14,FALSE),0)</f>
        <v>10604.899476366099</v>
      </c>
      <c r="G11" s="2">
        <f t="shared" si="0"/>
        <v>64354.470417083285</v>
      </c>
      <c r="H11" s="2"/>
      <c r="J11" s="3">
        <f>IFERROR(VLOOKUP(A11,'Own-Auth Maint'!$A$48:$N$80,14,FALSE),0)</f>
        <v>71000.326701542261</v>
      </c>
      <c r="L11" s="3">
        <f>IFERROR(VLOOKUP(A11,'3rd Party Maint'!$A$46:$N$79,14,FALSE),0)</f>
        <v>14005.139130093346</v>
      </c>
      <c r="N11" s="2">
        <f t="shared" si="1"/>
        <v>85005.465831635607</v>
      </c>
    </row>
    <row r="12" spans="1:14">
      <c r="A12" s="1" t="s">
        <v>50</v>
      </c>
      <c r="B12" t="s">
        <v>54</v>
      </c>
      <c r="C12" s="3">
        <f>IFERROR(VLOOKUP(A12,'Own-Auth Maint'!$A$1:$N$34,14,FALSE),0)</f>
        <v>0</v>
      </c>
      <c r="E12" s="3">
        <f>IFERROR(VLOOKUP(A12,'3rd Party Maint'!$A$2:$N$36,14,FALSE),0)</f>
        <v>0</v>
      </c>
      <c r="G12" s="2">
        <f t="shared" si="0"/>
        <v>0</v>
      </c>
      <c r="H12" s="2"/>
      <c r="J12" s="3">
        <f>IFERROR(VLOOKUP(A12,'Own-Auth Maint'!$A$48:$N$80,14,FALSE),0)</f>
        <v>0</v>
      </c>
      <c r="L12" s="3">
        <f>IFERROR(VLOOKUP(A12,'3rd Party Maint'!$A$46:$N$79,14,FALSE),0)</f>
        <v>0</v>
      </c>
      <c r="N12" s="2">
        <f t="shared" si="1"/>
        <v>0</v>
      </c>
    </row>
    <row r="13" spans="1:14">
      <c r="A13" s="1" t="s">
        <v>46</v>
      </c>
      <c r="B13" t="s">
        <v>54</v>
      </c>
      <c r="C13" s="3">
        <f>IFERROR(VLOOKUP(A13,'Own-Auth Maint'!$A$1:$N$34,14,FALSE),0)</f>
        <v>896.41645604395603</v>
      </c>
      <c r="E13" s="3">
        <f>IFERROR(VLOOKUP(A13,'3rd Party Maint'!$A$2:$N$36,14,FALSE),0)</f>
        <v>9986.0364010989015</v>
      </c>
      <c r="G13" s="2">
        <f t="shared" si="0"/>
        <v>10882.452857142858</v>
      </c>
      <c r="H13" s="2"/>
      <c r="J13" s="3">
        <f>IFERROR(VLOOKUP(A13,'Own-Auth Maint'!$A$48:$N$80,14,FALSE),0)</f>
        <v>1183.9740101004238</v>
      </c>
      <c r="L13" s="3">
        <f>IFERROR(VLOOKUP(A13,'3rd Party Maint'!$A$46:$N$79,14,FALSE),0)</f>
        <v>13187.672556897169</v>
      </c>
      <c r="N13" s="2">
        <f t="shared" si="1"/>
        <v>14371.646566997593</v>
      </c>
    </row>
    <row r="14" spans="1:14">
      <c r="A14" s="1" t="s">
        <v>38</v>
      </c>
      <c r="B14" t="s">
        <v>54</v>
      </c>
      <c r="C14" s="3">
        <f>IFERROR(VLOOKUP(A14,'Own-Auth Maint'!$A$1:$N$34,14,FALSE),0)</f>
        <v>0</v>
      </c>
      <c r="E14" s="3">
        <f>IFERROR(VLOOKUP(A14,'3rd Party Maint'!$A$2:$N$36,14,FALSE),0)</f>
        <v>0</v>
      </c>
      <c r="G14" s="2">
        <f t="shared" si="0"/>
        <v>0</v>
      </c>
      <c r="H14" s="2"/>
      <c r="J14" s="3">
        <f>IFERROR(VLOOKUP(A14,'Own-Auth Maint'!$A$48:$N$80,14,FALSE),0)</f>
        <v>0</v>
      </c>
      <c r="L14" s="3">
        <f>IFERROR(VLOOKUP(A14,'3rd Party Maint'!$A$46:$N$79,14,FALSE),0)</f>
        <v>0</v>
      </c>
      <c r="N14" s="2">
        <f t="shared" si="1"/>
        <v>0</v>
      </c>
    </row>
    <row r="15" spans="1:14">
      <c r="A15" s="1" t="s">
        <v>26</v>
      </c>
      <c r="B15" t="s">
        <v>54</v>
      </c>
      <c r="C15" s="3">
        <f>IFERROR(VLOOKUP(A15,'Own-Auth Maint'!$A$1:$N$34,14,FALSE),0)</f>
        <v>28245.409340659338</v>
      </c>
      <c r="E15" s="3">
        <f>IFERROR(VLOOKUP(A15,'3rd Party Maint'!$A$2:$N$36,14,FALSE),0)</f>
        <v>1214.8820329670327</v>
      </c>
      <c r="G15" s="2">
        <f t="shared" si="0"/>
        <v>29460.291373626373</v>
      </c>
      <c r="H15" s="2"/>
      <c r="J15" s="3">
        <f>IFERROR(VLOOKUP(A15,'Own-Auth Maint'!$A$48:$N$80,14,FALSE),0)</f>
        <v>37319.955810755338</v>
      </c>
      <c r="L15" s="3">
        <f>IFERROR(VLOOKUP(A15,'3rd Party Maint'!$A$46:$N$79,14,FALSE),0)</f>
        <v>1604.1677974845165</v>
      </c>
      <c r="N15" s="2">
        <f t="shared" si="1"/>
        <v>38924.123608239854</v>
      </c>
    </row>
    <row r="16" spans="1:14">
      <c r="A16" s="1" t="s">
        <v>11</v>
      </c>
      <c r="B16" t="s">
        <v>54</v>
      </c>
      <c r="C16" s="3">
        <f>IFERROR(VLOOKUP(A16,'Own-Auth Maint'!$A$1:$N$34,14,FALSE),0)</f>
        <v>1459813.162857143</v>
      </c>
      <c r="E16" s="3">
        <f>IFERROR(VLOOKUP(A16,'3rd Party Maint'!$A$2:$N$36,14,FALSE),0)</f>
        <v>197896.36502747252</v>
      </c>
      <c r="G16" s="2">
        <f t="shared" si="0"/>
        <v>1657709.5278846156</v>
      </c>
      <c r="H16" s="2"/>
      <c r="J16" s="3">
        <f>IFERROR(VLOOKUP(A16,'Own-Auth Maint'!$A$48:$N$80,14,FALSE),0)</f>
        <v>1927767.4066141711</v>
      </c>
      <c r="L16" s="3">
        <f>IFERROR(VLOOKUP(A16,'3rd Party Maint'!$A$46:$N$79,14,FALSE),0)</f>
        <v>261495.99533784893</v>
      </c>
      <c r="N16" s="2">
        <f t="shared" si="1"/>
        <v>2189263.4019520199</v>
      </c>
    </row>
    <row r="17" spans="1:14">
      <c r="A17" s="1" t="s">
        <v>42</v>
      </c>
      <c r="B17" t="s">
        <v>54</v>
      </c>
      <c r="C17" s="3">
        <f>IFERROR(VLOOKUP(A17,'Own-Auth Maint'!$A$1:$N$34,14,FALSE),0)</f>
        <v>17563.19711199759</v>
      </c>
      <c r="E17" s="3">
        <f>IFERROR(VLOOKUP(A17,'3rd Party Maint'!$A$2:$N$36,14,FALSE),0)</f>
        <v>3213.7723351648356</v>
      </c>
      <c r="G17" s="2">
        <f t="shared" si="0"/>
        <v>20776.969447162424</v>
      </c>
      <c r="H17" s="2"/>
      <c r="J17" s="3">
        <f>IFERROR(VLOOKUP(A17,'Own-Auth Maint'!$A$48:$N$80,14,FALSE),0)</f>
        <v>23204.388941352045</v>
      </c>
      <c r="L17" s="3">
        <f>IFERROR(VLOOKUP(A17,'3rd Party Maint'!$A$46:$N$79,14,FALSE),0)</f>
        <v>4245.025311372252</v>
      </c>
      <c r="N17" s="2">
        <f t="shared" si="1"/>
        <v>27449.414252724295</v>
      </c>
    </row>
    <row r="18" spans="1:14">
      <c r="A18" s="1" t="s">
        <v>21</v>
      </c>
      <c r="B18" t="s">
        <v>54</v>
      </c>
      <c r="C18" s="3">
        <f>IFERROR(VLOOKUP(A18,'Own-Auth Maint'!$A$1:$N$34,14,FALSE),0)</f>
        <v>82104.320230733196</v>
      </c>
      <c r="E18" s="3">
        <f>IFERROR(VLOOKUP(A18,'3rd Party Maint'!$A$2:$N$36,14,FALSE),0)</f>
        <v>16098.106542965232</v>
      </c>
      <c r="G18" s="2">
        <f t="shared" si="0"/>
        <v>98202.426773698433</v>
      </c>
      <c r="H18" s="2"/>
      <c r="J18" s="3">
        <f>IFERROR(VLOOKUP(A18,'Own-Auth Maint'!$A$48:$N$80,14,FALSE),0)</f>
        <v>108465.22987102316</v>
      </c>
      <c r="L18" s="3">
        <f>IFERROR(VLOOKUP(A18,'3rd Party Maint'!$A$46:$N$79,14,FALSE),0)</f>
        <v>21256.461126524002</v>
      </c>
      <c r="N18" s="2">
        <f t="shared" si="1"/>
        <v>129721.69099754715</v>
      </c>
    </row>
    <row r="19" spans="1:14">
      <c r="A19" s="1" t="s">
        <v>45</v>
      </c>
      <c r="B19" t="s">
        <v>54</v>
      </c>
      <c r="C19" s="3">
        <f>IFERROR(VLOOKUP(A19,'Own-Auth Maint'!$A$1:$N$34,14,FALSE),0)</f>
        <v>8557.1673076923089</v>
      </c>
      <c r="E19" s="3">
        <f>IFERROR(VLOOKUP(A19,'3rd Party Maint'!$A$2:$N$36,14,FALSE),0)</f>
        <v>1829.6141917808218</v>
      </c>
      <c r="G19" s="2">
        <f t="shared" si="0"/>
        <v>10386.781499473131</v>
      </c>
      <c r="H19" s="2"/>
      <c r="J19" s="3">
        <f>IFERROR(VLOOKUP(A19,'Own-Auth Maint'!$A$48:$N$80,14,FALSE),0)</f>
        <v>11302.002051259595</v>
      </c>
      <c r="L19" s="3">
        <f>IFERROR(VLOOKUP(A19,'3rd Party Maint'!$A$46:$N$79,14,FALSE),0)</f>
        <v>2416.314544012303</v>
      </c>
      <c r="N19" s="2">
        <f t="shared" si="1"/>
        <v>13718.316595271897</v>
      </c>
    </row>
    <row r="20" spans="1:14">
      <c r="A20" s="1" t="s">
        <v>19</v>
      </c>
      <c r="B20" t="s">
        <v>54</v>
      </c>
      <c r="C20" s="3">
        <f>IFERROR(VLOOKUP(A20,'Own-Auth Maint'!$A$1:$N$34,14,FALSE),0)</f>
        <v>78086.942112332137</v>
      </c>
      <c r="E20" s="3">
        <f>IFERROR(VLOOKUP(A20,'3rd Party Maint'!$A$2:$N$36,14,FALSE),0)</f>
        <v>16443.15615384615</v>
      </c>
      <c r="G20" s="2">
        <f t="shared" si="0"/>
        <v>94530.098266178291</v>
      </c>
      <c r="H20" s="2"/>
      <c r="J20" s="3">
        <f>IFERROR(VLOOKUP(A20,'Own-Auth Maint'!$A$48:$N$80,14,FALSE),0)</f>
        <v>103129.20041335348</v>
      </c>
      <c r="L20" s="3">
        <f>IFERROR(VLOOKUP(A20,'3rd Party Maint'!$A$46:$N$79,14,FALSE),0)</f>
        <v>21712.81554091804</v>
      </c>
      <c r="N20" s="2">
        <f t="shared" si="1"/>
        <v>124842.01595427151</v>
      </c>
    </row>
    <row r="21" spans="1:14">
      <c r="A21" s="1" t="s">
        <v>24</v>
      </c>
      <c r="B21" t="s">
        <v>54</v>
      </c>
      <c r="C21" s="3">
        <f>IFERROR(VLOOKUP(A21,'Own-Auth Maint'!$A$1:$N$34,14,FALSE),0)</f>
        <v>71804.903741461239</v>
      </c>
      <c r="E21" s="3">
        <f>IFERROR(VLOOKUP(A21,'3rd Party Maint'!$A$2:$N$36,14,FALSE),0)</f>
        <v>10212.197692307693</v>
      </c>
      <c r="G21" s="2">
        <f t="shared" si="0"/>
        <v>82017.101433768927</v>
      </c>
      <c r="H21" s="2"/>
      <c r="J21" s="3">
        <f>IFERROR(VLOOKUP(A21,'Own-Auth Maint'!$A$48:$N$80,14,FALSE),0)</f>
        <v>94726.136019367827</v>
      </c>
      <c r="L21" s="3">
        <f>IFERROR(VLOOKUP(A21,'3rd Party Maint'!$A$46:$N$79,14,FALSE),0)</f>
        <v>13488.120465195345</v>
      </c>
      <c r="N21" s="2">
        <f t="shared" si="1"/>
        <v>108214.25648456317</v>
      </c>
    </row>
    <row r="22" spans="1:14">
      <c r="A22" s="1" t="s">
        <v>23</v>
      </c>
      <c r="B22" t="s">
        <v>54</v>
      </c>
      <c r="C22" s="3">
        <f>IFERROR(VLOOKUP(A22,'Own-Auth Maint'!$A$1:$N$34,14,FALSE),0)</f>
        <v>79140.415426765016</v>
      </c>
      <c r="E22" s="3">
        <f>IFERROR(VLOOKUP(A22,'3rd Party Maint'!$A$2:$N$36,14,FALSE),0)</f>
        <v>12952.429065934066</v>
      </c>
      <c r="G22" s="2">
        <f t="shared" si="0"/>
        <v>92092.844492699078</v>
      </c>
      <c r="H22" s="2"/>
      <c r="J22" s="3">
        <f>IFERROR(VLOOKUP(A22,'Own-Auth Maint'!$A$48:$N$80,14,FALSE),0)</f>
        <v>104551.34132338522</v>
      </c>
      <c r="L22" s="3">
        <f>IFERROR(VLOOKUP(A22,'3rd Party Maint'!$A$46:$N$79,14,FALSE),0)</f>
        <v>17103.177750734056</v>
      </c>
      <c r="N22" s="2">
        <f t="shared" si="1"/>
        <v>121654.51907411928</v>
      </c>
    </row>
    <row r="23" spans="1:14">
      <c r="A23" s="1" t="s">
        <v>51</v>
      </c>
      <c r="B23" t="s">
        <v>54</v>
      </c>
      <c r="C23" s="3">
        <f>IFERROR(VLOOKUP(A23,'Own-Auth Maint'!$A$1:$N$34,14,FALSE),0)</f>
        <v>0</v>
      </c>
      <c r="E23" s="3">
        <f>IFERROR(VLOOKUP(A23,'3rd Party Maint'!$A$2:$N$36,14,FALSE),0)</f>
        <v>0</v>
      </c>
      <c r="G23" s="2">
        <f t="shared" si="0"/>
        <v>0</v>
      </c>
      <c r="H23" s="2"/>
      <c r="J23" s="3">
        <f>IFERROR(VLOOKUP(A23,'Own-Auth Maint'!$A$48:$N$80,14,FALSE),0)</f>
        <v>0</v>
      </c>
      <c r="L23" s="3">
        <f>IFERROR(VLOOKUP(A23,'3rd Party Maint'!$A$46:$N$79,14,FALSE),0)</f>
        <v>0</v>
      </c>
      <c r="N23" s="2">
        <f t="shared" si="1"/>
        <v>0</v>
      </c>
    </row>
    <row r="24" spans="1:14">
      <c r="A24" s="1" t="s">
        <v>33</v>
      </c>
      <c r="B24" t="s">
        <v>54</v>
      </c>
      <c r="C24" s="3">
        <f>IFERROR(VLOOKUP(A24,'Own-Auth Maint'!$A$1:$N$34,14,FALSE),0)</f>
        <v>28807.347857142853</v>
      </c>
      <c r="E24" s="3">
        <f>IFERROR(VLOOKUP(A24,'3rd Party Maint'!$A$2:$N$36,14,FALSE),0)</f>
        <v>7775.4303845401173</v>
      </c>
      <c r="G24" s="2">
        <f t="shared" si="0"/>
        <v>36582.778241682972</v>
      </c>
      <c r="H24" s="2"/>
      <c r="J24" s="3">
        <f>IFERROR(VLOOKUP(A24,'Own-Auth Maint'!$A$48:$N$80,14,FALSE),0)</f>
        <v>38551.208048734683</v>
      </c>
      <c r="L24" s="3">
        <f>IFERROR(VLOOKUP(A24,'3rd Party Maint'!$A$46:$N$79,14,FALSE),0)</f>
        <v>10272.594593949172</v>
      </c>
      <c r="N24" s="2">
        <f t="shared" si="1"/>
        <v>48823.802642683855</v>
      </c>
    </row>
    <row r="25" spans="1:14">
      <c r="A25" s="1" t="s">
        <v>34</v>
      </c>
      <c r="B25" t="s">
        <v>59</v>
      </c>
      <c r="C25" s="3">
        <f>IFERROR(VLOOKUP(A25,'Own-Auth Maint'!$A$1:$N$34,14,FALSE),0)</f>
        <v>0</v>
      </c>
      <c r="E25" s="3">
        <f>IFERROR(VLOOKUP(A25,'3rd Party Maint'!$A$2:$N$36,14,FALSE),0)</f>
        <v>12790.306593406593</v>
      </c>
      <c r="G25" s="2">
        <f t="shared" si="0"/>
        <v>12790.306593406593</v>
      </c>
      <c r="H25" s="2"/>
      <c r="J25" s="3">
        <f>IFERROR(VLOOKUP(A25,'Own-Auth Maint'!$A$48:$N$80,14,FALSE),0)</f>
        <v>0</v>
      </c>
      <c r="L25" s="3">
        <f>IFERROR(VLOOKUP(A25,'3rd Party Maint'!$A$46:$N$79,14,FALSE),0)</f>
        <v>16852.115383936594</v>
      </c>
      <c r="N25" s="2">
        <f t="shared" si="1"/>
        <v>16852.115383936594</v>
      </c>
    </row>
    <row r="26" spans="1:14">
      <c r="A26" s="1" t="s">
        <v>49</v>
      </c>
      <c r="B26" t="s">
        <v>54</v>
      </c>
      <c r="C26" s="3">
        <f>IFERROR(VLOOKUP(A26,'Own-Auth Maint'!$A$1:$N$34,14,FALSE),0)</f>
        <v>0</v>
      </c>
      <c r="E26" s="3">
        <f>IFERROR(VLOOKUP(A26,'3rd Party Maint'!$A$2:$N$36,14,FALSE),0)</f>
        <v>48.485961538461538</v>
      </c>
      <c r="G26" s="2">
        <f t="shared" si="0"/>
        <v>48.485961538461538</v>
      </c>
      <c r="H26" s="2"/>
      <c r="J26" s="3">
        <f>IFERROR(VLOOKUP(A26,'Own-Auth Maint'!$A$48:$N$80,14,FALSE),0)</f>
        <v>0</v>
      </c>
      <c r="L26" s="3">
        <f>IFERROR(VLOOKUP(A26,'3rd Party Maint'!$A$46:$N$79,14,FALSE),0)</f>
        <v>62.698495052615726</v>
      </c>
      <c r="N26" s="2">
        <f t="shared" si="1"/>
        <v>62.698495052615726</v>
      </c>
    </row>
    <row r="27" spans="1:14">
      <c r="A27" s="1" t="s">
        <v>37</v>
      </c>
      <c r="B27" t="s">
        <v>54</v>
      </c>
      <c r="C27" s="3">
        <f>IFERROR(VLOOKUP(A27,'Own-Auth Maint'!$A$1:$N$34,14,FALSE),0)</f>
        <v>10453.205329670329</v>
      </c>
      <c r="E27" s="3">
        <f>IFERROR(VLOOKUP(A27,'3rd Party Maint'!$A$2:$N$36,14,FALSE),0)</f>
        <v>8230.8691483516486</v>
      </c>
      <c r="G27" s="2">
        <f t="shared" si="0"/>
        <v>18684.074478021976</v>
      </c>
      <c r="H27" s="2"/>
      <c r="J27" s="3">
        <f>IFERROR(VLOOKUP(A27,'Own-Auth Maint'!$A$48:$N$80,14,FALSE),0)</f>
        <v>13811.377018060026</v>
      </c>
      <c r="L27" s="3">
        <f>IFERROR(VLOOKUP(A27,'3rd Party Maint'!$A$46:$N$79,14,FALSE),0)</f>
        <v>10869.569120027831</v>
      </c>
      <c r="N27" s="2">
        <f t="shared" si="1"/>
        <v>24680.946138087857</v>
      </c>
    </row>
    <row r="28" spans="1:14">
      <c r="A28" s="1" t="s">
        <v>36</v>
      </c>
      <c r="B28" t="s">
        <v>54</v>
      </c>
      <c r="C28" s="3">
        <f>IFERROR(VLOOKUP(A28,'Own-Auth Maint'!$A$1:$N$34,14,FALSE),0)</f>
        <v>21681.70208791209</v>
      </c>
      <c r="E28" s="3">
        <f>IFERROR(VLOOKUP(A28,'3rd Party Maint'!$A$2:$N$36,14,FALSE),0)</f>
        <v>7327.2364560439564</v>
      </c>
      <c r="G28" s="2">
        <f t="shared" si="0"/>
        <v>29008.938543956046</v>
      </c>
      <c r="H28" s="2"/>
      <c r="J28" s="3">
        <f>IFERROR(VLOOKUP(A28,'Own-Auth Maint'!$A$48:$N$80,14,FALSE),0)</f>
        <v>28635.31530591485</v>
      </c>
      <c r="L28" s="3">
        <f>IFERROR(VLOOKUP(A28,'3rd Party Maint'!$A$46:$N$79,14,FALSE),0)</f>
        <v>9676.4622840084958</v>
      </c>
      <c r="N28" s="2">
        <f t="shared" si="1"/>
        <v>38311.777589923346</v>
      </c>
    </row>
    <row r="29" spans="1:14">
      <c r="A29" s="1" t="s">
        <v>48</v>
      </c>
      <c r="B29" t="s">
        <v>54</v>
      </c>
      <c r="C29" s="3">
        <f>IFERROR(VLOOKUP(A29,'Own-Auth Maint'!$A$1:$N$34,14,FALSE),0)</f>
        <v>0</v>
      </c>
      <c r="E29" s="3">
        <f>IFERROR(VLOOKUP(A29,'3rd Party Maint'!$A$2:$N$36,14,FALSE),0)</f>
        <v>0</v>
      </c>
      <c r="G29" s="2">
        <f t="shared" si="0"/>
        <v>0</v>
      </c>
      <c r="H29" s="2"/>
      <c r="J29" s="3">
        <f>IFERROR(VLOOKUP(A29,'Own-Auth Maint'!$A$48:$N$80,14,FALSE),0)</f>
        <v>0</v>
      </c>
      <c r="L29" s="3">
        <f>IFERROR(VLOOKUP(A29,'3rd Party Maint'!$A$46:$N$79,14,FALSE),0)</f>
        <v>0</v>
      </c>
      <c r="N29" s="2">
        <f t="shared" si="1"/>
        <v>0</v>
      </c>
    </row>
    <row r="30" spans="1:14">
      <c r="A30" s="1" t="s">
        <v>39</v>
      </c>
      <c r="B30" t="s">
        <v>54</v>
      </c>
      <c r="C30" s="3">
        <f>IFERROR(VLOOKUP(A30,'Own-Auth Maint'!$A$1:$N$34,14,FALSE),0)</f>
        <v>15514.790384615382</v>
      </c>
      <c r="E30" s="3">
        <f>IFERROR(VLOOKUP(A30,'3rd Party Maint'!$A$2:$N$36,14,FALSE),0)</f>
        <v>4573.965302197802</v>
      </c>
      <c r="G30" s="2">
        <f t="shared" si="0"/>
        <v>20088.755686813183</v>
      </c>
      <c r="H30" s="2"/>
      <c r="J30" s="3">
        <f>IFERROR(VLOOKUP(A30,'Own-Auth Maint'!$A$48:$N$80,14,FALSE),0)</f>
        <v>20497.075323295339</v>
      </c>
      <c r="L30" s="3">
        <f>IFERROR(VLOOKUP(A30,'3rd Party Maint'!$A$46:$N$79,14,FALSE),0)</f>
        <v>6042.6391787512111</v>
      </c>
      <c r="N30" s="2">
        <f t="shared" si="1"/>
        <v>26539.71450204655</v>
      </c>
    </row>
    <row r="31" spans="1:14">
      <c r="A31" s="1" t="s">
        <v>12</v>
      </c>
      <c r="B31" t="s">
        <v>54</v>
      </c>
      <c r="C31" s="3">
        <f>IFERROR(VLOOKUP(A31,'Own-Auth Maint'!$A$1:$N$34,14,FALSE),0)</f>
        <v>734506.1842453531</v>
      </c>
      <c r="E31" s="3">
        <f>IFERROR(VLOOKUP(A31,'3rd Party Maint'!$A$2:$N$36,14,FALSE),0)</f>
        <v>95028.649780219785</v>
      </c>
      <c r="G31" s="2">
        <f t="shared" si="0"/>
        <v>829534.83402557287</v>
      </c>
      <c r="H31" s="2"/>
      <c r="J31" s="3">
        <f>IFERROR(VLOOKUP(A31,'Own-Auth Maint'!$A$48:$N$80,14,FALSE),0)</f>
        <v>970306.54531830223</v>
      </c>
      <c r="L31" s="3">
        <f>IFERROR(VLOOKUP(A31,'3rd Party Maint'!$A$46:$N$79,14,FALSE),0)</f>
        <v>125490.97616752113</v>
      </c>
      <c r="N31" s="2">
        <f t="shared" si="1"/>
        <v>1095797.5214858234</v>
      </c>
    </row>
    <row r="32" spans="1:14">
      <c r="A32" s="1" t="s">
        <v>16</v>
      </c>
      <c r="B32" t="s">
        <v>60</v>
      </c>
      <c r="C32" s="3">
        <f>IFERROR(VLOOKUP(A32,'Own-Auth Maint'!$A$1:$N$34,14,FALSE),0)</f>
        <v>164612.18208791211</v>
      </c>
      <c r="E32" s="3">
        <f>IFERROR(VLOOKUP(A32,'3rd Party Maint'!$A$2:$N$36,14,FALSE),0)</f>
        <v>27197.715934065938</v>
      </c>
      <c r="G32" s="2">
        <f t="shared" si="0"/>
        <v>191809.89802197804</v>
      </c>
      <c r="H32" s="2"/>
      <c r="J32" s="3">
        <f>IFERROR(VLOOKUP(A32,'Own-Auth Maint'!$A$48:$N$80,14,FALSE),0)</f>
        <v>217391.04328804149</v>
      </c>
      <c r="L32" s="3">
        <f>IFERROR(VLOOKUP(A32,'3rd Party Maint'!$A$46:$N$79,14,FALSE),0)</f>
        <v>35911.573224323052</v>
      </c>
      <c r="N32" s="2">
        <f t="shared" si="1"/>
        <v>253302.61651236453</v>
      </c>
    </row>
    <row r="33" spans="1:14">
      <c r="A33" s="1" t="s">
        <v>43</v>
      </c>
      <c r="B33" t="s">
        <v>54</v>
      </c>
      <c r="C33" s="3">
        <f>IFERROR(VLOOKUP(A33,'Own-Auth Maint'!$A$1:$N$34,14,FALSE),0)</f>
        <v>9230.76</v>
      </c>
      <c r="E33" s="3">
        <f>IFERROR(VLOOKUP(A33,'3rd Party Maint'!$A$2:$N$36,14,FALSE),0)</f>
        <v>1224.4208516483518</v>
      </c>
      <c r="G33" s="2">
        <f t="shared" si="0"/>
        <v>10455.180851648352</v>
      </c>
      <c r="H33" s="2"/>
      <c r="J33" s="3">
        <f>IFERROR(VLOOKUP(A33,'Own-Auth Maint'!$A$48:$N$80,14,FALSE),0)</f>
        <v>12091.433853830293</v>
      </c>
      <c r="L33" s="3">
        <f>IFERROR(VLOOKUP(A33,'3rd Party Maint'!$A$46:$N$79,14,FALSE),0)</f>
        <v>1617.1809161244346</v>
      </c>
      <c r="N33" s="2">
        <f t="shared" si="1"/>
        <v>13708.614769954727</v>
      </c>
    </row>
    <row r="34" spans="1:14">
      <c r="A34" s="1" t="s">
        <v>30</v>
      </c>
      <c r="B34" t="s">
        <v>54</v>
      </c>
      <c r="C34" s="3">
        <f>IFERROR(VLOOKUP(A34,'Own-Auth Maint'!$A$1:$N$34,14,FALSE),0)</f>
        <v>44209.276635672009</v>
      </c>
      <c r="E34" s="3">
        <f>IFERROR(VLOOKUP(A34,'3rd Party Maint'!$A$2:$N$36,14,FALSE),0)</f>
        <v>5508.8534615384615</v>
      </c>
      <c r="G34" s="2">
        <f t="shared" si="0"/>
        <v>49718.130097210473</v>
      </c>
      <c r="H34" s="2"/>
      <c r="J34" s="3">
        <f>IFERROR(VLOOKUP(A34,'Own-Auth Maint'!$A$48:$N$80,14,FALSE),0)</f>
        <v>58399.246680865108</v>
      </c>
      <c r="L34" s="3">
        <f>IFERROR(VLOOKUP(A34,'3rd Party Maint'!$A$46:$N$79,14,FALSE),0)</f>
        <v>7275.1373581650005</v>
      </c>
      <c r="N34" s="2">
        <f t="shared" si="1"/>
        <v>65674.384039030105</v>
      </c>
    </row>
    <row r="35" spans="1:14">
      <c r="A35" s="1" t="s">
        <v>17</v>
      </c>
      <c r="B35" t="s">
        <v>54</v>
      </c>
      <c r="C35" s="3">
        <f>IFERROR(VLOOKUP(A35,'Own-Auth Maint'!$A$1:$N$34,14,FALSE),0)</f>
        <v>111032.14022846306</v>
      </c>
      <c r="E35" s="3">
        <f>IFERROR(VLOOKUP(A35,'3rd Party Maint'!$A$2:$N$36,14,FALSE),0)</f>
        <v>22610.067719780218</v>
      </c>
      <c r="G35" s="2">
        <f t="shared" si="0"/>
        <v>133642.20794824327</v>
      </c>
      <c r="H35" s="2"/>
      <c r="J35" s="3">
        <f>IFERROR(VLOOKUP(A35,'Own-Auth Maint'!$A$48:$N$80,14,FALSE),0)</f>
        <v>146806.03717611582</v>
      </c>
      <c r="L35" s="3">
        <f>IFERROR(VLOOKUP(A35,'3rd Party Maint'!$A$46:$N$79,14,FALSE),0)</f>
        <v>29870.831322878243</v>
      </c>
      <c r="N35" s="2">
        <f t="shared" si="1"/>
        <v>176676.86849899407</v>
      </c>
    </row>
    <row r="36" spans="1:14">
      <c r="A36" s="1" t="s">
        <v>41</v>
      </c>
      <c r="B36" t="s">
        <v>54</v>
      </c>
      <c r="C36" s="3">
        <f>IFERROR(VLOOKUP(A36,'Own-Auth Maint'!$A$1:$N$34,14,FALSE),0)</f>
        <v>13825.316510989011</v>
      </c>
      <c r="E36" s="3">
        <f>IFERROR(VLOOKUP(A36,'3rd Party Maint'!$A$2:$N$36,14,FALSE),0)</f>
        <v>3963.6082423603784</v>
      </c>
      <c r="G36" s="2">
        <f t="shared" si="0"/>
        <v>17788.924753349391</v>
      </c>
      <c r="H36" s="2"/>
      <c r="J36" s="3">
        <f>IFERROR(VLOOKUP(A36,'Own-Auth Maint'!$A$48:$N$80,14,FALSE),0)</f>
        <v>18265.63890353854</v>
      </c>
      <c r="L36" s="3">
        <f>IFERROR(VLOOKUP(A36,'3rd Party Maint'!$A$46:$N$79,14,FALSE),0)</f>
        <v>5225.0642070613903</v>
      </c>
      <c r="N36" s="2">
        <f t="shared" si="1"/>
        <v>23490.70311059993</v>
      </c>
    </row>
    <row r="37" spans="1:14">
      <c r="A37" s="1" t="s">
        <v>14</v>
      </c>
      <c r="B37" t="s">
        <v>54</v>
      </c>
      <c r="C37" s="3">
        <f>IFERROR(VLOOKUP(A37,'Own-Auth Maint'!$A$1:$N$34,14,FALSE),0)</f>
        <v>259625.51571870578</v>
      </c>
      <c r="E37" s="3">
        <f>IFERROR(VLOOKUP(A37,'3rd Party Maint'!$A$2:$N$36,14,FALSE),0)</f>
        <v>60357.161950549445</v>
      </c>
      <c r="G37" s="2">
        <f t="shared" si="0"/>
        <v>319982.67766925524</v>
      </c>
      <c r="H37" s="2"/>
      <c r="J37" s="3">
        <f>IFERROR(VLOOKUP(A37,'Own-Auth Maint'!$A$48:$N$80,14,FALSE),0)</f>
        <v>342920.08227103244</v>
      </c>
      <c r="L37" s="3">
        <f>IFERROR(VLOOKUP(A37,'3rd Party Maint'!$A$46:$N$79,14,FALSE),0)</f>
        <v>79738.074954115902</v>
      </c>
      <c r="N37" s="2">
        <f t="shared" si="1"/>
        <v>422658.15722514834</v>
      </c>
    </row>
    <row r="38" spans="1:14">
      <c r="A38" s="1" t="s">
        <v>44</v>
      </c>
      <c r="B38" t="s">
        <v>55</v>
      </c>
      <c r="C38" s="3">
        <f>IFERROR(VLOOKUP(A38,'Own-Auth Maint'!$A$1:$N$34,14,FALSE),0)</f>
        <v>0</v>
      </c>
      <c r="E38" s="3">
        <f>IFERROR(VLOOKUP(A38,'3rd Party Maint'!$A$2:$N$36,14,FALSE),0)</f>
        <v>0</v>
      </c>
      <c r="G38" s="2">
        <f t="shared" si="0"/>
        <v>0</v>
      </c>
      <c r="H38" s="2"/>
      <c r="J38" s="3">
        <f>IFERROR(VLOOKUP(A38,'Own-Auth Maint'!$A$48:$N$80,14,FALSE),0)</f>
        <v>0</v>
      </c>
      <c r="L38" s="3">
        <f>IFERROR(VLOOKUP(A38,'3rd Party Maint'!$A$46:$N$79,14,FALSE),0)</f>
        <v>0</v>
      </c>
      <c r="N38" s="2">
        <f t="shared" si="1"/>
        <v>0</v>
      </c>
    </row>
    <row r="39" spans="1:14">
      <c r="A39" s="1" t="s">
        <v>25</v>
      </c>
      <c r="B39" t="s">
        <v>54</v>
      </c>
      <c r="C39" s="3">
        <f>IFERROR(VLOOKUP(A39,'Own-Auth Maint'!$A$1:$N$34,14,FALSE),0)</f>
        <v>62924.871126373648</v>
      </c>
      <c r="E39" s="3">
        <f>IFERROR(VLOOKUP(A39,'3rd Party Maint'!$A$2:$N$36,14,FALSE),0)</f>
        <v>10127.641456043957</v>
      </c>
      <c r="G39" s="2">
        <f t="shared" si="0"/>
        <v>73052.512582417607</v>
      </c>
      <c r="H39" s="2"/>
      <c r="J39" s="3">
        <f>IFERROR(VLOOKUP(A39,'Own-Auth Maint'!$A$48:$N$80,14,FALSE),0)</f>
        <v>83109.184135709991</v>
      </c>
      <c r="L39" s="3">
        <f>IFERROR(VLOOKUP(A39,'3rd Party Maint'!$A$46:$N$79,14,FALSE),0)</f>
        <v>13377.027492162706</v>
      </c>
      <c r="N39" s="2">
        <f t="shared" si="1"/>
        <v>96486.21162787269</v>
      </c>
    </row>
    <row r="40" spans="1:14">
      <c r="A40" s="1" t="s">
        <v>13</v>
      </c>
      <c r="B40" t="s">
        <v>58</v>
      </c>
      <c r="C40" s="3">
        <f>IFERROR(VLOOKUP(A40,'Own-Auth Maint'!$A$1:$N$34,14,FALSE),0)</f>
        <v>457742.09721912083</v>
      </c>
      <c r="E40" s="3">
        <f>IFERROR(VLOOKUP(A40,'3rd Party Maint'!$A$2:$N$36,14,FALSE),0)</f>
        <v>11736.327695852535</v>
      </c>
      <c r="G40" s="2">
        <f t="shared" si="0"/>
        <v>469478.42491497338</v>
      </c>
      <c r="H40" s="2"/>
      <c r="J40" s="3">
        <f>IFERROR(VLOOKUP(A40,'Own-Auth Maint'!$A$48:$N$80,14,FALSE),0)</f>
        <v>604467.31939057633</v>
      </c>
      <c r="L40" s="3">
        <f>IFERROR(VLOOKUP(A40,'3rd Party Maint'!$A$46:$N$79,14,FALSE),0)</f>
        <v>15506.460181519993</v>
      </c>
      <c r="N40" s="2">
        <f t="shared" si="1"/>
        <v>619973.7795720963</v>
      </c>
    </row>
    <row r="41" spans="1:14">
      <c r="A41" s="1" t="s">
        <v>15</v>
      </c>
      <c r="B41" t="s">
        <v>54</v>
      </c>
      <c r="C41" s="3">
        <f>IFERROR(VLOOKUP(A41,'Own-Auth Maint'!$A$1:$N$34,14,FALSE),0)</f>
        <v>59073.483888466537</v>
      </c>
      <c r="E41" s="3">
        <f>IFERROR(VLOOKUP(A41,'3rd Party Maint'!$A$2:$N$36,14,FALSE),0)</f>
        <v>109630.68735375581</v>
      </c>
      <c r="G41" s="2">
        <f t="shared" si="0"/>
        <v>168704.17124222236</v>
      </c>
      <c r="H41" s="2"/>
      <c r="J41" s="50">
        <f>IFERROR(VLOOKUP(A41,'Own-Auth Maint'!$A$48:$N$80,14,FALSE),0)</f>
        <v>77980.480715239319</v>
      </c>
      <c r="L41" s="3">
        <f>IFERROR(VLOOKUP(A41,'3rd Party Maint'!$A$46:$N$79,14,FALSE),0)</f>
        <v>144804.26765230153</v>
      </c>
      <c r="N41" s="2">
        <f t="shared" si="1"/>
        <v>222784.74836754083</v>
      </c>
    </row>
    <row r="42" spans="1:14">
      <c r="E42" s="3">
        <f>IFERROR(VLOOKUP(A42,'3rd Party Maint'!#REF!,8,FALSE),0)</f>
        <v>0</v>
      </c>
      <c r="J42" s="3">
        <f>IFERROR(VLOOKUP(A42,'Own-Auth Maint'!$A$48:$N$80,14,FALSE),0)</f>
        <v>0</v>
      </c>
    </row>
    <row r="43" spans="1:14">
      <c r="C43" s="2">
        <f>SUM(C2:C42)</f>
        <v>4240482.8986554826</v>
      </c>
      <c r="D43" s="2">
        <f t="shared" ref="D43:E43" si="2">SUM(D2:D42)</f>
        <v>0</v>
      </c>
      <c r="E43" s="2">
        <f t="shared" si="2"/>
        <v>708933.64157082117</v>
      </c>
      <c r="G43" s="2">
        <f>SUM(G2:G42)</f>
        <v>4949416.540226304</v>
      </c>
      <c r="H43" s="2"/>
      <c r="J43" s="2">
        <f>SUM(J2:J42)</f>
        <v>5600423.2101009097</v>
      </c>
      <c r="L43" s="2">
        <f>SUM(L2:L42)</f>
        <v>936381.73721031821</v>
      </c>
      <c r="N43" s="96">
        <f>SUM(N2:N42)</f>
        <v>6536804.9473112291</v>
      </c>
    </row>
    <row r="45" spans="1:14">
      <c r="G45" s="2"/>
      <c r="H45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D896E-4D9C-4C5D-929C-3A3EBAE05CDA}">
  <dimension ref="A1:N82"/>
  <sheetViews>
    <sheetView topLeftCell="A42" workbookViewId="0">
      <selection activeCell="N79" sqref="N79"/>
    </sheetView>
  </sheetViews>
  <sheetFormatPr defaultRowHeight="14.45"/>
  <cols>
    <col min="1" max="1" width="30.140625" bestFit="1" customWidth="1"/>
    <col min="2" max="2" width="12.7109375" bestFit="1" customWidth="1"/>
    <col min="3" max="4" width="13" bestFit="1" customWidth="1"/>
    <col min="5" max="5" width="12.7109375" bestFit="1" customWidth="1"/>
    <col min="6" max="6" width="13.28515625" bestFit="1" customWidth="1"/>
    <col min="7" max="7" width="12.7109375" bestFit="1" customWidth="1"/>
    <col min="8" max="8" width="12.140625" bestFit="1" customWidth="1"/>
    <col min="9" max="9" width="13" bestFit="1" customWidth="1"/>
    <col min="10" max="10" width="13.28515625" bestFit="1" customWidth="1"/>
    <col min="11" max="11" width="12.7109375" bestFit="1" customWidth="1"/>
    <col min="12" max="13" width="13.28515625" bestFit="1" customWidth="1"/>
    <col min="14" max="14" width="22.7109375" bestFit="1" customWidth="1"/>
  </cols>
  <sheetData>
    <row r="1" spans="1:14">
      <c r="A1" s="5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</row>
    <row r="2" spans="1:14">
      <c r="A2" s="1" t="s">
        <v>20</v>
      </c>
      <c r="B2" s="2">
        <v>7147.8356164383567</v>
      </c>
      <c r="C2" s="2">
        <v>6456.1095890410961</v>
      </c>
      <c r="D2" s="52">
        <v>7407.6069230769226</v>
      </c>
      <c r="E2" s="2">
        <v>7185.9692307692303</v>
      </c>
      <c r="F2" s="2">
        <v>7425.5015384615381</v>
      </c>
      <c r="G2" s="2">
        <v>7185.9692307692303</v>
      </c>
      <c r="H2" s="2">
        <v>7425.5015384615381</v>
      </c>
      <c r="I2" s="2">
        <v>7425.5015384615381</v>
      </c>
      <c r="J2" s="2">
        <v>7185.9692307692303</v>
      </c>
      <c r="K2" s="2">
        <v>7425.5015384615381</v>
      </c>
      <c r="L2" s="2">
        <v>7185.9692307692303</v>
      </c>
      <c r="M2" s="2">
        <v>7425.5015384615381</v>
      </c>
      <c r="N2" s="2">
        <v>86882.936743940998</v>
      </c>
    </row>
    <row r="3" spans="1:14">
      <c r="A3" s="1" t="s">
        <v>35</v>
      </c>
      <c r="B3" s="2">
        <v>2546.1236813186811</v>
      </c>
      <c r="C3" s="2">
        <v>2299.7246153846154</v>
      </c>
      <c r="D3" s="52">
        <v>2546.1236813186811</v>
      </c>
      <c r="E3" s="2">
        <v>2463.990659340659</v>
      </c>
      <c r="F3" s="2">
        <v>2546.1236813186811</v>
      </c>
      <c r="G3" s="2">
        <v>2381.86</v>
      </c>
      <c r="H3" s="2">
        <v>2678.5226373626374</v>
      </c>
      <c r="I3" s="2">
        <v>2678.5226373626374</v>
      </c>
      <c r="J3" s="2">
        <v>2592.1186813186814</v>
      </c>
      <c r="K3" s="2">
        <v>2678.5226373626374</v>
      </c>
      <c r="L3" s="2">
        <v>2592.1186813186814</v>
      </c>
      <c r="M3" s="2">
        <v>2678.5226373626374</v>
      </c>
      <c r="N3" s="2">
        <v>30682.274230769232</v>
      </c>
    </row>
    <row r="4" spans="1:14">
      <c r="A4" s="1" t="s">
        <v>31</v>
      </c>
      <c r="B4" s="2">
        <v>4227.5662362637368</v>
      </c>
      <c r="C4" s="2">
        <v>3818.4469230769232</v>
      </c>
      <c r="D4" s="52">
        <v>4227.5662362637368</v>
      </c>
      <c r="E4" s="2">
        <v>4091.1931318681318</v>
      </c>
      <c r="F4" s="2">
        <v>8318.76</v>
      </c>
      <c r="G4" s="2"/>
      <c r="H4" s="2"/>
      <c r="I4" s="2"/>
      <c r="J4" s="2"/>
      <c r="K4" s="2"/>
      <c r="L4" s="2"/>
      <c r="M4" s="2"/>
      <c r="N4" s="2">
        <v>24683.532527472526</v>
      </c>
    </row>
    <row r="5" spans="1:14">
      <c r="A5" s="1" t="s">
        <v>32</v>
      </c>
      <c r="B5" s="2">
        <v>983.65384615384608</v>
      </c>
      <c r="C5" s="2">
        <v>888.46153846153845</v>
      </c>
      <c r="D5" s="2">
        <v>983.65384615384608</v>
      </c>
      <c r="E5" s="2">
        <v>951.92307692307691</v>
      </c>
      <c r="F5" s="2">
        <v>983.65384615384608</v>
      </c>
      <c r="G5" s="2">
        <v>951.92307692307691</v>
      </c>
      <c r="H5" s="2">
        <v>983.65384615384608</v>
      </c>
      <c r="I5" s="2">
        <v>951.92</v>
      </c>
      <c r="J5" s="2">
        <v>1019.8451252493904</v>
      </c>
      <c r="K5" s="2">
        <v>1080.0922278873866</v>
      </c>
      <c r="L5" s="2">
        <v>1045.2505431168256</v>
      </c>
      <c r="M5" s="2">
        <v>1080.0922278873866</v>
      </c>
      <c r="N5" s="2">
        <v>11904.123201064065</v>
      </c>
    </row>
    <row r="6" spans="1:14">
      <c r="A6" s="1" t="s">
        <v>27</v>
      </c>
      <c r="B6" s="2">
        <v>3833.9</v>
      </c>
      <c r="C6" s="2">
        <v>3833.9</v>
      </c>
      <c r="D6" s="52">
        <v>3833.9</v>
      </c>
      <c r="E6" s="2">
        <v>3833.9</v>
      </c>
      <c r="F6" s="2">
        <v>3833.9</v>
      </c>
      <c r="G6" s="2">
        <v>3833.9</v>
      </c>
      <c r="H6" s="2">
        <v>3990.59</v>
      </c>
      <c r="I6" s="2">
        <v>3990.59</v>
      </c>
      <c r="J6" s="2">
        <v>3990.59</v>
      </c>
      <c r="K6" s="2">
        <v>3990.59</v>
      </c>
      <c r="L6" s="2">
        <v>3990.59</v>
      </c>
      <c r="M6" s="2">
        <v>3990.59</v>
      </c>
      <c r="N6" s="2">
        <v>46946.939999999988</v>
      </c>
    </row>
    <row r="7" spans="1:14">
      <c r="A7" s="1" t="s">
        <v>22</v>
      </c>
      <c r="B7" s="2">
        <v>4764.6476923076916</v>
      </c>
      <c r="C7" s="2">
        <v>4307.7636195054956</v>
      </c>
      <c r="D7" s="52">
        <v>4822.5846974928218</v>
      </c>
      <c r="E7" s="2">
        <v>4684.6433706217558</v>
      </c>
      <c r="F7" s="2">
        <v>4850.190156759918</v>
      </c>
      <c r="G7" s="2">
        <v>4693.7324097676637</v>
      </c>
      <c r="H7" s="2">
        <v>4852.2526854955504</v>
      </c>
      <c r="I7" s="2">
        <v>4914.1285475645154</v>
      </c>
      <c r="J7" s="2">
        <v>4755.6082718366297</v>
      </c>
      <c r="K7" s="2">
        <v>4919.9553768328078</v>
      </c>
      <c r="L7" s="2">
        <v>4930.4131498854103</v>
      </c>
      <c r="M7" s="2">
        <v>5094.7602548815885</v>
      </c>
      <c r="N7" s="2">
        <v>57590.68023295184</v>
      </c>
    </row>
    <row r="8" spans="1:14">
      <c r="A8" s="1" t="s">
        <v>29</v>
      </c>
      <c r="B8" s="2">
        <v>4004.2921428571431</v>
      </c>
      <c r="C8" s="2">
        <v>3616.78</v>
      </c>
      <c r="D8" s="52">
        <v>4004.2921428571431</v>
      </c>
      <c r="E8" s="2">
        <v>3875.1214285714291</v>
      </c>
      <c r="F8" s="2">
        <v>4004.2921428571431</v>
      </c>
      <c r="G8" s="2">
        <v>3875.1214285714291</v>
      </c>
      <c r="H8" s="2">
        <v>4004.2921428571431</v>
      </c>
      <c r="I8" s="2">
        <v>4004.2921428571431</v>
      </c>
      <c r="J8" s="2">
        <v>3745.95</v>
      </c>
      <c r="K8" s="2">
        <v>4193.0634065934073</v>
      </c>
      <c r="L8" s="2">
        <v>4057.8032967032968</v>
      </c>
      <c r="M8" s="2">
        <v>4193.0634065934073</v>
      </c>
      <c r="N8" s="2">
        <v>47578.363681318682</v>
      </c>
    </row>
    <row r="9" spans="1:14">
      <c r="A9" s="1" t="s">
        <v>18</v>
      </c>
      <c r="B9" s="2">
        <v>4514.6324740124746</v>
      </c>
      <c r="C9" s="2">
        <v>4077.7325571725573</v>
      </c>
      <c r="D9" s="52">
        <v>4519.8505219780218</v>
      </c>
      <c r="E9" s="2">
        <v>4525.5156593406591</v>
      </c>
      <c r="F9" s="2">
        <v>4676.3661813186809</v>
      </c>
      <c r="G9" s="2">
        <v>4525.5156593406591</v>
      </c>
      <c r="H9" s="2">
        <v>4676.3661813186809</v>
      </c>
      <c r="I9" s="2">
        <v>4676.3661813186809</v>
      </c>
      <c r="J9" s="2">
        <v>4525.5156593406591</v>
      </c>
      <c r="K9" s="2">
        <v>4676.3661813186809</v>
      </c>
      <c r="L9" s="2">
        <v>4525.5156593406591</v>
      </c>
      <c r="M9" s="2">
        <v>4723.6257267732262</v>
      </c>
      <c r="N9" s="2">
        <v>54643.368642573645</v>
      </c>
    </row>
    <row r="10" spans="1:14">
      <c r="A10" s="1" t="s">
        <v>40</v>
      </c>
      <c r="B10" s="2">
        <v>1473.7272252747252</v>
      </c>
      <c r="C10" s="2">
        <v>1331.1084615384616</v>
      </c>
      <c r="D10" s="52">
        <v>1473.7272252747252</v>
      </c>
      <c r="E10" s="2">
        <v>1426.1876373626374</v>
      </c>
      <c r="F10" s="2">
        <v>665.55</v>
      </c>
      <c r="G10" s="2"/>
      <c r="H10" s="2"/>
      <c r="I10" s="2"/>
      <c r="J10" s="2"/>
      <c r="K10" s="2"/>
      <c r="L10" s="2"/>
      <c r="M10" s="2"/>
      <c r="N10" s="2">
        <v>6370.3005494505496</v>
      </c>
    </row>
    <row r="11" spans="1:14">
      <c r="A11" s="1" t="s">
        <v>28</v>
      </c>
      <c r="B11" s="2">
        <v>4418.6972252747255</v>
      </c>
      <c r="C11" s="2">
        <v>4123.4823076923076</v>
      </c>
      <c r="D11" s="52">
        <v>4565.2839835164832</v>
      </c>
      <c r="E11" s="2">
        <v>4418.016758241758</v>
      </c>
      <c r="F11" s="2">
        <v>4565.2839835164832</v>
      </c>
      <c r="G11" s="2">
        <v>4418.016758241758</v>
      </c>
      <c r="H11" s="2">
        <v>4572.4204045691149</v>
      </c>
      <c r="I11" s="2">
        <v>4592.9376150954304</v>
      </c>
      <c r="J11" s="2">
        <v>4444.7783371891264</v>
      </c>
      <c r="K11" s="2">
        <v>4592.9376150954304</v>
      </c>
      <c r="L11" s="2">
        <v>4444.7783371891264</v>
      </c>
      <c r="M11" s="2">
        <v>4592.9376150954304</v>
      </c>
      <c r="N11" s="2">
        <v>53749.570940717182</v>
      </c>
    </row>
    <row r="12" spans="1:14">
      <c r="A12" s="1" t="s">
        <v>46</v>
      </c>
      <c r="B12" s="2">
        <v>76.025796703296706</v>
      </c>
      <c r="C12" s="2">
        <v>68.668461538461543</v>
      </c>
      <c r="D12" s="52">
        <v>76.025796703296706</v>
      </c>
      <c r="E12" s="2">
        <v>73.573351648351661</v>
      </c>
      <c r="F12" s="2">
        <v>76.025796703296706</v>
      </c>
      <c r="G12" s="2">
        <v>73.573351648351661</v>
      </c>
      <c r="H12" s="2">
        <v>76.025796703296706</v>
      </c>
      <c r="I12" s="2">
        <v>76.025796703296706</v>
      </c>
      <c r="J12" s="2">
        <v>73.573351648351661</v>
      </c>
      <c r="K12" s="2">
        <v>76.025796703296706</v>
      </c>
      <c r="L12" s="2">
        <v>71.35049450549451</v>
      </c>
      <c r="M12" s="2">
        <v>79.522664835164832</v>
      </c>
      <c r="N12" s="2">
        <v>896.41645604395603</v>
      </c>
    </row>
    <row r="13" spans="1:14">
      <c r="A13" s="1" t="s">
        <v>26</v>
      </c>
      <c r="B13" s="2">
        <v>2268.576593406593</v>
      </c>
      <c r="C13" s="2">
        <v>2049.0369230769229</v>
      </c>
      <c r="D13" s="52">
        <v>2268.576593406593</v>
      </c>
      <c r="E13" s="2">
        <v>2195.3967032967025</v>
      </c>
      <c r="F13" s="2">
        <v>2268.576593406593</v>
      </c>
      <c r="G13" s="2">
        <v>2123.2600000000002</v>
      </c>
      <c r="H13" s="2">
        <v>2539.3019780219779</v>
      </c>
      <c r="I13" s="2">
        <v>2539.3019780219779</v>
      </c>
      <c r="J13" s="2">
        <v>2457.3890109890108</v>
      </c>
      <c r="K13" s="2">
        <v>2539.3019780219779</v>
      </c>
      <c r="L13" s="2">
        <v>2457.3890109890108</v>
      </c>
      <c r="M13" s="2">
        <v>2539.3019780219779</v>
      </c>
      <c r="N13" s="2">
        <v>28245.409340659338</v>
      </c>
    </row>
    <row r="14" spans="1:14">
      <c r="A14" s="1" t="s">
        <v>11</v>
      </c>
      <c r="B14" s="2">
        <v>125277.13142857143</v>
      </c>
      <c r="C14" s="2">
        <v>112293.32</v>
      </c>
      <c r="D14" s="52">
        <v>124324.74714285714</v>
      </c>
      <c r="E14" s="2">
        <v>120314.27142857143</v>
      </c>
      <c r="F14" s="2">
        <v>124324.74714285714</v>
      </c>
      <c r="G14" s="2">
        <v>120314.27142857143</v>
      </c>
      <c r="H14" s="2">
        <v>124324.74714285714</v>
      </c>
      <c r="I14" s="2">
        <v>124324.74714285714</v>
      </c>
      <c r="J14" s="2">
        <v>120314.27142857143</v>
      </c>
      <c r="K14" s="2">
        <v>124324.74714285714</v>
      </c>
      <c r="L14" s="2">
        <v>120314.27142857143</v>
      </c>
      <c r="M14" s="2">
        <v>119361.89</v>
      </c>
      <c r="N14" s="2">
        <v>1459813.162857143</v>
      </c>
    </row>
    <row r="15" spans="1:14">
      <c r="A15" s="1" t="s">
        <v>42</v>
      </c>
      <c r="B15" s="2">
        <v>1451.2034246575342</v>
      </c>
      <c r="C15" s="2">
        <v>1310.7643835616439</v>
      </c>
      <c r="D15" s="52">
        <v>1451.2034246575342</v>
      </c>
      <c r="E15" s="2">
        <v>1435.3056868131866</v>
      </c>
      <c r="F15" s="2">
        <v>1507.5768406593404</v>
      </c>
      <c r="G15" s="2">
        <v>1458.9453296703296</v>
      </c>
      <c r="H15" s="2">
        <v>1507.5768406593404</v>
      </c>
      <c r="I15" s="2">
        <v>1507.5768406593404</v>
      </c>
      <c r="J15" s="2">
        <v>1458.9453296703296</v>
      </c>
      <c r="K15" s="2">
        <v>1507.5768406593404</v>
      </c>
      <c r="L15" s="2">
        <v>1458.9453296703296</v>
      </c>
      <c r="M15" s="2">
        <v>1507.5768406593404</v>
      </c>
      <c r="N15" s="2">
        <v>17563.19711199759</v>
      </c>
    </row>
    <row r="16" spans="1:14">
      <c r="A16" s="1" t="s">
        <v>21</v>
      </c>
      <c r="B16" s="2">
        <v>6850.3237124662219</v>
      </c>
      <c r="C16" s="2">
        <v>6187.3891596469093</v>
      </c>
      <c r="D16" s="52">
        <v>6850.3237124662219</v>
      </c>
      <c r="E16" s="2">
        <v>6629.3455281931174</v>
      </c>
      <c r="F16" s="2">
        <v>6850.3237124662219</v>
      </c>
      <c r="G16" s="2">
        <v>6629.3455281931174</v>
      </c>
      <c r="H16" s="2">
        <v>6850.3237124662219</v>
      </c>
      <c r="I16" s="2">
        <v>7665.09</v>
      </c>
      <c r="J16" s="2">
        <v>6784.8824175824184</v>
      </c>
      <c r="K16" s="2">
        <v>7011.0451648351655</v>
      </c>
      <c r="L16" s="2">
        <v>6784.8824175824184</v>
      </c>
      <c r="M16" s="2">
        <v>7011.0451648351655</v>
      </c>
      <c r="N16" s="2">
        <v>82104.320230733196</v>
      </c>
    </row>
    <row r="17" spans="1:14">
      <c r="A17" s="1" t="s">
        <v>45</v>
      </c>
      <c r="B17" s="2">
        <v>717.04532967032969</v>
      </c>
      <c r="C17" s="2">
        <v>647.65384615384619</v>
      </c>
      <c r="D17" s="52">
        <v>717.04532967032969</v>
      </c>
      <c r="E17" s="2">
        <v>693.91483516483527</v>
      </c>
      <c r="F17" s="2">
        <v>717.04532967032969</v>
      </c>
      <c r="G17" s="2">
        <v>672.2613186813187</v>
      </c>
      <c r="H17" s="2">
        <v>739.99043956043954</v>
      </c>
      <c r="I17" s="2">
        <v>739.99043956043954</v>
      </c>
      <c r="J17" s="2">
        <v>716.11978021978018</v>
      </c>
      <c r="K17" s="2">
        <v>739.99043956043954</v>
      </c>
      <c r="L17" s="2">
        <v>716.11978021978018</v>
      </c>
      <c r="M17" s="2">
        <v>739.99043956043954</v>
      </c>
      <c r="N17" s="2">
        <v>8557.1673076923089</v>
      </c>
    </row>
    <row r="18" spans="1:14">
      <c r="A18" s="1" t="s">
        <v>19</v>
      </c>
      <c r="B18" s="2">
        <v>6619.4776923076925</v>
      </c>
      <c r="C18" s="2">
        <v>5978.8830769230772</v>
      </c>
      <c r="D18" s="52">
        <v>6619.4776923076925</v>
      </c>
      <c r="E18" s="2">
        <v>6405.9461538461528</v>
      </c>
      <c r="F18" s="2">
        <v>6619.4776923076925</v>
      </c>
      <c r="G18" s="2">
        <v>6413.0826617826606</v>
      </c>
      <c r="H18" s="2">
        <v>6663.7240415140413</v>
      </c>
      <c r="I18" s="2">
        <v>6663.7240415140413</v>
      </c>
      <c r="J18" s="2">
        <v>6448.7652014652003</v>
      </c>
      <c r="K18" s="2">
        <v>6643.0232448107445</v>
      </c>
      <c r="L18" s="2">
        <v>6492.4349816849808</v>
      </c>
      <c r="M18" s="2">
        <v>6518.9256318681319</v>
      </c>
      <c r="N18" s="2">
        <v>78086.942112332137</v>
      </c>
    </row>
    <row r="19" spans="1:14">
      <c r="A19" s="1" t="s">
        <v>24</v>
      </c>
      <c r="B19" s="2">
        <v>6433.2571153846156</v>
      </c>
      <c r="C19" s="2">
        <v>5810.6838461538464</v>
      </c>
      <c r="D19" s="52">
        <v>6433.2571153846156</v>
      </c>
      <c r="E19" s="2">
        <v>6225.7326923076926</v>
      </c>
      <c r="F19" s="2">
        <v>6433.2571153846156</v>
      </c>
      <c r="G19" s="2">
        <v>6225.7326923076926</v>
      </c>
      <c r="H19" s="2">
        <v>6433.2571153846156</v>
      </c>
      <c r="I19" s="2">
        <v>6433.2571153846156</v>
      </c>
      <c r="J19" s="2">
        <v>1444.8958241758241</v>
      </c>
      <c r="K19" s="2">
        <v>6714.7209340659347</v>
      </c>
      <c r="L19" s="2">
        <v>6498.1170329670331</v>
      </c>
      <c r="M19" s="2">
        <v>6718.7351425601428</v>
      </c>
      <c r="N19" s="2">
        <v>71804.903741461239</v>
      </c>
    </row>
    <row r="20" spans="1:14">
      <c r="A20" s="1" t="s">
        <v>23</v>
      </c>
      <c r="B20" s="2">
        <v>6532.7404109589042</v>
      </c>
      <c r="C20" s="2">
        <v>5900.5397260273976</v>
      </c>
      <c r="D20" s="52">
        <v>6532.7404109589042</v>
      </c>
      <c r="E20" s="2">
        <v>6322.0068493150684</v>
      </c>
      <c r="F20" s="2">
        <v>6532.7404109589042</v>
      </c>
      <c r="G20" s="2">
        <v>6322.0068493150684</v>
      </c>
      <c r="H20" s="2">
        <v>6629.9863461538462</v>
      </c>
      <c r="I20" s="2">
        <v>6963.3809615384616</v>
      </c>
      <c r="J20" s="2">
        <v>6738.7557692307691</v>
      </c>
      <c r="K20" s="2">
        <v>6963.3809615384616</v>
      </c>
      <c r="L20" s="2">
        <v>6738.7557692307691</v>
      </c>
      <c r="M20" s="2">
        <v>6963.3809615384616</v>
      </c>
      <c r="N20" s="2">
        <v>79140.415426765016</v>
      </c>
    </row>
    <row r="21" spans="1:14">
      <c r="A21" s="1" t="s">
        <v>33</v>
      </c>
      <c r="B21" s="2"/>
      <c r="C21" s="2"/>
      <c r="D21" s="2"/>
      <c r="E21" s="2">
        <v>9496.9285714285706</v>
      </c>
      <c r="F21" s="2">
        <v>2453.3732142857143</v>
      </c>
      <c r="G21" s="2">
        <v>2374.2321428571427</v>
      </c>
      <c r="H21" s="2">
        <v>2453.3732142857143</v>
      </c>
      <c r="I21" s="2">
        <v>2453.3732142857143</v>
      </c>
      <c r="J21" s="2">
        <v>2374.2321428571427</v>
      </c>
      <c r="K21" s="2">
        <v>2453.3732142857143</v>
      </c>
      <c r="L21" s="2">
        <v>2374.2321428571427</v>
      </c>
      <c r="M21" s="2">
        <v>2374.23</v>
      </c>
      <c r="N21" s="2">
        <v>28807.347857142853</v>
      </c>
    </row>
    <row r="22" spans="1:14">
      <c r="A22" s="1" t="s">
        <v>37</v>
      </c>
      <c r="B22" s="2">
        <v>864.28340659340665</v>
      </c>
      <c r="C22" s="2">
        <v>752.76</v>
      </c>
      <c r="D22" s="52">
        <v>895.16673076923075</v>
      </c>
      <c r="E22" s="2">
        <v>866.2903846153846</v>
      </c>
      <c r="F22" s="2">
        <v>895.16673076923075</v>
      </c>
      <c r="G22" s="2">
        <v>866.2903846153846</v>
      </c>
      <c r="H22" s="2">
        <v>895.16673076923075</v>
      </c>
      <c r="I22" s="2">
        <v>895.16673076923075</v>
      </c>
      <c r="J22" s="2">
        <v>866.2903846153846</v>
      </c>
      <c r="K22" s="2">
        <v>895.16673076923075</v>
      </c>
      <c r="L22" s="2">
        <v>866.2903846153846</v>
      </c>
      <c r="M22" s="2">
        <v>895.16673076923075</v>
      </c>
      <c r="N22" s="2">
        <v>10453.205329670329</v>
      </c>
    </row>
    <row r="23" spans="1:14">
      <c r="A23" s="1" t="s">
        <v>36</v>
      </c>
      <c r="B23" s="2">
        <v>1824.1473076923078</v>
      </c>
      <c r="C23" s="2">
        <v>1647.6169230769231</v>
      </c>
      <c r="D23" s="52">
        <v>1824.1473076923078</v>
      </c>
      <c r="E23" s="2">
        <v>1765.3038461538463</v>
      </c>
      <c r="F23" s="2">
        <v>1824.1473076923078</v>
      </c>
      <c r="G23" s="2">
        <v>1765.3038461538463</v>
      </c>
      <c r="H23" s="2">
        <v>1824.1473076923078</v>
      </c>
      <c r="I23" s="2">
        <v>1824.1473076923078</v>
      </c>
      <c r="J23" s="2">
        <v>1709.2879670329669</v>
      </c>
      <c r="K23" s="2">
        <v>1911.7069780219781</v>
      </c>
      <c r="L23" s="2">
        <v>1850.0390109890111</v>
      </c>
      <c r="M23" s="2">
        <v>1911.7069780219781</v>
      </c>
      <c r="N23" s="2">
        <v>21681.70208791209</v>
      </c>
    </row>
    <row r="24" spans="1:14">
      <c r="A24" s="1" t="s">
        <v>39</v>
      </c>
      <c r="B24" s="2">
        <v>1286.9692582417581</v>
      </c>
      <c r="C24" s="2">
        <v>1162.4238461538462</v>
      </c>
      <c r="D24" s="52">
        <v>1286.9692582417581</v>
      </c>
      <c r="E24" s="2">
        <v>1232.9616758241757</v>
      </c>
      <c r="F24" s="2">
        <v>1334.324313186813</v>
      </c>
      <c r="G24" s="2">
        <v>1291.2815934065934</v>
      </c>
      <c r="H24" s="2">
        <v>1334.324313186813</v>
      </c>
      <c r="I24" s="2">
        <v>1334.324313186813</v>
      </c>
      <c r="J24" s="2">
        <v>1291.2815934065934</v>
      </c>
      <c r="K24" s="2">
        <v>1334.324313186813</v>
      </c>
      <c r="L24" s="2">
        <v>1291.2815934065934</v>
      </c>
      <c r="M24" s="2">
        <v>1334.324313186813</v>
      </c>
      <c r="N24" s="2">
        <v>15514.790384615382</v>
      </c>
    </row>
    <row r="25" spans="1:14">
      <c r="A25" s="1" t="s">
        <v>12</v>
      </c>
      <c r="B25" s="2">
        <v>61026.317273795299</v>
      </c>
      <c r="C25" s="2">
        <v>55161.117693219298</v>
      </c>
      <c r="D25" s="52">
        <v>61332.837956479641</v>
      </c>
      <c r="E25" s="2">
        <v>59469.671144307285</v>
      </c>
      <c r="F25" s="2">
        <v>61639.551918714598</v>
      </c>
      <c r="G25" s="2">
        <v>59556.910946505079</v>
      </c>
      <c r="H25" s="2">
        <v>59996.767719780219</v>
      </c>
      <c r="I25" s="2">
        <v>63788.116620879126</v>
      </c>
      <c r="J25" s="2">
        <v>61810.400951976095</v>
      </c>
      <c r="K25" s="2">
        <v>63982.620662743335</v>
      </c>
      <c r="L25" s="2">
        <v>62295.947043206048</v>
      </c>
      <c r="M25" s="2">
        <v>64445.924313747098</v>
      </c>
      <c r="N25" s="2">
        <v>734506.1842453531</v>
      </c>
    </row>
    <row r="26" spans="1:14">
      <c r="A26" s="1" t="s">
        <v>16</v>
      </c>
      <c r="B26" s="2">
        <v>14019.169175824176</v>
      </c>
      <c r="C26" s="2">
        <v>12662.475384615384</v>
      </c>
      <c r="D26" s="52">
        <v>14019.169175824176</v>
      </c>
      <c r="E26" s="2">
        <v>13566.937912087911</v>
      </c>
      <c r="F26" s="2">
        <v>14019.169175824176</v>
      </c>
      <c r="G26" s="2">
        <v>13566.937912087911</v>
      </c>
      <c r="H26" s="2">
        <v>14019.169175824176</v>
      </c>
      <c r="I26" s="2">
        <v>14019.169175824176</v>
      </c>
      <c r="J26" s="2">
        <v>13566.937912087911</v>
      </c>
      <c r="K26" s="2">
        <v>14019.169175824176</v>
      </c>
      <c r="L26" s="2">
        <v>13566.937912087911</v>
      </c>
      <c r="M26" s="2">
        <v>13566.94</v>
      </c>
      <c r="N26" s="2">
        <v>164612.18208791211</v>
      </c>
    </row>
    <row r="27" spans="1:14">
      <c r="A27" s="1" t="s">
        <v>43</v>
      </c>
      <c r="B27" s="2">
        <v>1318.68</v>
      </c>
      <c r="C27" s="2">
        <v>1318.68</v>
      </c>
      <c r="D27" s="52">
        <v>1318.68</v>
      </c>
      <c r="E27" s="2">
        <v>1318.68</v>
      </c>
      <c r="F27" s="2">
        <v>1318.68</v>
      </c>
      <c r="G27" s="2">
        <v>1318.68</v>
      </c>
      <c r="H27" s="2">
        <v>1318.68</v>
      </c>
      <c r="I27" s="2"/>
      <c r="J27" s="2"/>
      <c r="K27" s="2"/>
      <c r="L27" s="2"/>
      <c r="M27" s="2"/>
      <c r="N27" s="2">
        <v>9230.76</v>
      </c>
    </row>
    <row r="28" spans="1:14">
      <c r="A28" s="1" t="s">
        <v>30</v>
      </c>
      <c r="B28" s="2">
        <v>3597.6865384615385</v>
      </c>
      <c r="C28" s="2">
        <v>3422.9746153846149</v>
      </c>
      <c r="D28" s="52">
        <v>3789.7218956043953</v>
      </c>
      <c r="E28" s="2">
        <v>3667.4728021978021</v>
      </c>
      <c r="F28" s="2">
        <v>3789.7218956043953</v>
      </c>
      <c r="G28" s="2">
        <v>3667.4728021978021</v>
      </c>
      <c r="H28" s="2">
        <v>3733.2853571428568</v>
      </c>
      <c r="I28" s="2">
        <v>3736.7447654268808</v>
      </c>
      <c r="J28" s="2">
        <v>3640.3760566356718</v>
      </c>
      <c r="K28" s="2">
        <v>3761.7219251901943</v>
      </c>
      <c r="L28" s="2">
        <v>3640.3760566356718</v>
      </c>
      <c r="M28" s="2">
        <v>3761.7219251901943</v>
      </c>
      <c r="N28" s="2">
        <v>44209.276635672009</v>
      </c>
    </row>
    <row r="29" spans="1:14">
      <c r="A29" s="1" t="s">
        <v>17</v>
      </c>
      <c r="B29" s="2">
        <v>8549.9262214447754</v>
      </c>
      <c r="C29" s="2">
        <v>7752.6103326769571</v>
      </c>
      <c r="D29" s="52">
        <v>8864.3166483516488</v>
      </c>
      <c r="E29" s="2">
        <v>8947.0624160701682</v>
      </c>
      <c r="F29" s="2">
        <v>9388.0949471802669</v>
      </c>
      <c r="G29" s="2">
        <v>9377.9524398215872</v>
      </c>
      <c r="H29" s="2">
        <v>9701.2836527279196</v>
      </c>
      <c r="I29" s="2">
        <v>9701.2836527279196</v>
      </c>
      <c r="J29" s="2">
        <v>9463.6701889817232</v>
      </c>
      <c r="K29" s="2">
        <v>9868.0883867704724</v>
      </c>
      <c r="L29" s="2">
        <v>9549.7629549391695</v>
      </c>
      <c r="M29" s="2">
        <v>9868.0883867704724</v>
      </c>
      <c r="N29" s="2">
        <v>111032.14022846306</v>
      </c>
    </row>
    <row r="30" spans="1:14">
      <c r="A30" s="1" t="s">
        <v>41</v>
      </c>
      <c r="B30" s="2">
        <v>1144.0686263736263</v>
      </c>
      <c r="C30" s="2">
        <v>1033.3523076923077</v>
      </c>
      <c r="D30" s="52">
        <v>1140.9992857142856</v>
      </c>
      <c r="E30" s="2">
        <v>1146.2068681318681</v>
      </c>
      <c r="F30" s="2">
        <v>1184.4137637362637</v>
      </c>
      <c r="G30" s="2">
        <v>1146.2068681318681</v>
      </c>
      <c r="H30" s="2">
        <v>1184.4137637362637</v>
      </c>
      <c r="I30" s="2">
        <v>1184.4137637362637</v>
      </c>
      <c r="J30" s="2">
        <v>1146.2068681318681</v>
      </c>
      <c r="K30" s="2">
        <v>1184.4137637362637</v>
      </c>
      <c r="L30" s="2">
        <v>1146.2068681318681</v>
      </c>
      <c r="M30" s="2">
        <v>1184.4137637362637</v>
      </c>
      <c r="N30" s="2">
        <v>13825.316510989011</v>
      </c>
    </row>
    <row r="31" spans="1:14">
      <c r="A31" s="1" t="s">
        <v>14</v>
      </c>
      <c r="B31" s="2">
        <v>21793.549721852818</v>
      </c>
      <c r="C31" s="2">
        <v>19774.11101905963</v>
      </c>
      <c r="D31" s="52">
        <v>21905.879599970489</v>
      </c>
      <c r="E31" s="2">
        <v>21225.791351096992</v>
      </c>
      <c r="F31" s="2">
        <v>21933.317729466889</v>
      </c>
      <c r="G31" s="2">
        <v>21227.809212059557</v>
      </c>
      <c r="H31" s="2">
        <v>21995.871419306462</v>
      </c>
      <c r="I31" s="2">
        <v>22030.913955538348</v>
      </c>
      <c r="J31" s="2">
        <v>21423.406497883847</v>
      </c>
      <c r="K31" s="2">
        <v>22203.903656376002</v>
      </c>
      <c r="L31" s="2">
        <v>21630.426299718711</v>
      </c>
      <c r="M31" s="2">
        <v>22480.535256376003</v>
      </c>
      <c r="N31" s="2">
        <v>259625.51571870578</v>
      </c>
    </row>
    <row r="32" spans="1:14">
      <c r="A32" s="1" t="s">
        <v>25</v>
      </c>
      <c r="B32" s="2">
        <v>5358.9861813186817</v>
      </c>
      <c r="C32" s="2">
        <v>4840.3746153846159</v>
      </c>
      <c r="D32" s="52">
        <v>5186.1167857142864</v>
      </c>
      <c r="E32" s="2">
        <v>5186.1156593406604</v>
      </c>
      <c r="F32" s="2">
        <v>5358.9861813186817</v>
      </c>
      <c r="G32" s="2">
        <v>5186.1156593406604</v>
      </c>
      <c r="H32" s="2">
        <v>5358.9861813186817</v>
      </c>
      <c r="I32" s="2">
        <v>5358.9861813186817</v>
      </c>
      <c r="J32" s="2">
        <v>5186.1156593406604</v>
      </c>
      <c r="K32" s="2">
        <v>5358.9861813186817</v>
      </c>
      <c r="L32" s="2">
        <v>5186.1156593406604</v>
      </c>
      <c r="M32" s="2">
        <v>5358.9861813186817</v>
      </c>
      <c r="N32" s="2">
        <v>62924.871126373648</v>
      </c>
    </row>
    <row r="33" spans="1:14">
      <c r="A33" s="1" t="s">
        <v>13</v>
      </c>
      <c r="B33" s="2">
        <v>39159.455059421634</v>
      </c>
      <c r="C33" s="2">
        <v>35369.830376251797</v>
      </c>
      <c r="D33" s="52">
        <v>39159.455059421634</v>
      </c>
      <c r="E33" s="2">
        <v>37969.248570828786</v>
      </c>
      <c r="F33" s="2">
        <v>38033.120000000003</v>
      </c>
      <c r="G33" s="2">
        <v>37504.489630133874</v>
      </c>
      <c r="H33" s="2">
        <v>38819.5068606762</v>
      </c>
      <c r="I33" s="2">
        <v>38819.5068606762</v>
      </c>
      <c r="J33" s="2">
        <v>37607.140469004742</v>
      </c>
      <c r="K33" s="2">
        <v>38851.202981672643</v>
      </c>
      <c r="L33" s="2">
        <v>37597.938369360614</v>
      </c>
      <c r="M33" s="2">
        <v>38851.202981672643</v>
      </c>
      <c r="N33" s="2">
        <v>457742.09721912083</v>
      </c>
    </row>
    <row r="34" spans="1:14">
      <c r="A34" s="1" t="s">
        <v>15</v>
      </c>
      <c r="B34" s="2">
        <v>5189.3967888553034</v>
      </c>
      <c r="C34" s="2">
        <v>4719.8247919189344</v>
      </c>
      <c r="D34" s="52">
        <v>5140.7513186813176</v>
      </c>
      <c r="E34" s="2">
        <v>4802.5648351648342</v>
      </c>
      <c r="F34" s="2">
        <v>4962.6503296703295</v>
      </c>
      <c r="G34" s="2">
        <v>4802.5648351648342</v>
      </c>
      <c r="H34" s="2">
        <v>4962.6503296703295</v>
      </c>
      <c r="I34" s="2">
        <v>4962.6503296703295</v>
      </c>
      <c r="J34" s="2">
        <v>4802.5648351648342</v>
      </c>
      <c r="K34" s="2">
        <v>4962.6503296703295</v>
      </c>
      <c r="L34" s="2">
        <v>4802.5648351648342</v>
      </c>
      <c r="M34" s="2">
        <v>4962.6503296703295</v>
      </c>
      <c r="N34" s="2">
        <v>59073.483888466537</v>
      </c>
    </row>
    <row r="35" spans="1:14">
      <c r="A35" s="1" t="s">
        <v>76</v>
      </c>
      <c r="B35" s="2">
        <v>359273.49320390337</v>
      </c>
      <c r="C35" s="2">
        <v>324618.60094038938</v>
      </c>
      <c r="D35" s="2">
        <v>359522.19749880995</v>
      </c>
      <c r="E35" s="2">
        <v>358413.19021944411</v>
      </c>
      <c r="F35" s="2">
        <v>365334.10967225011</v>
      </c>
      <c r="G35" s="2">
        <v>345750.76599625987</v>
      </c>
      <c r="H35" s="2">
        <v>356546.15887565661</v>
      </c>
      <c r="I35" s="2">
        <v>360256.14985063131</v>
      </c>
      <c r="J35" s="2">
        <v>343585.88494637626</v>
      </c>
      <c r="K35" s="2">
        <v>360864.16978617024</v>
      </c>
      <c r="L35" s="2">
        <v>350102.82427419809</v>
      </c>
      <c r="M35" s="2">
        <v>356215.35339139379</v>
      </c>
      <c r="N35" s="2">
        <v>4240482.8986554826</v>
      </c>
    </row>
    <row r="36" spans="1:14">
      <c r="B36" s="2">
        <v>359273</v>
      </c>
      <c r="C36" s="2">
        <v>324619</v>
      </c>
      <c r="D36" s="52">
        <v>359522</v>
      </c>
      <c r="E36" s="2">
        <v>358413</v>
      </c>
      <c r="F36" s="2">
        <v>365334</v>
      </c>
      <c r="G36" s="2">
        <v>345751</v>
      </c>
      <c r="H36" s="2">
        <v>356546</v>
      </c>
      <c r="I36" s="2">
        <v>360256</v>
      </c>
      <c r="J36" s="2">
        <v>343586</v>
      </c>
      <c r="K36" s="2">
        <v>360864</v>
      </c>
      <c r="L36" s="2">
        <v>350103</v>
      </c>
      <c r="M36" s="2">
        <v>356215</v>
      </c>
    </row>
    <row r="37" spans="1:14">
      <c r="B37" s="52">
        <f>B36-GETPIVOTDATA("Sum of Jan-25",$A$1)</f>
        <v>-0.49320390337379649</v>
      </c>
      <c r="C37" s="52">
        <f>C36-GETPIVOTDATA("Sum of Feb-25",$A$1)</f>
        <v>0.39905961061595008</v>
      </c>
      <c r="D37" s="52">
        <f>D36-GETPIVOTDATA("Sum of Mar-25",$A$1)</f>
        <v>-0.19749880995368585</v>
      </c>
      <c r="E37" s="52">
        <f>E36-GETPIVOTDATA("Sum of Apr-25",$A$1)</f>
        <v>-0.19021944410633296</v>
      </c>
      <c r="F37" s="52">
        <f>F36-GETPIVOTDATA("Sum of May-25",$A$1)</f>
        <v>-0.1096722501097247</v>
      </c>
      <c r="G37" s="52">
        <f>G36-GETPIVOTDATA("Sum of Jun-25",$A$1)</f>
        <v>0.23400374012999237</v>
      </c>
      <c r="H37" s="52">
        <f>H36-GETPIVOTDATA("Sum of Jul-25",$A$1)</f>
        <v>-0.15887565660523251</v>
      </c>
      <c r="I37" s="52">
        <f>I36-GETPIVOTDATA("Sum of Aug-25",$A$1)</f>
        <v>-0.14985063130734488</v>
      </c>
      <c r="J37" s="52">
        <f>J36-GETPIVOTDATA("Sum of Sep-25",$A$1)</f>
        <v>0.11505362374009565</v>
      </c>
      <c r="K37" s="52">
        <f>K36-GETPIVOTDATA("Sum of Oct-25",$A$1)</f>
        <v>-0.16978617024142295</v>
      </c>
      <c r="L37" s="52">
        <f>L36-GETPIVOTDATA("Sum of Nov-25",$A$1)</f>
        <v>0.17572580190608278</v>
      </c>
      <c r="M37" s="52">
        <f>M36-GETPIVOTDATA("Sum of Dec-25",$A$1)</f>
        <v>-0.35339139378629625</v>
      </c>
    </row>
    <row r="38" spans="1:14">
      <c r="C38" s="2"/>
    </row>
    <row r="46" spans="1:14">
      <c r="A46" s="1" t="s">
        <v>77</v>
      </c>
      <c r="B46" s="49">
        <v>0.80549000000000004</v>
      </c>
      <c r="C46" s="49">
        <v>0.79437000000000002</v>
      </c>
      <c r="D46" s="49">
        <v>0.77312000000000003</v>
      </c>
      <c r="E46" s="49">
        <v>0.74848000000000003</v>
      </c>
      <c r="F46" s="49">
        <v>0.74348000000000003</v>
      </c>
      <c r="G46" s="49">
        <v>0.72924</v>
      </c>
      <c r="H46" s="49">
        <v>0.75575000000000003</v>
      </c>
      <c r="I46" s="49">
        <v>0.74082999999999999</v>
      </c>
      <c r="J46" s="49">
        <v>0.74399999999999999</v>
      </c>
      <c r="K46" s="49">
        <v>0.76107999999999998</v>
      </c>
      <c r="L46" s="49">
        <v>0.75609000000000004</v>
      </c>
      <c r="M46" s="49">
        <v>0.74321999999999999</v>
      </c>
    </row>
    <row r="48" spans="1:14">
      <c r="A48" s="1" t="s">
        <v>20</v>
      </c>
      <c r="B48" s="2">
        <f>B2/$B$46</f>
        <v>8873.8973996428958</v>
      </c>
      <c r="C48" s="2">
        <f>C2/$C$46</f>
        <v>8127.3330929429558</v>
      </c>
      <c r="D48" s="2">
        <f>D2/$D$46</f>
        <v>9581.445213003055</v>
      </c>
      <c r="E48" s="2">
        <f>E2/$E$46</f>
        <v>9600.749827342388</v>
      </c>
      <c r="F48" s="2">
        <f>F2/$F$46</f>
        <v>9987.4933266013049</v>
      </c>
      <c r="G48" s="2">
        <f>G2/$G$46</f>
        <v>9854.0524803483495</v>
      </c>
      <c r="H48" s="2">
        <f>H2/$H$46</f>
        <v>9825.3411028270439</v>
      </c>
      <c r="I48" s="2">
        <f>I2/$I$46</f>
        <v>10023.219278999957</v>
      </c>
      <c r="J48" s="2">
        <f>J2/$J$46</f>
        <v>9658.5607940446644</v>
      </c>
      <c r="K48" s="2">
        <f>K2/$K$46</f>
        <v>9756.5322153538891</v>
      </c>
      <c r="L48" s="2">
        <f>L2/$L$46</f>
        <v>9504.118862528574</v>
      </c>
      <c r="M48" s="2">
        <f>M2/$M$46</f>
        <v>9990.9872426220209</v>
      </c>
      <c r="N48" s="2">
        <f>SUM(B48:M48)</f>
        <v>114783.73083625709</v>
      </c>
    </row>
    <row r="49" spans="1:14">
      <c r="A49" s="1" t="s">
        <v>35</v>
      </c>
      <c r="B49" s="2">
        <f>B3/$B$46</f>
        <v>3160.9624965160101</v>
      </c>
      <c r="C49" s="2">
        <f t="shared" ref="C49:C80" si="0">C3/$C$46</f>
        <v>2895.0295396158153</v>
      </c>
      <c r="D49" s="2">
        <f t="shared" ref="D49:D80" si="1">D3/$D$46</f>
        <v>3293.3098113083106</v>
      </c>
      <c r="E49" s="2">
        <f t="shared" ref="E49:E80" si="2">E3/$E$46</f>
        <v>3291.9926508933559</v>
      </c>
      <c r="F49" s="2">
        <f t="shared" ref="F49:F80" si="3">F3/$F$46</f>
        <v>3424.6027886677261</v>
      </c>
      <c r="G49" s="2">
        <f t="shared" ref="G49:G80" si="4">G3/$G$46</f>
        <v>3266.222368493226</v>
      </c>
      <c r="H49" s="2">
        <f t="shared" ref="H49:H80" si="5">H3/$H$46</f>
        <v>3544.1913825506281</v>
      </c>
      <c r="I49" s="2">
        <f t="shared" ref="I49:I80" si="6">I3/$I$46</f>
        <v>3615.569884268506</v>
      </c>
      <c r="J49" s="2">
        <f t="shared" ref="J49:J80" si="7">J3/$J$46</f>
        <v>3484.0304856433891</v>
      </c>
      <c r="K49" s="2">
        <f t="shared" ref="K49:K80" si="8">K3/$K$46</f>
        <v>3519.3706802998863</v>
      </c>
      <c r="L49" s="2">
        <f t="shared" ref="L49:L80" si="9">L3/$L$46</f>
        <v>3428.3202810759053</v>
      </c>
      <c r="M49" s="2">
        <f t="shared" ref="M49:M80" si="10">M3/$M$46</f>
        <v>3603.9431626740902</v>
      </c>
      <c r="N49" s="2">
        <f t="shared" ref="N49:N80" si="11">SUM(B49:M49)</f>
        <v>40527.54553200685</v>
      </c>
    </row>
    <row r="50" spans="1:14">
      <c r="A50" s="1" t="s">
        <v>31</v>
      </c>
      <c r="B50" s="2">
        <f t="shared" ref="B49:B80" si="12">B4/$B$46</f>
        <v>5248.4403732681185</v>
      </c>
      <c r="C50" s="2">
        <f t="shared" si="0"/>
        <v>4806.8871219669963</v>
      </c>
      <c r="D50" s="2">
        <f t="shared" si="1"/>
        <v>5468.1889438427888</v>
      </c>
      <c r="E50" s="2">
        <f t="shared" si="2"/>
        <v>5466.0019397554133</v>
      </c>
      <c r="F50" s="2">
        <f t="shared" si="3"/>
        <v>11188.949265615753</v>
      </c>
      <c r="G50" s="2">
        <f t="shared" si="4"/>
        <v>0</v>
      </c>
      <c r="H50" s="2">
        <f t="shared" si="5"/>
        <v>0</v>
      </c>
      <c r="I50" s="2">
        <f t="shared" si="6"/>
        <v>0</v>
      </c>
      <c r="J50" s="2">
        <f t="shared" si="7"/>
        <v>0</v>
      </c>
      <c r="K50" s="2">
        <f t="shared" si="8"/>
        <v>0</v>
      </c>
      <c r="L50" s="2">
        <f t="shared" si="9"/>
        <v>0</v>
      </c>
      <c r="M50" s="2">
        <f t="shared" si="10"/>
        <v>0</v>
      </c>
      <c r="N50" s="2">
        <f t="shared" si="11"/>
        <v>32178.467644449069</v>
      </c>
    </row>
    <row r="51" spans="1:14">
      <c r="A51" s="1" t="s">
        <v>32</v>
      </c>
      <c r="B51" s="2">
        <f t="shared" si="12"/>
        <v>1221.1869125052403</v>
      </c>
      <c r="C51" s="2">
        <f t="shared" si="0"/>
        <v>1118.4480008831381</v>
      </c>
      <c r="D51" s="2">
        <f t="shared" si="1"/>
        <v>1272.3171644167089</v>
      </c>
      <c r="E51" s="2">
        <f t="shared" si="2"/>
        <v>1271.8083007202288</v>
      </c>
      <c r="F51" s="2">
        <f t="shared" si="3"/>
        <v>1323.0400900546699</v>
      </c>
      <c r="G51" s="2">
        <f t="shared" si="4"/>
        <v>1305.3632232503385</v>
      </c>
      <c r="H51" s="2">
        <f t="shared" si="5"/>
        <v>1301.5598361281457</v>
      </c>
      <c r="I51" s="2">
        <f t="shared" si="6"/>
        <v>1284.9371650716089</v>
      </c>
      <c r="J51" s="2">
        <f t="shared" si="7"/>
        <v>1370.7595769481054</v>
      </c>
      <c r="K51" s="2">
        <f t="shared" si="8"/>
        <v>1419.1572868652265</v>
      </c>
      <c r="L51" s="2">
        <f t="shared" si="9"/>
        <v>1382.4419620902611</v>
      </c>
      <c r="M51" s="2">
        <f t="shared" si="10"/>
        <v>1453.2604449387618</v>
      </c>
      <c r="N51" s="2">
        <f t="shared" si="11"/>
        <v>15724.279963872434</v>
      </c>
    </row>
    <row r="52" spans="1:14">
      <c r="A52" s="1" t="s">
        <v>27</v>
      </c>
      <c r="B52" s="2">
        <f t="shared" si="12"/>
        <v>4759.7114799687142</v>
      </c>
      <c r="C52" s="2">
        <f t="shared" si="0"/>
        <v>4826.3403703563827</v>
      </c>
      <c r="D52" s="2">
        <f t="shared" si="1"/>
        <v>4958.9973096026488</v>
      </c>
      <c r="E52" s="2">
        <f t="shared" si="2"/>
        <v>5122.2477554510469</v>
      </c>
      <c r="F52" s="2">
        <f t="shared" si="3"/>
        <v>5156.6955398934742</v>
      </c>
      <c r="G52" s="2">
        <f t="shared" si="4"/>
        <v>5257.3912566507597</v>
      </c>
      <c r="H52" s="2">
        <f t="shared" si="5"/>
        <v>5280.3043334435988</v>
      </c>
      <c r="I52" s="2">
        <f t="shared" si="6"/>
        <v>5386.6474089872172</v>
      </c>
      <c r="J52" s="2">
        <f t="shared" si="7"/>
        <v>5363.6962365591398</v>
      </c>
      <c r="K52" s="2">
        <f t="shared" si="8"/>
        <v>5243.3252746097651</v>
      </c>
      <c r="L52" s="2">
        <f t="shared" si="9"/>
        <v>5277.9298760729544</v>
      </c>
      <c r="M52" s="2">
        <f t="shared" si="10"/>
        <v>5369.3253679933268</v>
      </c>
      <c r="N52" s="2">
        <f t="shared" si="11"/>
        <v>62002.612209589031</v>
      </c>
    </row>
    <row r="53" spans="1:14">
      <c r="A53" s="1" t="s">
        <v>22</v>
      </c>
      <c r="B53" s="2">
        <f t="shared" si="12"/>
        <v>5915.2164425476312</v>
      </c>
      <c r="C53" s="2">
        <f t="shared" si="0"/>
        <v>5422.8679576337163</v>
      </c>
      <c r="D53" s="2">
        <f t="shared" si="1"/>
        <v>6237.8216803249452</v>
      </c>
      <c r="E53" s="2">
        <f t="shared" si="2"/>
        <v>6258.875815815727</v>
      </c>
      <c r="F53" s="2">
        <f t="shared" si="3"/>
        <v>6523.6323193090839</v>
      </c>
      <c r="G53" s="2">
        <f t="shared" si="4"/>
        <v>6436.4714082711644</v>
      </c>
      <c r="H53" s="2">
        <f t="shared" si="5"/>
        <v>6420.4468216944097</v>
      </c>
      <c r="I53" s="2">
        <f t="shared" si="6"/>
        <v>6633.2742296674214</v>
      </c>
      <c r="J53" s="2">
        <f t="shared" si="7"/>
        <v>6391.9466019309539</v>
      </c>
      <c r="K53" s="2">
        <f t="shared" si="8"/>
        <v>6464.4391875135434</v>
      </c>
      <c r="L53" s="2">
        <f t="shared" si="9"/>
        <v>6520.9342140292956</v>
      </c>
      <c r="M53" s="2">
        <f t="shared" si="10"/>
        <v>6854.9827169365581</v>
      </c>
      <c r="N53" s="2">
        <f t="shared" si="11"/>
        <v>76080.909395674447</v>
      </c>
    </row>
    <row r="54" spans="1:14">
      <c r="A54" s="1" t="s">
        <v>29</v>
      </c>
      <c r="B54" s="2">
        <f t="shared" si="12"/>
        <v>4971.2499756137786</v>
      </c>
      <c r="C54" s="2">
        <f t="shared" si="0"/>
        <v>4553.0168561249793</v>
      </c>
      <c r="D54" s="2">
        <f t="shared" si="1"/>
        <v>5179.3927758396403</v>
      </c>
      <c r="E54" s="2">
        <f t="shared" si="2"/>
        <v>5177.3212758810241</v>
      </c>
      <c r="F54" s="2">
        <f t="shared" si="3"/>
        <v>5385.8774181647696</v>
      </c>
      <c r="G54" s="2">
        <f t="shared" si="4"/>
        <v>5313.9178165918338</v>
      </c>
      <c r="H54" s="2">
        <f t="shared" si="5"/>
        <v>5298.4348565757764</v>
      </c>
      <c r="I54" s="2">
        <f t="shared" si="6"/>
        <v>5405.143073116833</v>
      </c>
      <c r="J54" s="2">
        <f t="shared" si="7"/>
        <v>5034.8790322580644</v>
      </c>
      <c r="K54" s="2">
        <f t="shared" si="8"/>
        <v>5509.3596029240125</v>
      </c>
      <c r="L54" s="2">
        <f t="shared" si="9"/>
        <v>5366.8257703491599</v>
      </c>
      <c r="M54" s="2">
        <f t="shared" si="10"/>
        <v>5641.7526527722712</v>
      </c>
      <c r="N54" s="2">
        <f t="shared" si="11"/>
        <v>62837.171106212147</v>
      </c>
    </row>
    <row r="55" spans="1:14">
      <c r="A55" s="1" t="s">
        <v>18</v>
      </c>
      <c r="B55" s="2">
        <f t="shared" si="12"/>
        <v>5604.8274640435939</v>
      </c>
      <c r="C55" s="2">
        <f t="shared" si="0"/>
        <v>5133.2912335216051</v>
      </c>
      <c r="D55" s="2">
        <f t="shared" si="1"/>
        <v>5846.2470534690883</v>
      </c>
      <c r="E55" s="2">
        <f t="shared" si="2"/>
        <v>6046.2746624367501</v>
      </c>
      <c r="F55" s="2">
        <f t="shared" si="3"/>
        <v>6289.8345366636368</v>
      </c>
      <c r="G55" s="2">
        <f t="shared" si="4"/>
        <v>6205.7973497622988</v>
      </c>
      <c r="H55" s="2">
        <f t="shared" si="5"/>
        <v>6187.7157543085423</v>
      </c>
      <c r="I55" s="2">
        <f t="shared" si="6"/>
        <v>6312.333708568337</v>
      </c>
      <c r="J55" s="2">
        <f t="shared" si="7"/>
        <v>6082.6823378234667</v>
      </c>
      <c r="K55" s="2">
        <f t="shared" si="8"/>
        <v>6144.3819063944411</v>
      </c>
      <c r="L55" s="2">
        <f t="shared" si="9"/>
        <v>5985.4192746110366</v>
      </c>
      <c r="M55" s="2">
        <f t="shared" si="10"/>
        <v>6355.6224627609945</v>
      </c>
      <c r="N55" s="2">
        <f t="shared" si="11"/>
        <v>72194.427744363784</v>
      </c>
    </row>
    <row r="56" spans="1:14">
      <c r="A56" s="1" t="s">
        <v>40</v>
      </c>
      <c r="B56" s="2">
        <f t="shared" si="12"/>
        <v>1829.6033784090741</v>
      </c>
      <c r="C56" s="2">
        <f t="shared" si="0"/>
        <v>1675.678161988068</v>
      </c>
      <c r="D56" s="2">
        <f t="shared" si="1"/>
        <v>1906.207607195164</v>
      </c>
      <c r="E56" s="2">
        <f t="shared" si="2"/>
        <v>1905.4452187936047</v>
      </c>
      <c r="F56" s="2">
        <f t="shared" si="3"/>
        <v>895.18211653306059</v>
      </c>
      <c r="G56" s="2">
        <f t="shared" si="4"/>
        <v>0</v>
      </c>
      <c r="H56" s="2">
        <f t="shared" si="5"/>
        <v>0</v>
      </c>
      <c r="I56" s="2">
        <f t="shared" si="6"/>
        <v>0</v>
      </c>
      <c r="J56" s="2">
        <f t="shared" si="7"/>
        <v>0</v>
      </c>
      <c r="K56" s="2">
        <f t="shared" si="8"/>
        <v>0</v>
      </c>
      <c r="L56" s="2">
        <f t="shared" si="9"/>
        <v>0</v>
      </c>
      <c r="M56" s="2">
        <f t="shared" si="10"/>
        <v>0</v>
      </c>
      <c r="N56" s="2">
        <f t="shared" si="11"/>
        <v>8212.1164829189711</v>
      </c>
    </row>
    <row r="57" spans="1:14">
      <c r="A57" s="1" t="s">
        <v>28</v>
      </c>
      <c r="B57" s="2">
        <f t="shared" si="12"/>
        <v>5485.7257387114987</v>
      </c>
      <c r="C57" s="2">
        <f t="shared" si="0"/>
        <v>5190.8837288572167</v>
      </c>
      <c r="D57" s="2">
        <f t="shared" si="1"/>
        <v>5905.0134306659811</v>
      </c>
      <c r="E57" s="2">
        <f t="shared" si="2"/>
        <v>5902.6517184717795</v>
      </c>
      <c r="F57" s="2">
        <f t="shared" si="3"/>
        <v>6140.4260820956624</v>
      </c>
      <c r="G57" s="2">
        <f t="shared" si="4"/>
        <v>6058.3851108575473</v>
      </c>
      <c r="H57" s="2">
        <f t="shared" si="5"/>
        <v>6050.175857848647</v>
      </c>
      <c r="I57" s="2">
        <f t="shared" si="6"/>
        <v>6199.7187142737612</v>
      </c>
      <c r="J57" s="2">
        <f t="shared" si="7"/>
        <v>5974.1644317058153</v>
      </c>
      <c r="K57" s="2">
        <f t="shared" si="8"/>
        <v>6034.7632510319945</v>
      </c>
      <c r="L57" s="2">
        <f t="shared" si="9"/>
        <v>5878.6365871643929</v>
      </c>
      <c r="M57" s="2">
        <f t="shared" si="10"/>
        <v>6179.7820498579567</v>
      </c>
      <c r="N57" s="2">
        <f t="shared" si="11"/>
        <v>71000.326701542261</v>
      </c>
    </row>
    <row r="58" spans="1:14">
      <c r="A58" s="1" t="s">
        <v>46</v>
      </c>
      <c r="B58" s="2">
        <f t="shared" si="12"/>
        <v>94.384532028078198</v>
      </c>
      <c r="C58" s="2">
        <f t="shared" si="0"/>
        <v>86.443926052672609</v>
      </c>
      <c r="D58" s="2">
        <f t="shared" si="1"/>
        <v>98.336347143130055</v>
      </c>
      <c r="E58" s="2">
        <f t="shared" si="2"/>
        <v>98.297017486575001</v>
      </c>
      <c r="F58" s="2">
        <f t="shared" si="3"/>
        <v>102.25668034553277</v>
      </c>
      <c r="G58" s="2">
        <f t="shared" si="4"/>
        <v>100.89044984964026</v>
      </c>
      <c r="H58" s="2">
        <f t="shared" si="5"/>
        <v>100.59648918729302</v>
      </c>
      <c r="I58" s="2">
        <f t="shared" si="6"/>
        <v>102.62245954307562</v>
      </c>
      <c r="J58" s="2">
        <f t="shared" si="7"/>
        <v>98.888913505849004</v>
      </c>
      <c r="K58" s="2">
        <f t="shared" si="8"/>
        <v>99.891991253608964</v>
      </c>
      <c r="L58" s="2">
        <f t="shared" si="9"/>
        <v>94.367726732921355</v>
      </c>
      <c r="M58" s="2">
        <f t="shared" si="10"/>
        <v>106.99747697204708</v>
      </c>
      <c r="N58" s="2">
        <f t="shared" si="11"/>
        <v>1183.9740101004238</v>
      </c>
    </row>
    <row r="59" spans="1:14">
      <c r="A59" s="1" t="s">
        <v>26</v>
      </c>
      <c r="B59" s="2">
        <f t="shared" si="12"/>
        <v>2816.3932431272801</v>
      </c>
      <c r="C59" s="2">
        <f t="shared" si="0"/>
        <v>2579.4490263692269</v>
      </c>
      <c r="D59" s="2">
        <f t="shared" si="1"/>
        <v>2934.3136814551335</v>
      </c>
      <c r="E59" s="2">
        <f t="shared" si="2"/>
        <v>2933.1401016683176</v>
      </c>
      <c r="F59" s="2">
        <f t="shared" si="3"/>
        <v>3051.2947132493046</v>
      </c>
      <c r="G59" s="2">
        <f t="shared" si="4"/>
        <v>2911.6066041358131</v>
      </c>
      <c r="H59" s="2">
        <f t="shared" si="5"/>
        <v>3359.9761535189914</v>
      </c>
      <c r="I59" s="2">
        <f t="shared" si="6"/>
        <v>3427.6446391506524</v>
      </c>
      <c r="J59" s="2">
        <f t="shared" si="7"/>
        <v>3302.9422190712512</v>
      </c>
      <c r="K59" s="2">
        <f t="shared" si="8"/>
        <v>3336.4455484600539</v>
      </c>
      <c r="L59" s="2">
        <f t="shared" si="9"/>
        <v>3250.1276448425592</v>
      </c>
      <c r="M59" s="2">
        <f t="shared" si="10"/>
        <v>3416.6222357067595</v>
      </c>
      <c r="N59" s="2">
        <f t="shared" si="11"/>
        <v>37319.955810755338</v>
      </c>
    </row>
    <row r="60" spans="1:14">
      <c r="A60" s="1" t="s">
        <v>11</v>
      </c>
      <c r="B60" s="2">
        <f t="shared" si="12"/>
        <v>155529.0958653384</v>
      </c>
      <c r="C60" s="2">
        <f t="shared" si="0"/>
        <v>141361.4814255322</v>
      </c>
      <c r="D60" s="2">
        <f t="shared" si="1"/>
        <v>160809.12037310784</v>
      </c>
      <c r="E60" s="2">
        <f t="shared" si="2"/>
        <v>160744.80470897208</v>
      </c>
      <c r="F60" s="2">
        <f t="shared" si="3"/>
        <v>167220.02897570498</v>
      </c>
      <c r="G60" s="2">
        <f t="shared" si="4"/>
        <v>164985.83652648158</v>
      </c>
      <c r="H60" s="2">
        <f t="shared" si="5"/>
        <v>164505.12357639053</v>
      </c>
      <c r="I60" s="2">
        <f t="shared" si="6"/>
        <v>167818.1865513777</v>
      </c>
      <c r="J60" s="2">
        <f t="shared" si="7"/>
        <v>161712.73041474656</v>
      </c>
      <c r="K60" s="2">
        <f t="shared" si="8"/>
        <v>163353.06031278861</v>
      </c>
      <c r="L60" s="2">
        <f t="shared" si="9"/>
        <v>159126.91799729055</v>
      </c>
      <c r="M60" s="2">
        <f t="shared" si="10"/>
        <v>160601.01988644007</v>
      </c>
      <c r="N60" s="2">
        <f t="shared" si="11"/>
        <v>1927767.4066141711</v>
      </c>
    </row>
    <row r="61" spans="1:14">
      <c r="A61" s="1" t="s">
        <v>42</v>
      </c>
      <c r="B61" s="2">
        <f t="shared" si="12"/>
        <v>1801.6405227346511</v>
      </c>
      <c r="C61" s="2">
        <f t="shared" si="0"/>
        <v>1650.0678318184773</v>
      </c>
      <c r="D61" s="2">
        <f t="shared" si="1"/>
        <v>1877.0739660822824</v>
      </c>
      <c r="E61" s="2">
        <f t="shared" si="2"/>
        <v>1917.6273070932912</v>
      </c>
      <c r="F61" s="2">
        <f t="shared" si="3"/>
        <v>2027.7301886524726</v>
      </c>
      <c r="G61" s="2">
        <f t="shared" si="4"/>
        <v>2000.6381022301705</v>
      </c>
      <c r="H61" s="2">
        <f t="shared" si="5"/>
        <v>1994.8089191655181</v>
      </c>
      <c r="I61" s="2">
        <f t="shared" si="6"/>
        <v>2034.9835193760248</v>
      </c>
      <c r="J61" s="2">
        <f t="shared" si="7"/>
        <v>1960.9480237504429</v>
      </c>
      <c r="K61" s="2">
        <f t="shared" si="8"/>
        <v>1980.8388614328853</v>
      </c>
      <c r="L61" s="2">
        <f t="shared" si="9"/>
        <v>1929.5921512919488</v>
      </c>
      <c r="M61" s="2">
        <f t="shared" si="10"/>
        <v>2028.4395477238777</v>
      </c>
      <c r="N61" s="2">
        <f t="shared" si="11"/>
        <v>23204.388941352045</v>
      </c>
    </row>
    <row r="62" spans="1:14">
      <c r="A62" s="1" t="s">
        <v>21</v>
      </c>
      <c r="B62" s="2">
        <f t="shared" si="12"/>
        <v>8504.5422196007676</v>
      </c>
      <c r="C62" s="2">
        <f t="shared" si="0"/>
        <v>7789.0519023212219</v>
      </c>
      <c r="D62" s="2">
        <f t="shared" si="1"/>
        <v>8860.6215237818469</v>
      </c>
      <c r="E62" s="2">
        <f t="shared" si="2"/>
        <v>8857.0777150934118</v>
      </c>
      <c r="F62" s="2">
        <f t="shared" si="3"/>
        <v>9213.8641422314267</v>
      </c>
      <c r="G62" s="2">
        <f t="shared" si="4"/>
        <v>9090.7595965568507</v>
      </c>
      <c r="H62" s="2">
        <f t="shared" si="5"/>
        <v>9064.2721964488537</v>
      </c>
      <c r="I62" s="2">
        <f t="shared" si="6"/>
        <v>10346.624731719829</v>
      </c>
      <c r="J62" s="2">
        <f t="shared" si="7"/>
        <v>9119.4656150301325</v>
      </c>
      <c r="K62" s="2">
        <f t="shared" si="8"/>
        <v>9211.9687350017939</v>
      </c>
      <c r="L62" s="2">
        <f t="shared" si="9"/>
        <v>8973.6439016286658</v>
      </c>
      <c r="M62" s="2">
        <f t="shared" si="10"/>
        <v>9433.3375916083605</v>
      </c>
      <c r="N62" s="2">
        <f t="shared" si="11"/>
        <v>108465.22987102316</v>
      </c>
    </row>
    <row r="63" spans="1:14">
      <c r="A63" s="1" t="s">
        <v>45</v>
      </c>
      <c r="B63" s="2">
        <f t="shared" si="12"/>
        <v>890.19768050544349</v>
      </c>
      <c r="C63" s="2">
        <f t="shared" si="0"/>
        <v>815.30501674766947</v>
      </c>
      <c r="D63" s="2">
        <f t="shared" si="1"/>
        <v>927.46964206116729</v>
      </c>
      <c r="E63" s="2">
        <f t="shared" si="2"/>
        <v>927.09870025229168</v>
      </c>
      <c r="F63" s="2">
        <f t="shared" si="3"/>
        <v>964.44467863335888</v>
      </c>
      <c r="G63" s="2">
        <f t="shared" si="4"/>
        <v>921.86566655877175</v>
      </c>
      <c r="H63" s="2">
        <f t="shared" si="5"/>
        <v>979.14712479052537</v>
      </c>
      <c r="I63" s="2">
        <f t="shared" si="6"/>
        <v>998.86672996563254</v>
      </c>
      <c r="J63" s="2">
        <f t="shared" si="7"/>
        <v>962.52658631690883</v>
      </c>
      <c r="K63" s="2">
        <f t="shared" si="8"/>
        <v>972.2899558002307</v>
      </c>
      <c r="L63" s="2">
        <f t="shared" si="9"/>
        <v>947.13563229216118</v>
      </c>
      <c r="M63" s="2">
        <f t="shared" si="10"/>
        <v>995.65463733543174</v>
      </c>
      <c r="N63" s="2">
        <f t="shared" si="11"/>
        <v>11302.002051259595</v>
      </c>
    </row>
    <row r="64" spans="1:14">
      <c r="A64" s="1" t="s">
        <v>19</v>
      </c>
      <c r="B64" s="2">
        <f t="shared" si="12"/>
        <v>8217.951423739205</v>
      </c>
      <c r="C64" s="2">
        <f t="shared" si="0"/>
        <v>7526.5720972885138</v>
      </c>
      <c r="D64" s="2">
        <f t="shared" si="1"/>
        <v>8562.0313693963326</v>
      </c>
      <c r="E64" s="2">
        <f t="shared" si="2"/>
        <v>8558.6069819449458</v>
      </c>
      <c r="F64" s="2">
        <f t="shared" si="3"/>
        <v>8903.3702215361445</v>
      </c>
      <c r="G64" s="2">
        <f t="shared" si="4"/>
        <v>8794.2003480097919</v>
      </c>
      <c r="H64" s="2">
        <f t="shared" si="5"/>
        <v>8817.3655858604579</v>
      </c>
      <c r="I64" s="2">
        <f t="shared" si="6"/>
        <v>8994.9435653443325</v>
      </c>
      <c r="J64" s="2">
        <f t="shared" si="7"/>
        <v>8667.6951632596774</v>
      </c>
      <c r="K64" s="2">
        <f t="shared" si="8"/>
        <v>8728.4165196966733</v>
      </c>
      <c r="L64" s="2">
        <f t="shared" si="9"/>
        <v>8586.8547152918054</v>
      </c>
      <c r="M64" s="2">
        <f t="shared" si="10"/>
        <v>8771.1924219855919</v>
      </c>
      <c r="N64" s="2">
        <f t="shared" si="11"/>
        <v>103129.20041335348</v>
      </c>
    </row>
    <row r="65" spans="1:14">
      <c r="A65" s="1" t="s">
        <v>24</v>
      </c>
      <c r="B65" s="2">
        <f t="shared" si="12"/>
        <v>7986.7622383699554</v>
      </c>
      <c r="C65" s="2">
        <f t="shared" si="0"/>
        <v>7314.8329445395048</v>
      </c>
      <c r="D65" s="2">
        <f t="shared" si="1"/>
        <v>8321.1624526394553</v>
      </c>
      <c r="E65" s="2">
        <f t="shared" si="2"/>
        <v>8317.8344007958694</v>
      </c>
      <c r="F65" s="2">
        <f t="shared" si="3"/>
        <v>8652.8986864268245</v>
      </c>
      <c r="G65" s="2">
        <f t="shared" si="4"/>
        <v>8537.2890849482919</v>
      </c>
      <c r="H65" s="2">
        <f t="shared" si="5"/>
        <v>8512.414310796712</v>
      </c>
      <c r="I65" s="2">
        <f t="shared" si="6"/>
        <v>8683.8507017596694</v>
      </c>
      <c r="J65" s="2">
        <f t="shared" si="7"/>
        <v>1942.0642798062152</v>
      </c>
      <c r="K65" s="2">
        <f t="shared" si="8"/>
        <v>8822.6217139669079</v>
      </c>
      <c r="L65" s="2">
        <f t="shared" si="9"/>
        <v>8594.3697614927223</v>
      </c>
      <c r="M65" s="2">
        <f t="shared" si="10"/>
        <v>9040.0354438257091</v>
      </c>
      <c r="N65" s="2">
        <f t="shared" si="11"/>
        <v>94726.136019367827</v>
      </c>
    </row>
    <row r="66" spans="1:14">
      <c r="A66" s="1" t="s">
        <v>23</v>
      </c>
      <c r="B66" s="2">
        <f t="shared" si="12"/>
        <v>8110.2687940991245</v>
      </c>
      <c r="C66" s="2">
        <f t="shared" si="0"/>
        <v>7427.9488475488724</v>
      </c>
      <c r="D66" s="2">
        <f t="shared" si="1"/>
        <v>8449.8401424861659</v>
      </c>
      <c r="E66" s="2">
        <f t="shared" si="2"/>
        <v>8446.4606259553602</v>
      </c>
      <c r="F66" s="2">
        <f t="shared" si="3"/>
        <v>8786.706314842233</v>
      </c>
      <c r="G66" s="2">
        <f t="shared" si="4"/>
        <v>8669.3089371332735</v>
      </c>
      <c r="H66" s="2">
        <f t="shared" si="5"/>
        <v>8772.7242423471325</v>
      </c>
      <c r="I66" s="2">
        <f t="shared" si="6"/>
        <v>9399.4316665611022</v>
      </c>
      <c r="J66" s="2">
        <f t="shared" si="7"/>
        <v>9057.4674317617864</v>
      </c>
      <c r="K66" s="2">
        <f t="shared" si="8"/>
        <v>9149.3416743817488</v>
      </c>
      <c r="L66" s="2">
        <f t="shared" si="9"/>
        <v>8912.6370792243888</v>
      </c>
      <c r="M66" s="2">
        <f t="shared" si="10"/>
        <v>9369.2055670440277</v>
      </c>
      <c r="N66" s="2">
        <f t="shared" si="11"/>
        <v>104551.34132338522</v>
      </c>
    </row>
    <row r="67" spans="1:14">
      <c r="A67" s="1" t="s">
        <v>33</v>
      </c>
      <c r="B67" s="2">
        <f t="shared" si="12"/>
        <v>0</v>
      </c>
      <c r="C67" s="2">
        <f t="shared" si="0"/>
        <v>0</v>
      </c>
      <c r="D67" s="2">
        <f t="shared" si="1"/>
        <v>0</v>
      </c>
      <c r="E67" s="2">
        <f t="shared" si="2"/>
        <v>12688.286355585413</v>
      </c>
      <c r="F67" s="2">
        <f t="shared" si="3"/>
        <v>3299.8509903234981</v>
      </c>
      <c r="G67" s="2">
        <f t="shared" si="4"/>
        <v>3255.7623592468085</v>
      </c>
      <c r="H67" s="2">
        <f t="shared" si="5"/>
        <v>3246.2761684230422</v>
      </c>
      <c r="I67" s="2">
        <f t="shared" si="6"/>
        <v>3311.654784884136</v>
      </c>
      <c r="J67" s="2">
        <f t="shared" si="7"/>
        <v>3191.1722350230411</v>
      </c>
      <c r="K67" s="2">
        <f t="shared" si="8"/>
        <v>3223.5418277785702</v>
      </c>
      <c r="L67" s="2">
        <f t="shared" si="9"/>
        <v>3140.1448807114793</v>
      </c>
      <c r="M67" s="2">
        <f t="shared" si="10"/>
        <v>3194.5184467586987</v>
      </c>
      <c r="N67" s="2">
        <f t="shared" si="11"/>
        <v>38551.208048734683</v>
      </c>
    </row>
    <row r="68" spans="1:14">
      <c r="A68" s="1" t="s">
        <v>37</v>
      </c>
      <c r="B68" s="2">
        <f t="shared" si="12"/>
        <v>1072.9908584754703</v>
      </c>
      <c r="C68" s="2">
        <f t="shared" si="0"/>
        <v>947.61886778201585</v>
      </c>
      <c r="D68" s="2">
        <f t="shared" si="1"/>
        <v>1157.862596711029</v>
      </c>
      <c r="E68" s="2">
        <f t="shared" si="2"/>
        <v>1157.399509159075</v>
      </c>
      <c r="F68" s="2">
        <f t="shared" si="3"/>
        <v>1204.0226109232672</v>
      </c>
      <c r="G68" s="2">
        <f t="shared" si="4"/>
        <v>1187.9359122036431</v>
      </c>
      <c r="H68" s="2">
        <f t="shared" si="5"/>
        <v>1184.47466856663</v>
      </c>
      <c r="I68" s="2">
        <f t="shared" si="6"/>
        <v>1208.3294828357798</v>
      </c>
      <c r="J68" s="2">
        <f t="shared" si="7"/>
        <v>1164.3687965260547</v>
      </c>
      <c r="K68" s="2">
        <f t="shared" si="8"/>
        <v>1176.1795484958623</v>
      </c>
      <c r="L68" s="2">
        <f t="shared" si="9"/>
        <v>1145.7503532851704</v>
      </c>
      <c r="M68" s="2">
        <f t="shared" si="10"/>
        <v>1204.4438130960291</v>
      </c>
      <c r="N68" s="2">
        <f t="shared" si="11"/>
        <v>13811.377018060026</v>
      </c>
    </row>
    <row r="69" spans="1:14">
      <c r="A69" s="1" t="s">
        <v>36</v>
      </c>
      <c r="B69" s="2">
        <f t="shared" si="12"/>
        <v>2264.6430218777487</v>
      </c>
      <c r="C69" s="2">
        <f t="shared" si="0"/>
        <v>2074.1177575650177</v>
      </c>
      <c r="D69" s="2">
        <f t="shared" si="1"/>
        <v>2359.4620598255224</v>
      </c>
      <c r="E69" s="2">
        <f t="shared" si="2"/>
        <v>2358.5183921465455</v>
      </c>
      <c r="F69" s="2">
        <f t="shared" si="3"/>
        <v>2453.5257272452623</v>
      </c>
      <c r="G69" s="2">
        <f t="shared" si="4"/>
        <v>2420.7446741180493</v>
      </c>
      <c r="H69" s="2">
        <f t="shared" si="5"/>
        <v>2413.6914425303444</v>
      </c>
      <c r="I69" s="2">
        <f t="shared" si="6"/>
        <v>2462.3021579745796</v>
      </c>
      <c r="J69" s="2">
        <f t="shared" si="7"/>
        <v>2297.4300632163536</v>
      </c>
      <c r="K69" s="2">
        <f t="shared" si="8"/>
        <v>2511.8344694670445</v>
      </c>
      <c r="L69" s="2">
        <f t="shared" si="9"/>
        <v>2446.850257229974</v>
      </c>
      <c r="M69" s="2">
        <f t="shared" si="10"/>
        <v>2572.1952827184118</v>
      </c>
      <c r="N69" s="2">
        <f t="shared" si="11"/>
        <v>28635.31530591485</v>
      </c>
    </row>
    <row r="70" spans="1:14">
      <c r="A70" s="1" t="s">
        <v>39</v>
      </c>
      <c r="B70" s="2">
        <f t="shared" si="12"/>
        <v>1597.7470337828627</v>
      </c>
      <c r="C70" s="2">
        <f t="shared" si="0"/>
        <v>1463.3279783398746</v>
      </c>
      <c r="D70" s="2">
        <f t="shared" si="1"/>
        <v>1664.6435976843932</v>
      </c>
      <c r="E70" s="2">
        <f t="shared" si="2"/>
        <v>1647.2874035701363</v>
      </c>
      <c r="F70" s="2">
        <f t="shared" si="3"/>
        <v>1794.7010184360211</v>
      </c>
      <c r="G70" s="2">
        <f t="shared" si="4"/>
        <v>1770.722386877562</v>
      </c>
      <c r="H70" s="2">
        <f t="shared" si="5"/>
        <v>1765.5631004787469</v>
      </c>
      <c r="I70" s="2">
        <f t="shared" si="6"/>
        <v>1801.1207877472741</v>
      </c>
      <c r="J70" s="2">
        <f t="shared" si="7"/>
        <v>1735.5935395249912</v>
      </c>
      <c r="K70" s="2">
        <f t="shared" si="8"/>
        <v>1753.1984984322451</v>
      </c>
      <c r="L70" s="2">
        <f t="shared" si="9"/>
        <v>1707.8411213038041</v>
      </c>
      <c r="M70" s="2">
        <f t="shared" si="10"/>
        <v>1795.3288571174255</v>
      </c>
      <c r="N70" s="2">
        <f t="shared" si="11"/>
        <v>20497.075323295339</v>
      </c>
    </row>
    <row r="71" spans="1:14">
      <c r="A71" s="1" t="s">
        <v>12</v>
      </c>
      <c r="B71" s="2">
        <f t="shared" si="12"/>
        <v>75762.973188736418</v>
      </c>
      <c r="C71" s="2">
        <f t="shared" si="0"/>
        <v>69440.081691427535</v>
      </c>
      <c r="D71" s="2">
        <f t="shared" si="1"/>
        <v>79331.588830297551</v>
      </c>
      <c r="E71" s="2">
        <f t="shared" si="2"/>
        <v>79453.921473262191</v>
      </c>
      <c r="F71" s="2">
        <f t="shared" si="3"/>
        <v>82906.805722702149</v>
      </c>
      <c r="G71" s="2">
        <f t="shared" si="4"/>
        <v>81669.835646021995</v>
      </c>
      <c r="H71" s="2">
        <f t="shared" si="5"/>
        <v>79387.056195541139</v>
      </c>
      <c r="I71" s="2">
        <f t="shared" si="6"/>
        <v>86103.581956561058</v>
      </c>
      <c r="J71" s="2">
        <f t="shared" si="7"/>
        <v>83078.495903193674</v>
      </c>
      <c r="K71" s="2">
        <f t="shared" si="8"/>
        <v>84068.193439248615</v>
      </c>
      <c r="L71" s="2">
        <f t="shared" si="9"/>
        <v>82392.237753714566</v>
      </c>
      <c r="M71" s="2">
        <f t="shared" si="10"/>
        <v>86711.773517595197</v>
      </c>
      <c r="N71" s="2">
        <f t="shared" si="11"/>
        <v>970306.54531830223</v>
      </c>
    </row>
    <row r="72" spans="1:14">
      <c r="A72" s="1" t="s">
        <v>16</v>
      </c>
      <c r="B72" s="2">
        <f t="shared" si="12"/>
        <v>17404.522931165098</v>
      </c>
      <c r="C72" s="2">
        <f t="shared" si="0"/>
        <v>15940.273908399591</v>
      </c>
      <c r="D72" s="2">
        <f t="shared" si="1"/>
        <v>18133.238275848737</v>
      </c>
      <c r="E72" s="2">
        <f t="shared" si="2"/>
        <v>18125.985880835709</v>
      </c>
      <c r="F72" s="2">
        <f t="shared" si="3"/>
        <v>18856.148350761519</v>
      </c>
      <c r="G72" s="2">
        <f t="shared" si="4"/>
        <v>18604.215226932025</v>
      </c>
      <c r="H72" s="2">
        <f t="shared" si="5"/>
        <v>18550.008833376349</v>
      </c>
      <c r="I72" s="2">
        <f t="shared" si="6"/>
        <v>18923.598093792334</v>
      </c>
      <c r="J72" s="2">
        <f t="shared" si="7"/>
        <v>18235.131602268699</v>
      </c>
      <c r="K72" s="2">
        <f t="shared" si="8"/>
        <v>18420.099300762307</v>
      </c>
      <c r="L72" s="2">
        <f t="shared" si="9"/>
        <v>17943.548932121717</v>
      </c>
      <c r="M72" s="2">
        <f t="shared" si="10"/>
        <v>18254.271951777402</v>
      </c>
      <c r="N72" s="2">
        <f t="shared" si="11"/>
        <v>217391.04328804149</v>
      </c>
    </row>
    <row r="73" spans="1:14">
      <c r="A73" s="1" t="s">
        <v>43</v>
      </c>
      <c r="B73" s="2">
        <f t="shared" si="12"/>
        <v>1637.1152962792835</v>
      </c>
      <c r="C73" s="2">
        <f t="shared" si="0"/>
        <v>1660.0324785679218</v>
      </c>
      <c r="D73" s="2">
        <f t="shared" si="1"/>
        <v>1705.6601821192053</v>
      </c>
      <c r="E73" s="2">
        <f t="shared" si="2"/>
        <v>1761.8106028217187</v>
      </c>
      <c r="F73" s="2">
        <f t="shared" si="3"/>
        <v>1773.6590089847743</v>
      </c>
      <c r="G73" s="2">
        <f t="shared" si="4"/>
        <v>1808.2935659042291</v>
      </c>
      <c r="H73" s="2">
        <f t="shared" si="5"/>
        <v>1744.8627191531591</v>
      </c>
      <c r="I73" s="2">
        <f t="shared" si="6"/>
        <v>0</v>
      </c>
      <c r="J73" s="2">
        <f t="shared" si="7"/>
        <v>0</v>
      </c>
      <c r="K73" s="2">
        <f t="shared" si="8"/>
        <v>0</v>
      </c>
      <c r="L73" s="2">
        <f t="shared" si="9"/>
        <v>0</v>
      </c>
      <c r="M73" s="2">
        <f t="shared" si="10"/>
        <v>0</v>
      </c>
      <c r="N73" s="2">
        <f t="shared" si="11"/>
        <v>12091.433853830293</v>
      </c>
    </row>
    <row r="74" spans="1:14">
      <c r="A74" s="1" t="s">
        <v>30</v>
      </c>
      <c r="B74" s="2">
        <f t="shared" si="12"/>
        <v>4466.4571111516443</v>
      </c>
      <c r="C74" s="2">
        <f t="shared" si="0"/>
        <v>4309.0431604725945</v>
      </c>
      <c r="D74" s="2">
        <f t="shared" si="1"/>
        <v>4901.8546869883012</v>
      </c>
      <c r="E74" s="2">
        <f t="shared" si="2"/>
        <v>4899.894188485734</v>
      </c>
      <c r="F74" s="2">
        <f t="shared" si="3"/>
        <v>5097.2748367197437</v>
      </c>
      <c r="G74" s="2">
        <f t="shared" si="4"/>
        <v>5029.1711949396658</v>
      </c>
      <c r="H74" s="2">
        <f t="shared" si="5"/>
        <v>4939.8416899012327</v>
      </c>
      <c r="I74" s="2">
        <f t="shared" si="6"/>
        <v>5043.9976316116799</v>
      </c>
      <c r="J74" s="2">
        <f t="shared" si="7"/>
        <v>4892.9785707468709</v>
      </c>
      <c r="K74" s="2">
        <f t="shared" si="8"/>
        <v>4942.6104025729155</v>
      </c>
      <c r="L74" s="2">
        <f t="shared" si="9"/>
        <v>4814.7390610055309</v>
      </c>
      <c r="M74" s="2">
        <f t="shared" si="10"/>
        <v>5061.3841462691989</v>
      </c>
      <c r="N74" s="2">
        <f t="shared" si="11"/>
        <v>58399.246680865108</v>
      </c>
    </row>
    <row r="75" spans="1:14">
      <c r="A75" s="1" t="s">
        <v>17</v>
      </c>
      <c r="B75" s="2">
        <f t="shared" si="12"/>
        <v>10614.565322281809</v>
      </c>
      <c r="C75" s="2">
        <f t="shared" si="0"/>
        <v>9759.4450101048096</v>
      </c>
      <c r="D75" s="2">
        <f t="shared" si="1"/>
        <v>11465.641360140275</v>
      </c>
      <c r="E75" s="2">
        <f t="shared" si="2"/>
        <v>11953.642603770531</v>
      </c>
      <c r="F75" s="2">
        <f t="shared" si="3"/>
        <v>12627.232672271301</v>
      </c>
      <c r="G75" s="2">
        <f t="shared" si="4"/>
        <v>12859.898579098222</v>
      </c>
      <c r="H75" s="2">
        <f t="shared" si="5"/>
        <v>12836.63070159169</v>
      </c>
      <c r="I75" s="2">
        <f t="shared" si="6"/>
        <v>13095.154965009408</v>
      </c>
      <c r="J75" s="2">
        <f t="shared" si="7"/>
        <v>12719.986813147478</v>
      </c>
      <c r="K75" s="2">
        <f t="shared" si="8"/>
        <v>12965.901596114039</v>
      </c>
      <c r="L75" s="2">
        <f t="shared" si="9"/>
        <v>12630.457954660384</v>
      </c>
      <c r="M75" s="2">
        <f t="shared" si="10"/>
        <v>13277.47959792588</v>
      </c>
      <c r="N75" s="2">
        <f t="shared" si="11"/>
        <v>146806.03717611582</v>
      </c>
    </row>
    <row r="76" spans="1:14">
      <c r="A76" s="1" t="s">
        <v>41</v>
      </c>
      <c r="B76" s="2">
        <f t="shared" si="12"/>
        <v>1420.3387085794066</v>
      </c>
      <c r="C76" s="2">
        <f t="shared" si="0"/>
        <v>1300.8450818791089</v>
      </c>
      <c r="D76" s="2">
        <f t="shared" si="1"/>
        <v>1475.8372383514663</v>
      </c>
      <c r="E76" s="2">
        <f t="shared" si="2"/>
        <v>1531.3794197999518</v>
      </c>
      <c r="F76" s="2">
        <f t="shared" si="3"/>
        <v>1593.0674177331787</v>
      </c>
      <c r="G76" s="2">
        <f t="shared" si="4"/>
        <v>1571.7827712849928</v>
      </c>
      <c r="H76" s="2">
        <f t="shared" si="5"/>
        <v>1567.2031276695516</v>
      </c>
      <c r="I76" s="2">
        <f t="shared" si="6"/>
        <v>1598.7659297494213</v>
      </c>
      <c r="J76" s="2">
        <f t="shared" si="7"/>
        <v>1540.6006292095001</v>
      </c>
      <c r="K76" s="2">
        <f t="shared" si="8"/>
        <v>1556.227681368928</v>
      </c>
      <c r="L76" s="2">
        <f t="shared" si="9"/>
        <v>1515.9661788039361</v>
      </c>
      <c r="M76" s="2">
        <f t="shared" si="10"/>
        <v>1593.6247191090979</v>
      </c>
      <c r="N76" s="2">
        <f t="shared" si="11"/>
        <v>18265.63890353854</v>
      </c>
    </row>
    <row r="77" spans="1:14">
      <c r="A77" s="1" t="s">
        <v>14</v>
      </c>
      <c r="B77" s="2">
        <f t="shared" si="12"/>
        <v>27056.263543747056</v>
      </c>
      <c r="C77" s="2">
        <f t="shared" si="0"/>
        <v>24892.822008710838</v>
      </c>
      <c r="D77" s="2">
        <f t="shared" si="1"/>
        <v>28334.384830259842</v>
      </c>
      <c r="E77" s="2">
        <f t="shared" si="2"/>
        <v>28358.528419058614</v>
      </c>
      <c r="F77" s="2">
        <f t="shared" si="3"/>
        <v>29500.884663295434</v>
      </c>
      <c r="G77" s="2">
        <f t="shared" si="4"/>
        <v>29109.49647860726</v>
      </c>
      <c r="H77" s="2">
        <f t="shared" si="5"/>
        <v>29104.692582608615</v>
      </c>
      <c r="I77" s="2">
        <f t="shared" si="6"/>
        <v>29738.15039285443</v>
      </c>
      <c r="J77" s="2">
        <f t="shared" si="7"/>
        <v>28794.901206833129</v>
      </c>
      <c r="K77" s="2">
        <f t="shared" si="8"/>
        <v>29174.204625500606</v>
      </c>
      <c r="L77" s="2">
        <f t="shared" si="9"/>
        <v>28608.269253288247</v>
      </c>
      <c r="M77" s="2">
        <f t="shared" si="10"/>
        <v>30247.484266268402</v>
      </c>
      <c r="N77" s="2">
        <f t="shared" si="11"/>
        <v>342920.08227103244</v>
      </c>
    </row>
    <row r="78" spans="1:14">
      <c r="A78" s="1" t="s">
        <v>25</v>
      </c>
      <c r="B78" s="2">
        <f t="shared" si="12"/>
        <v>6653.075992648799</v>
      </c>
      <c r="C78" s="2">
        <f t="shared" si="0"/>
        <v>6093.3502214139708</v>
      </c>
      <c r="D78" s="2">
        <f t="shared" si="1"/>
        <v>6708.0359914557721</v>
      </c>
      <c r="E78" s="2">
        <f t="shared" si="2"/>
        <v>6928.8633755620194</v>
      </c>
      <c r="F78" s="2">
        <f t="shared" si="3"/>
        <v>7207.9762486128493</v>
      </c>
      <c r="G78" s="2">
        <f t="shared" si="4"/>
        <v>7111.6719589444629</v>
      </c>
      <c r="H78" s="2">
        <f t="shared" si="5"/>
        <v>7090.9509511328897</v>
      </c>
      <c r="I78" s="2">
        <f t="shared" si="6"/>
        <v>7233.7596767391733</v>
      </c>
      <c r="J78" s="2">
        <f t="shared" si="7"/>
        <v>6970.5855636299202</v>
      </c>
      <c r="K78" s="2">
        <f t="shared" si="8"/>
        <v>7041.2915610956561</v>
      </c>
      <c r="L78" s="2">
        <f t="shared" si="9"/>
        <v>6859.1247858596998</v>
      </c>
      <c r="M78" s="2">
        <f t="shared" si="10"/>
        <v>7210.4978086147867</v>
      </c>
      <c r="N78" s="2">
        <f t="shared" si="11"/>
        <v>83109.184135709991</v>
      </c>
    </row>
    <row r="79" spans="1:14">
      <c r="A79" s="1" t="s">
        <v>13</v>
      </c>
      <c r="B79" s="2">
        <f>B33/$B$46</f>
        <v>48615.693626763379</v>
      </c>
      <c r="C79" s="2">
        <f t="shared" si="0"/>
        <v>44525.637141699452</v>
      </c>
      <c r="D79" s="2">
        <f t="shared" si="1"/>
        <v>50651.199114525087</v>
      </c>
      <c r="E79" s="2">
        <f t="shared" si="2"/>
        <v>50728.474469362955</v>
      </c>
      <c r="F79" s="2">
        <f t="shared" si="3"/>
        <v>51155.53881745306</v>
      </c>
      <c r="G79" s="2">
        <f t="shared" si="4"/>
        <v>51429.556291665125</v>
      </c>
      <c r="H79" s="2">
        <f t="shared" si="5"/>
        <v>51365.540007510681</v>
      </c>
      <c r="I79" s="2">
        <f t="shared" si="6"/>
        <v>52400.020059495699</v>
      </c>
      <c r="J79" s="2">
        <f t="shared" si="7"/>
        <v>50547.23181317842</v>
      </c>
      <c r="K79" s="2">
        <f t="shared" si="8"/>
        <v>51047.462791917598</v>
      </c>
      <c r="L79" s="2">
        <f t="shared" si="9"/>
        <v>49726.802853311921</v>
      </c>
      <c r="M79" s="2">
        <f t="shared" si="10"/>
        <v>52274.162403692906</v>
      </c>
      <c r="N79" s="2">
        <f t="shared" si="11"/>
        <v>604467.31939057633</v>
      </c>
    </row>
    <row r="80" spans="1:14">
      <c r="A80" s="1" t="s">
        <v>15</v>
      </c>
      <c r="B80" s="2">
        <f t="shared" si="12"/>
        <v>6442.5340958364513</v>
      </c>
      <c r="C80" s="2">
        <f t="shared" si="0"/>
        <v>5941.5949644610628</v>
      </c>
      <c r="D80" s="2">
        <f t="shared" si="1"/>
        <v>6649.3575624499654</v>
      </c>
      <c r="E80" s="2">
        <f t="shared" si="2"/>
        <v>6416.4237323172747</v>
      </c>
      <c r="F80" s="2">
        <f t="shared" si="3"/>
        <v>6674.8941863538084</v>
      </c>
      <c r="G80" s="2">
        <f t="shared" si="4"/>
        <v>6585.7122965893732</v>
      </c>
      <c r="H80" s="2">
        <f t="shared" si="5"/>
        <v>6566.5237574202174</v>
      </c>
      <c r="I80" s="2">
        <f t="shared" si="6"/>
        <v>6698.7707431803919</v>
      </c>
      <c r="J80" s="2">
        <f t="shared" si="7"/>
        <v>6455.0602623183258</v>
      </c>
      <c r="K80" s="2">
        <f t="shared" si="8"/>
        <v>6520.5370390370654</v>
      </c>
      <c r="L80" s="2">
        <f t="shared" si="9"/>
        <v>6351.8428165493979</v>
      </c>
      <c r="M80" s="2">
        <f t="shared" si="10"/>
        <v>6677.229258725989</v>
      </c>
      <c r="N80" s="2">
        <f t="shared" si="11"/>
        <v>77980.480715239319</v>
      </c>
    </row>
    <row r="81" spans="1:14">
      <c r="A81" s="1" t="str">
        <f t="shared" ref="A81" si="13">A35</f>
        <v>Grand Total</v>
      </c>
      <c r="B81" s="3">
        <f>B35/$B$46</f>
        <v>446030.97891209496</v>
      </c>
      <c r="C81" s="3">
        <f>C35/$C$46</f>
        <v>408649.11935293296</v>
      </c>
      <c r="D81" s="3">
        <f>D35/$D$46</f>
        <v>465027.67681447894</v>
      </c>
      <c r="E81" s="3">
        <f>E35/$E$46</f>
        <v>478854.73255056125</v>
      </c>
      <c r="F81" s="3">
        <f>F35/$F$46</f>
        <v>491383.91035703733</v>
      </c>
      <c r="G81" s="3">
        <f>G35/$G$46</f>
        <v>474124.79567256302</v>
      </c>
      <c r="H81" s="2">
        <f>H35/$H$46</f>
        <v>471777.91448978707</v>
      </c>
      <c r="I81" s="2">
        <f>I35/$I$46</f>
        <v>486287.20469018712</v>
      </c>
      <c r="J81" s="2">
        <f>J35/J$46</f>
        <v>461808.98514297884</v>
      </c>
      <c r="K81" s="2">
        <f>K35/$K$46</f>
        <v>474147.48749956675</v>
      </c>
      <c r="L81" s="2">
        <f>L35/$L$46</f>
        <v>463043.84963985515</v>
      </c>
      <c r="M81" s="4">
        <f t="shared" ref="M81" si="14">SUM(B81:L81)</f>
        <v>5121136.6551220436</v>
      </c>
    </row>
    <row r="82" spans="1:14">
      <c r="N82" s="96">
        <f>SUM(N48:N81)</f>
        <v>5600423.2101009097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9A3F5-80AB-4164-826C-A1FFC1931977}">
  <dimension ref="A1:N81"/>
  <sheetViews>
    <sheetView topLeftCell="A35" workbookViewId="0">
      <selection activeCell="N81" sqref="N81"/>
    </sheetView>
  </sheetViews>
  <sheetFormatPr defaultRowHeight="14.45"/>
  <cols>
    <col min="1" max="1" width="30.140625" bestFit="1" customWidth="1"/>
    <col min="2" max="2" width="12.7109375" bestFit="1" customWidth="1"/>
    <col min="3" max="4" width="13" bestFit="1" customWidth="1"/>
    <col min="5" max="5" width="12.7109375" bestFit="1" customWidth="1"/>
    <col min="6" max="6" width="13.28515625" bestFit="1" customWidth="1"/>
    <col min="7" max="7" width="12.7109375" bestFit="1" customWidth="1"/>
    <col min="8" max="8" width="12.140625" bestFit="1" customWidth="1"/>
    <col min="9" max="9" width="13" bestFit="1" customWidth="1"/>
    <col min="10" max="10" width="13.28515625" bestFit="1" customWidth="1"/>
    <col min="11" max="11" width="12.7109375" bestFit="1" customWidth="1"/>
    <col min="12" max="13" width="13.28515625" bestFit="1" customWidth="1"/>
    <col min="14" max="14" width="22.7109375" bestFit="1" customWidth="1"/>
  </cols>
  <sheetData>
    <row r="1" spans="1:14">
      <c r="A1" s="67" t="s">
        <v>62</v>
      </c>
      <c r="B1" s="67" t="s">
        <v>63</v>
      </c>
      <c r="C1" s="53" t="s">
        <v>64</v>
      </c>
      <c r="D1" s="53" t="s">
        <v>65</v>
      </c>
      <c r="E1" s="53" t="s">
        <v>66</v>
      </c>
      <c r="F1" s="53" t="s">
        <v>67</v>
      </c>
      <c r="G1" s="53" t="s">
        <v>68</v>
      </c>
      <c r="H1" s="53" t="s">
        <v>69</v>
      </c>
      <c r="I1" s="53" t="s">
        <v>70</v>
      </c>
      <c r="J1" s="53" t="s">
        <v>71</v>
      </c>
      <c r="K1" s="53" t="s">
        <v>72</v>
      </c>
      <c r="L1" s="53" t="s">
        <v>73</v>
      </c>
      <c r="M1" s="53" t="s">
        <v>74</v>
      </c>
      <c r="N1" s="54" t="s">
        <v>75</v>
      </c>
    </row>
    <row r="2" spans="1:14">
      <c r="A2" s="55" t="s">
        <v>35</v>
      </c>
      <c r="B2" s="56">
        <v>329.31538461538463</v>
      </c>
      <c r="C2" s="57">
        <v>308.06923076923078</v>
      </c>
      <c r="D2" s="57">
        <v>308.07</v>
      </c>
      <c r="E2" s="57">
        <v>329.84587912087909</v>
      </c>
      <c r="F2" s="57">
        <v>340.84074175824173</v>
      </c>
      <c r="G2" s="57">
        <v>329.84587912087909</v>
      </c>
      <c r="H2" s="57">
        <v>340.84074175824173</v>
      </c>
      <c r="I2" s="57">
        <v>340.84074175824173</v>
      </c>
      <c r="J2" s="57">
        <v>329.84587912087909</v>
      </c>
      <c r="K2" s="57">
        <v>340.84074175824173</v>
      </c>
      <c r="L2" s="57">
        <v>329.84587912087909</v>
      </c>
      <c r="M2" s="57">
        <v>340.84074175824173</v>
      </c>
      <c r="N2" s="58">
        <v>3969.0418406593403</v>
      </c>
    </row>
    <row r="3" spans="1:14">
      <c r="A3" s="59" t="s">
        <v>32</v>
      </c>
      <c r="B3" s="60">
        <v>102.4532967032967</v>
      </c>
      <c r="C3" s="61">
        <v>95.843406593406584</v>
      </c>
      <c r="D3" s="61">
        <v>102.4532967032967</v>
      </c>
      <c r="E3" s="61">
        <v>93.367500000000007</v>
      </c>
      <c r="F3" s="61">
        <v>106.1417857142857</v>
      </c>
      <c r="G3" s="61">
        <v>102.71785714285714</v>
      </c>
      <c r="H3" s="61">
        <v>106.1417857142857</v>
      </c>
      <c r="I3" s="61">
        <v>106.1417857142857</v>
      </c>
      <c r="J3" s="61">
        <v>102.71785714285714</v>
      </c>
      <c r="K3" s="61">
        <v>106.1417857142857</v>
      </c>
      <c r="L3" s="61">
        <v>102.71785714285714</v>
      </c>
      <c r="M3" s="61">
        <v>106.1417857142857</v>
      </c>
      <c r="N3" s="62">
        <v>1232.98</v>
      </c>
    </row>
    <row r="4" spans="1:14">
      <c r="A4" s="59" t="s">
        <v>27</v>
      </c>
      <c r="B4" s="60">
        <v>999.78931318681316</v>
      </c>
      <c r="C4" s="61">
        <v>960.21469780219775</v>
      </c>
      <c r="D4" s="61">
        <v>1026.4364010989011</v>
      </c>
      <c r="E4" s="61">
        <v>993.32554945054926</v>
      </c>
      <c r="F4" s="61">
        <v>1026.4364010989011</v>
      </c>
      <c r="G4" s="61">
        <v>993.32554945054926</v>
      </c>
      <c r="H4" s="61">
        <v>1026.4364010989011</v>
      </c>
      <c r="I4" s="61">
        <v>1026.4364010989011</v>
      </c>
      <c r="J4" s="61">
        <v>956.57785714285706</v>
      </c>
      <c r="K4" s="61">
        <v>1056.6792857142857</v>
      </c>
      <c r="L4" s="61">
        <v>1022.5928571428572</v>
      </c>
      <c r="M4" s="61">
        <v>1056.6792857142857</v>
      </c>
      <c r="N4" s="62">
        <v>12144.929999999998</v>
      </c>
    </row>
    <row r="5" spans="1:14">
      <c r="A5" s="59" t="s">
        <v>22</v>
      </c>
      <c r="B5" s="60">
        <v>436.15956043956044</v>
      </c>
      <c r="C5" s="61">
        <v>352.18747252747255</v>
      </c>
      <c r="D5" s="61">
        <v>376.47626373626377</v>
      </c>
      <c r="E5" s="61">
        <v>364.33186813186813</v>
      </c>
      <c r="F5" s="61">
        <v>376.47626373626377</v>
      </c>
      <c r="G5" s="61">
        <v>364.33186813186813</v>
      </c>
      <c r="H5" s="61">
        <v>376.47626373626377</v>
      </c>
      <c r="I5" s="61">
        <v>376.47626373626377</v>
      </c>
      <c r="J5" s="61">
        <v>364.33186813186813</v>
      </c>
      <c r="K5" s="61">
        <v>376.47626373626377</v>
      </c>
      <c r="L5" s="61">
        <v>364.33186813186813</v>
      </c>
      <c r="M5" s="61">
        <v>376.47626373626377</v>
      </c>
      <c r="N5" s="62">
        <v>4504.5320879120882</v>
      </c>
    </row>
    <row r="6" spans="1:14">
      <c r="A6" s="59" t="s">
        <v>29</v>
      </c>
      <c r="B6" s="60">
        <v>1258.0583516483516</v>
      </c>
      <c r="C6" s="61">
        <v>1176.8932967032968</v>
      </c>
      <c r="D6" s="61">
        <v>1258.0583516483516</v>
      </c>
      <c r="E6" s="61">
        <v>1217.4758241758243</v>
      </c>
      <c r="F6" s="61">
        <v>1258.0583516483516</v>
      </c>
      <c r="G6" s="61">
        <v>1217.4758241758243</v>
      </c>
      <c r="H6" s="61">
        <v>1258.0583516483516</v>
      </c>
      <c r="I6" s="61">
        <v>1258.0583516483516</v>
      </c>
      <c r="J6" s="61">
        <v>1136.31</v>
      </c>
      <c r="K6" s="61">
        <v>1318.4453296703298</v>
      </c>
      <c r="L6" s="61">
        <v>1275.9148351648353</v>
      </c>
      <c r="M6" s="61">
        <v>1318.4453296703298</v>
      </c>
      <c r="N6" s="62">
        <v>14951.252197802198</v>
      </c>
    </row>
    <row r="7" spans="1:14">
      <c r="A7" s="59" t="s">
        <v>57</v>
      </c>
      <c r="B7" s="60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2">
        <v>0</v>
      </c>
    </row>
    <row r="8" spans="1:14">
      <c r="A8" s="59" t="s">
        <v>18</v>
      </c>
      <c r="B8" s="60">
        <v>155.84931506849315</v>
      </c>
      <c r="C8" s="61">
        <v>145.79452054794521</v>
      </c>
      <c r="D8" s="61">
        <v>155.84931506849315</v>
      </c>
      <c r="E8" s="61">
        <v>150.82191780821918</v>
      </c>
      <c r="F8" s="61">
        <v>155.84931506849315</v>
      </c>
      <c r="G8" s="61">
        <v>145.79</v>
      </c>
      <c r="H8" s="61"/>
      <c r="I8" s="61"/>
      <c r="J8" s="61"/>
      <c r="K8" s="61"/>
      <c r="L8" s="61"/>
      <c r="M8" s="61"/>
      <c r="N8" s="62">
        <v>909.95438356164379</v>
      </c>
    </row>
    <row r="9" spans="1:14">
      <c r="A9" s="59" t="s">
        <v>40</v>
      </c>
      <c r="B9" s="60">
        <v>258.72644565708265</v>
      </c>
      <c r="C9" s="61">
        <v>242.03441690501279</v>
      </c>
      <c r="D9" s="61">
        <v>258.72644565708265</v>
      </c>
      <c r="E9" s="61">
        <v>70.737417582417578</v>
      </c>
      <c r="F9" s="61">
        <v>9.5023561643835617</v>
      </c>
      <c r="G9" s="61">
        <v>547.85260273972597</v>
      </c>
      <c r="H9" s="61">
        <v>210.67939726027396</v>
      </c>
      <c r="I9" s="61">
        <v>210.67939726027396</v>
      </c>
      <c r="J9" s="61">
        <v>203.88328767123286</v>
      </c>
      <c r="K9" s="61">
        <v>210.67939726027396</v>
      </c>
      <c r="L9" s="61">
        <v>203.88328767123286</v>
      </c>
      <c r="M9" s="61">
        <v>210.67939726027396</v>
      </c>
      <c r="N9" s="62">
        <v>2638.0638490892666</v>
      </c>
    </row>
    <row r="10" spans="1:14">
      <c r="A10" s="59" t="s">
        <v>28</v>
      </c>
      <c r="B10" s="60">
        <v>886.52731619750125</v>
      </c>
      <c r="C10" s="61">
        <v>833.35110048171009</v>
      </c>
      <c r="D10" s="61">
        <v>890.8235901701039</v>
      </c>
      <c r="E10" s="61">
        <v>862.08734532590699</v>
      </c>
      <c r="F10" s="61">
        <v>886.71254621406001</v>
      </c>
      <c r="G10" s="61">
        <v>864.56481785337951</v>
      </c>
      <c r="H10" s="61">
        <v>893.38364511515897</v>
      </c>
      <c r="I10" s="61">
        <v>876.65026599427961</v>
      </c>
      <c r="J10" s="61">
        <v>887.90135631491785</v>
      </c>
      <c r="K10" s="61">
        <v>917.49806819208175</v>
      </c>
      <c r="L10" s="61">
        <v>887.90135631491785</v>
      </c>
      <c r="M10" s="61">
        <v>917.49806819208175</v>
      </c>
      <c r="N10" s="62">
        <v>10604.899476366099</v>
      </c>
    </row>
    <row r="11" spans="1:14">
      <c r="A11" s="59" t="s">
        <v>46</v>
      </c>
      <c r="B11" s="60">
        <v>846.92681318681321</v>
      </c>
      <c r="C11" s="61">
        <v>792.28637362637357</v>
      </c>
      <c r="D11" s="61">
        <v>846.92681318681321</v>
      </c>
      <c r="E11" s="61">
        <v>819.60659340659345</v>
      </c>
      <c r="F11" s="61">
        <v>846.92681318681321</v>
      </c>
      <c r="G11" s="61">
        <v>819.60659340659345</v>
      </c>
      <c r="H11" s="61">
        <v>846.92681318681321</v>
      </c>
      <c r="I11" s="61">
        <v>846.92681318681321</v>
      </c>
      <c r="J11" s="61">
        <v>819.60659340659345</v>
      </c>
      <c r="K11" s="61">
        <v>846.92681318681321</v>
      </c>
      <c r="L11" s="61">
        <v>767.48390109890113</v>
      </c>
      <c r="M11" s="61">
        <v>885.88546703296709</v>
      </c>
      <c r="N11" s="62">
        <v>9986.0364010989015</v>
      </c>
    </row>
    <row r="12" spans="1:14">
      <c r="A12" s="59" t="s">
        <v>26</v>
      </c>
      <c r="B12" s="60">
        <v>103.28620879120878</v>
      </c>
      <c r="C12" s="61">
        <v>96.622582417582407</v>
      </c>
      <c r="D12" s="61">
        <v>103.28620879120878</v>
      </c>
      <c r="E12" s="61">
        <v>99.9543956043956</v>
      </c>
      <c r="F12" s="61">
        <v>103.28620879120878</v>
      </c>
      <c r="G12" s="61">
        <v>99.9543956043956</v>
      </c>
      <c r="H12" s="61">
        <v>103.28620879120878</v>
      </c>
      <c r="I12" s="61">
        <v>103.28620879120878</v>
      </c>
      <c r="J12" s="61">
        <v>99.9543956043956</v>
      </c>
      <c r="K12" s="61">
        <v>103.28620879120878</v>
      </c>
      <c r="L12" s="61">
        <v>99.9543956043956</v>
      </c>
      <c r="M12" s="61">
        <v>98.724615384615376</v>
      </c>
      <c r="N12" s="62">
        <v>1214.8820329670327</v>
      </c>
    </row>
    <row r="13" spans="1:14">
      <c r="A13" s="59" t="s">
        <v>11</v>
      </c>
      <c r="B13" s="60">
        <v>16167.758269230768</v>
      </c>
      <c r="C13" s="61">
        <v>15164.099203296702</v>
      </c>
      <c r="D13" s="61">
        <v>15231.226208791208</v>
      </c>
      <c r="E13" s="61">
        <v>16509.086538461539</v>
      </c>
      <c r="F13" s="61">
        <v>17059.389423076926</v>
      </c>
      <c r="G13" s="61">
        <v>16509.086538461539</v>
      </c>
      <c r="H13" s="61">
        <v>17059.389423076926</v>
      </c>
      <c r="I13" s="61">
        <v>17059.389423076926</v>
      </c>
      <c r="J13" s="61">
        <v>16509.079999999998</v>
      </c>
      <c r="K13" s="61">
        <v>17059.39</v>
      </c>
      <c r="L13" s="61">
        <v>16509.079999999998</v>
      </c>
      <c r="M13" s="61">
        <v>17059.39</v>
      </c>
      <c r="N13" s="62">
        <v>197896.36502747252</v>
      </c>
    </row>
    <row r="14" spans="1:14">
      <c r="A14" s="59" t="s">
        <v>42</v>
      </c>
      <c r="B14" s="60">
        <v>267.2481043956044</v>
      </c>
      <c r="C14" s="61">
        <v>250.0062912087912</v>
      </c>
      <c r="D14" s="61">
        <v>267.2481043956044</v>
      </c>
      <c r="E14" s="61">
        <v>241.11021978021978</v>
      </c>
      <c r="F14" s="61">
        <v>276.86917582417584</v>
      </c>
      <c r="G14" s="61">
        <v>267.93791208791208</v>
      </c>
      <c r="H14" s="61">
        <v>276.86917582417584</v>
      </c>
      <c r="I14" s="61">
        <v>276.86917582417584</v>
      </c>
      <c r="J14" s="61">
        <v>267.93791208791208</v>
      </c>
      <c r="K14" s="61">
        <v>276.86917582417584</v>
      </c>
      <c r="L14" s="61">
        <v>267.93791208791208</v>
      </c>
      <c r="M14" s="61">
        <v>276.86917582417584</v>
      </c>
      <c r="N14" s="62">
        <v>3213.7723351648356</v>
      </c>
    </row>
    <row r="15" spans="1:14">
      <c r="A15" s="59" t="s">
        <v>21</v>
      </c>
      <c r="B15" s="60">
        <v>1347.8737592325706</v>
      </c>
      <c r="C15" s="61">
        <v>1260.9141618627273</v>
      </c>
      <c r="D15" s="61">
        <v>1347.8737592325706</v>
      </c>
      <c r="E15" s="61">
        <v>1304.3939605476489</v>
      </c>
      <c r="F15" s="61">
        <v>1347.8737592325706</v>
      </c>
      <c r="G15" s="61">
        <v>1199.310993514682</v>
      </c>
      <c r="H15" s="61">
        <v>1406.2423306611422</v>
      </c>
      <c r="I15" s="61">
        <v>1405.3215109890111</v>
      </c>
      <c r="J15" s="61">
        <v>1347.0304945054945</v>
      </c>
      <c r="K15" s="61">
        <v>1391.9315109890113</v>
      </c>
      <c r="L15" s="61">
        <v>1342.7630494505495</v>
      </c>
      <c r="M15" s="61">
        <v>1396.5772527472529</v>
      </c>
      <c r="N15" s="62">
        <v>16098.106542965232</v>
      </c>
    </row>
    <row r="16" spans="1:14">
      <c r="A16" s="59" t="s">
        <v>45</v>
      </c>
      <c r="B16" s="60">
        <v>152.05967123287672</v>
      </c>
      <c r="C16" s="61">
        <v>142.2493698630137</v>
      </c>
      <c r="D16" s="61">
        <v>152.05967123287672</v>
      </c>
      <c r="E16" s="61">
        <v>147.1545205479452</v>
      </c>
      <c r="F16" s="61">
        <v>152.05967123287672</v>
      </c>
      <c r="G16" s="61">
        <v>142.67216438356164</v>
      </c>
      <c r="H16" s="61">
        <v>158.59854794520547</v>
      </c>
      <c r="I16" s="61">
        <v>158.59854794520547</v>
      </c>
      <c r="J16" s="61">
        <v>153.48246575342466</v>
      </c>
      <c r="K16" s="61">
        <v>158.59854794520547</v>
      </c>
      <c r="L16" s="61">
        <v>153.48246575342466</v>
      </c>
      <c r="M16" s="61">
        <v>158.59854794520547</v>
      </c>
      <c r="N16" s="62">
        <v>1829.6141917808218</v>
      </c>
    </row>
    <row r="17" spans="1:14">
      <c r="A17" s="59" t="s">
        <v>19</v>
      </c>
      <c r="B17" s="60">
        <v>1391.1071153846153</v>
      </c>
      <c r="C17" s="61">
        <v>1301.3582692307691</v>
      </c>
      <c r="D17" s="61">
        <v>1391.1071153846153</v>
      </c>
      <c r="E17" s="61">
        <v>1346.2326923076921</v>
      </c>
      <c r="F17" s="61">
        <v>1391.1071153846153</v>
      </c>
      <c r="G17" s="61">
        <v>1346.2326923076921</v>
      </c>
      <c r="H17" s="61">
        <v>1382.2803021978023</v>
      </c>
      <c r="I17" s="61">
        <v>1397.4059065934066</v>
      </c>
      <c r="J17" s="61">
        <v>1337.3272527472527</v>
      </c>
      <c r="K17" s="61">
        <v>1418.8751098901098</v>
      </c>
      <c r="L17" s="61">
        <v>1373.1049450549449</v>
      </c>
      <c r="M17" s="61">
        <v>1367.0176373626373</v>
      </c>
      <c r="N17" s="62">
        <v>16443.15615384615</v>
      </c>
    </row>
    <row r="18" spans="1:14">
      <c r="A18" s="59" t="s">
        <v>24</v>
      </c>
      <c r="B18" s="60">
        <v>852.74697802197795</v>
      </c>
      <c r="C18" s="61">
        <v>797.73104395604389</v>
      </c>
      <c r="D18" s="61">
        <v>852.74697802197795</v>
      </c>
      <c r="E18" s="61">
        <v>825.23901098901092</v>
      </c>
      <c r="F18" s="61">
        <v>852.74697802197795</v>
      </c>
      <c r="G18" s="61">
        <v>825.23901098901092</v>
      </c>
      <c r="H18" s="61">
        <v>807.63659340659342</v>
      </c>
      <c r="I18" s="61">
        <v>891.12054945054945</v>
      </c>
      <c r="J18" s="61">
        <v>862.37472527472528</v>
      </c>
      <c r="K18" s="61">
        <v>891.12054945054945</v>
      </c>
      <c r="L18" s="61">
        <v>862.37472527472528</v>
      </c>
      <c r="M18" s="61">
        <v>891.12054945054945</v>
      </c>
      <c r="N18" s="62">
        <v>10212.197692307693</v>
      </c>
    </row>
    <row r="19" spans="1:14">
      <c r="A19" s="59" t="s">
        <v>23</v>
      </c>
      <c r="B19" s="60">
        <v>1105.4438186813186</v>
      </c>
      <c r="C19" s="61">
        <v>1034.1248626373626</v>
      </c>
      <c r="D19" s="61">
        <v>1105.4438186813186</v>
      </c>
      <c r="E19" s="61">
        <v>1069.7843406593406</v>
      </c>
      <c r="F19" s="61">
        <v>1105.4438186813186</v>
      </c>
      <c r="G19" s="61">
        <v>1069.7843406593406</v>
      </c>
      <c r="H19" s="61">
        <v>1057.9298076923078</v>
      </c>
      <c r="I19" s="61">
        <v>1094.5972252747254</v>
      </c>
      <c r="J19" s="61">
        <v>1059.2876373626373</v>
      </c>
      <c r="K19" s="61">
        <v>1091.6720329670331</v>
      </c>
      <c r="L19" s="61">
        <v>1061.7626373626372</v>
      </c>
      <c r="M19" s="61">
        <v>1097.1547252747253</v>
      </c>
      <c r="N19" s="62">
        <v>12952.429065934066</v>
      </c>
    </row>
    <row r="20" spans="1:14">
      <c r="A20" s="59" t="s">
        <v>33</v>
      </c>
      <c r="B20" s="60">
        <v>640.55002739726012</v>
      </c>
      <c r="C20" s="61">
        <v>572.75239010989003</v>
      </c>
      <c r="D20" s="61">
        <v>664.79074175824178</v>
      </c>
      <c r="E20" s="61">
        <v>643.34587912087909</v>
      </c>
      <c r="F20" s="61">
        <v>664.79074175824178</v>
      </c>
      <c r="G20" s="61">
        <v>643.34587912087909</v>
      </c>
      <c r="H20" s="61">
        <v>664.79074175824178</v>
      </c>
      <c r="I20" s="61">
        <v>664.79074175824178</v>
      </c>
      <c r="J20" s="61">
        <v>643.34587912087909</v>
      </c>
      <c r="K20" s="61">
        <v>664.79074175824178</v>
      </c>
      <c r="L20" s="61">
        <v>643.34587912087909</v>
      </c>
      <c r="M20" s="61">
        <v>664.79074175824178</v>
      </c>
      <c r="N20" s="62">
        <v>7775.4303845401173</v>
      </c>
    </row>
    <row r="21" spans="1:14">
      <c r="A21" s="59" t="s">
        <v>34</v>
      </c>
      <c r="B21" s="60">
        <v>1062.6936263736263</v>
      </c>
      <c r="C21" s="61">
        <v>994.13274725274732</v>
      </c>
      <c r="D21" s="61">
        <v>1062.6936263736263</v>
      </c>
      <c r="E21" s="61">
        <v>1028.4131868131867</v>
      </c>
      <c r="F21" s="61">
        <v>1062.6936263736263</v>
      </c>
      <c r="G21" s="61">
        <v>171.4</v>
      </c>
      <c r="H21" s="61">
        <v>1932.5947252747253</v>
      </c>
      <c r="I21" s="61">
        <v>1109.4525274725274</v>
      </c>
      <c r="J21" s="61">
        <v>1073.6637362637364</v>
      </c>
      <c r="K21" s="61">
        <v>1109.4525274725274</v>
      </c>
      <c r="L21" s="61">
        <v>1073.6637362637364</v>
      </c>
      <c r="M21" s="61">
        <v>1109.4525274725274</v>
      </c>
      <c r="N21" s="62">
        <v>12790.306593406593</v>
      </c>
    </row>
    <row r="22" spans="1:14">
      <c r="A22" s="59" t="s">
        <v>49</v>
      </c>
      <c r="B22" s="60">
        <v>10.295576923076922</v>
      </c>
      <c r="C22" s="61">
        <v>9.6313461538461524</v>
      </c>
      <c r="D22" s="61">
        <v>10.295576923076922</v>
      </c>
      <c r="E22" s="61">
        <v>9.9634615384615373</v>
      </c>
      <c r="F22" s="61">
        <v>8.3000000000000007</v>
      </c>
      <c r="G22" s="61"/>
      <c r="H22" s="61"/>
      <c r="I22" s="61"/>
      <c r="J22" s="61"/>
      <c r="K22" s="61"/>
      <c r="L22" s="61"/>
      <c r="M22" s="61"/>
      <c r="N22" s="62">
        <v>48.485961538461538</v>
      </c>
    </row>
    <row r="23" spans="1:14">
      <c r="A23" s="59" t="s">
        <v>37</v>
      </c>
      <c r="B23" s="60">
        <v>692.91813186813181</v>
      </c>
      <c r="C23" s="61">
        <v>648.21373626373634</v>
      </c>
      <c r="D23" s="61">
        <v>692.91813186813181</v>
      </c>
      <c r="E23" s="61">
        <v>670.56593406593402</v>
      </c>
      <c r="F23" s="61">
        <v>692.91813186813181</v>
      </c>
      <c r="G23" s="61">
        <v>670.56593406593402</v>
      </c>
      <c r="H23" s="61">
        <v>692.91813186813181</v>
      </c>
      <c r="I23" s="61">
        <v>692.91813186813181</v>
      </c>
      <c r="J23" s="61">
        <v>654.11890109890112</v>
      </c>
      <c r="K23" s="61">
        <v>693.883956043956</v>
      </c>
      <c r="L23" s="61">
        <v>702.75247252747249</v>
      </c>
      <c r="M23" s="61">
        <v>726.17755494505491</v>
      </c>
      <c r="N23" s="62">
        <v>8230.8691483516486</v>
      </c>
    </row>
    <row r="24" spans="1:14">
      <c r="A24" s="59" t="s">
        <v>36</v>
      </c>
      <c r="B24" s="60">
        <v>620.10475274725275</v>
      </c>
      <c r="C24" s="61">
        <v>580.09799450549451</v>
      </c>
      <c r="D24" s="61">
        <v>620.10475274725275</v>
      </c>
      <c r="E24" s="61">
        <v>600.10137362637363</v>
      </c>
      <c r="F24" s="61">
        <v>620.10475274725275</v>
      </c>
      <c r="G24" s="61">
        <v>600.10137362637363</v>
      </c>
      <c r="H24" s="61">
        <v>620.10475274725275</v>
      </c>
      <c r="I24" s="61">
        <v>620.10475274725275</v>
      </c>
      <c r="J24" s="61">
        <v>600.10137362637363</v>
      </c>
      <c r="K24" s="61">
        <v>620.10475274725275</v>
      </c>
      <c r="L24" s="61">
        <v>577.57681318681318</v>
      </c>
      <c r="M24" s="61">
        <v>648.62901098901102</v>
      </c>
      <c r="N24" s="62">
        <v>7327.2364560439564</v>
      </c>
    </row>
    <row r="25" spans="1:14">
      <c r="A25" s="59" t="s">
        <v>39</v>
      </c>
      <c r="B25" s="60">
        <v>375.11958791208787</v>
      </c>
      <c r="C25" s="61">
        <v>350.91832417582418</v>
      </c>
      <c r="D25" s="61">
        <v>375.11958791208787</v>
      </c>
      <c r="E25" s="61">
        <v>401.42318681318682</v>
      </c>
      <c r="F25" s="61">
        <v>388.62417582417584</v>
      </c>
      <c r="G25" s="61">
        <v>376.08791208791212</v>
      </c>
      <c r="H25" s="61">
        <v>388.62417582417584</v>
      </c>
      <c r="I25" s="61">
        <v>388.62417582417584</v>
      </c>
      <c r="J25" s="61">
        <v>376.08791208791212</v>
      </c>
      <c r="K25" s="61">
        <v>388.62417582417584</v>
      </c>
      <c r="L25" s="61">
        <v>376.08791208791212</v>
      </c>
      <c r="M25" s="61">
        <v>388.62417582417584</v>
      </c>
      <c r="N25" s="62">
        <v>4573.965302197802</v>
      </c>
    </row>
    <row r="26" spans="1:14">
      <c r="A26" s="59" t="s">
        <v>12</v>
      </c>
      <c r="B26" s="60">
        <v>7988.6446428571435</v>
      </c>
      <c r="C26" s="61">
        <v>7473.2482142857152</v>
      </c>
      <c r="D26" s="61">
        <v>7988.6446428571435</v>
      </c>
      <c r="E26" s="61">
        <v>7766.0498901098899</v>
      </c>
      <c r="F26" s="61">
        <v>7997.858626373627</v>
      </c>
      <c r="G26" s="61">
        <v>7739.863186813187</v>
      </c>
      <c r="H26" s="61">
        <v>7997.858626373627</v>
      </c>
      <c r="I26" s="61">
        <v>7997.858626373627</v>
      </c>
      <c r="J26" s="61">
        <v>7475.3365659340661</v>
      </c>
      <c r="K26" s="61">
        <v>8299.3004120879123</v>
      </c>
      <c r="L26" s="61">
        <v>7937.8621978021974</v>
      </c>
      <c r="M26" s="61">
        <v>8366.1241483516478</v>
      </c>
      <c r="N26" s="62">
        <v>95028.649780219785</v>
      </c>
    </row>
    <row r="27" spans="1:14">
      <c r="A27" s="59" t="s">
        <v>16</v>
      </c>
      <c r="B27" s="60">
        <v>2315.7332142857144</v>
      </c>
      <c r="C27" s="61">
        <v>2166.3310714285717</v>
      </c>
      <c r="D27" s="61">
        <v>2315.7332142857144</v>
      </c>
      <c r="E27" s="61">
        <v>2241.0321428571428</v>
      </c>
      <c r="F27" s="61">
        <v>2315.7332142857144</v>
      </c>
      <c r="G27" s="61">
        <v>2241.0321428571428</v>
      </c>
      <c r="H27" s="61">
        <v>2315.7332142857144</v>
      </c>
      <c r="I27" s="61">
        <v>2315.7332142857144</v>
      </c>
      <c r="J27" s="61">
        <v>2238.0758241758244</v>
      </c>
      <c r="K27" s="61">
        <v>2317.9330219780222</v>
      </c>
      <c r="L27" s="61">
        <v>2243.1609890109894</v>
      </c>
      <c r="M27" s="61">
        <v>2171.4846703296707</v>
      </c>
      <c r="N27" s="62">
        <v>27197.715934065938</v>
      </c>
    </row>
    <row r="28" spans="1:14">
      <c r="A28" s="59" t="s">
        <v>43</v>
      </c>
      <c r="B28" s="60">
        <v>102.12200549450549</v>
      </c>
      <c r="C28" s="61">
        <v>95.533489010989001</v>
      </c>
      <c r="D28" s="61">
        <v>102.12200549450549</v>
      </c>
      <c r="E28" s="61">
        <v>98.827747252747244</v>
      </c>
      <c r="F28" s="61">
        <v>96.875164835164838</v>
      </c>
      <c r="G28" s="61">
        <v>102.1879120879121</v>
      </c>
      <c r="H28" s="61">
        <v>105.59417582417584</v>
      </c>
      <c r="I28" s="61">
        <v>105.59417582417584</v>
      </c>
      <c r="J28" s="61">
        <v>102.1879120879121</v>
      </c>
      <c r="K28" s="61">
        <v>105.59417582417584</v>
      </c>
      <c r="L28" s="61">
        <v>102.1879120879121</v>
      </c>
      <c r="M28" s="61">
        <v>105.59417582417584</v>
      </c>
      <c r="N28" s="62">
        <v>1224.4208516483518</v>
      </c>
    </row>
    <row r="29" spans="1:14">
      <c r="A29" s="59" t="s">
        <v>30</v>
      </c>
      <c r="B29" s="60">
        <v>463.69697802197805</v>
      </c>
      <c r="C29" s="61">
        <v>433.78104395604402</v>
      </c>
      <c r="D29" s="61">
        <v>463.69697802197805</v>
      </c>
      <c r="E29" s="61">
        <v>448.73901098901092</v>
      </c>
      <c r="F29" s="61">
        <v>463.69697802197805</v>
      </c>
      <c r="G29" s="61">
        <v>448.73901098901092</v>
      </c>
      <c r="H29" s="61">
        <v>463.69697802197805</v>
      </c>
      <c r="I29" s="61">
        <v>463.69697802197805</v>
      </c>
      <c r="J29" s="61">
        <v>448.73901098901092</v>
      </c>
      <c r="K29" s="61">
        <v>465.22038461538466</v>
      </c>
      <c r="L29" s="61">
        <v>459.50104395604399</v>
      </c>
      <c r="M29" s="61">
        <v>485.6490659340659</v>
      </c>
      <c r="N29" s="62">
        <v>5508.8534615384615</v>
      </c>
    </row>
    <row r="30" spans="1:14">
      <c r="A30" s="59" t="s">
        <v>17</v>
      </c>
      <c r="B30" s="60">
        <v>1874.9234340659341</v>
      </c>
      <c r="C30" s="61">
        <v>1753.9606318681317</v>
      </c>
      <c r="D30" s="61">
        <v>1766.6596153846153</v>
      </c>
      <c r="E30" s="61">
        <v>1877.948076923077</v>
      </c>
      <c r="F30" s="61">
        <v>1940.5463461538461</v>
      </c>
      <c r="G30" s="61">
        <v>1877.948076923077</v>
      </c>
      <c r="H30" s="61">
        <v>1940.5463461538461</v>
      </c>
      <c r="I30" s="61">
        <v>1940.5463461538461</v>
      </c>
      <c r="J30" s="61">
        <v>1877.948076923077</v>
      </c>
      <c r="K30" s="61">
        <v>1940.5463461538461</v>
      </c>
      <c r="L30" s="61">
        <v>1877.948076923077</v>
      </c>
      <c r="M30" s="61">
        <v>1940.5463461538461</v>
      </c>
      <c r="N30" s="62">
        <v>22610.067719780218</v>
      </c>
    </row>
    <row r="31" spans="1:14">
      <c r="A31" s="59" t="s">
        <v>41</v>
      </c>
      <c r="B31" s="60">
        <v>346.06104922474788</v>
      </c>
      <c r="C31" s="61">
        <v>415.15916302875212</v>
      </c>
      <c r="D31" s="61">
        <v>332.82019930754183</v>
      </c>
      <c r="E31" s="61">
        <v>313.04376335992777</v>
      </c>
      <c r="F31" s="61">
        <v>323.47855547192535</v>
      </c>
      <c r="G31" s="61">
        <v>313.04376335992777</v>
      </c>
      <c r="H31" s="61">
        <v>323.47855547192535</v>
      </c>
      <c r="I31" s="61">
        <v>323.47855547192535</v>
      </c>
      <c r="J31" s="61">
        <v>313.04376335992777</v>
      </c>
      <c r="K31" s="61">
        <v>323.47855547192535</v>
      </c>
      <c r="L31" s="61">
        <v>313.04376335992777</v>
      </c>
      <c r="M31" s="61">
        <v>323.47855547192535</v>
      </c>
      <c r="N31" s="62">
        <v>3963.6082423603784</v>
      </c>
    </row>
    <row r="32" spans="1:14">
      <c r="A32" s="59" t="s">
        <v>14</v>
      </c>
      <c r="B32" s="60">
        <v>5000.3928296703289</v>
      </c>
      <c r="C32" s="61">
        <v>4677.7868406593407</v>
      </c>
      <c r="D32" s="61">
        <v>4768.1175824175825</v>
      </c>
      <c r="E32" s="61">
        <v>5008.4579670329667</v>
      </c>
      <c r="F32" s="61">
        <v>5175.4065659340658</v>
      </c>
      <c r="G32" s="61">
        <v>5008.4579670329667</v>
      </c>
      <c r="H32" s="61">
        <v>5175.4065659340658</v>
      </c>
      <c r="I32" s="61">
        <v>5175.4065659340658</v>
      </c>
      <c r="J32" s="61">
        <v>5008.4579670329667</v>
      </c>
      <c r="K32" s="61">
        <v>5175.4065659340658</v>
      </c>
      <c r="L32" s="61">
        <v>5008.4579670329667</v>
      </c>
      <c r="M32" s="61">
        <v>5175.4065659340658</v>
      </c>
      <c r="N32" s="62">
        <v>60357.161950549445</v>
      </c>
    </row>
    <row r="33" spans="1:14">
      <c r="A33" s="59" t="s">
        <v>25</v>
      </c>
      <c r="B33" s="60">
        <v>819.71296703296707</v>
      </c>
      <c r="C33" s="61">
        <v>804.92686813186822</v>
      </c>
      <c r="D33" s="61">
        <v>860.43906593406598</v>
      </c>
      <c r="E33" s="61">
        <v>832.6829670329671</v>
      </c>
      <c r="F33" s="61">
        <v>860.43906593406598</v>
      </c>
      <c r="G33" s="61">
        <v>832.6829670329671</v>
      </c>
      <c r="H33" s="61">
        <v>860.43906593406598</v>
      </c>
      <c r="I33" s="61">
        <v>855.10260989010999</v>
      </c>
      <c r="J33" s="61">
        <v>836.36456043956048</v>
      </c>
      <c r="K33" s="61">
        <v>864.24337912087913</v>
      </c>
      <c r="L33" s="61">
        <v>836.36456043956048</v>
      </c>
      <c r="M33" s="61">
        <v>864.24337912087913</v>
      </c>
      <c r="N33" s="62">
        <v>10127.641456043957</v>
      </c>
    </row>
    <row r="34" spans="1:14">
      <c r="A34" s="59" t="s">
        <v>13</v>
      </c>
      <c r="B34" s="60">
        <v>952.99901098901103</v>
      </c>
      <c r="C34" s="61">
        <v>891.51520382842966</v>
      </c>
      <c r="D34" s="61">
        <v>952.99901098901103</v>
      </c>
      <c r="E34" s="61">
        <v>922.25710740872023</v>
      </c>
      <c r="F34" s="61">
        <v>894.84901098901094</v>
      </c>
      <c r="G34" s="61">
        <v>998.37032967032951</v>
      </c>
      <c r="H34" s="61">
        <v>1031.6493406593406</v>
      </c>
      <c r="I34" s="61">
        <v>1031.6493406593406</v>
      </c>
      <c r="J34" s="61">
        <v>998.37032967032951</v>
      </c>
      <c r="K34" s="61">
        <v>1031.6493406593406</v>
      </c>
      <c r="L34" s="61">
        <v>998.37032967032951</v>
      </c>
      <c r="M34" s="61">
        <v>1031.6493406593406</v>
      </c>
      <c r="N34" s="62">
        <v>11736.327695852535</v>
      </c>
    </row>
    <row r="35" spans="1:14">
      <c r="A35" s="59" t="s">
        <v>15</v>
      </c>
      <c r="B35" s="60">
        <v>9133.6899838928184</v>
      </c>
      <c r="C35" s="61">
        <v>8544.4196623513471</v>
      </c>
      <c r="D35" s="61">
        <v>9133.6899838928184</v>
      </c>
      <c r="E35" s="61">
        <v>8699.2416382658448</v>
      </c>
      <c r="F35" s="61">
        <v>9378.4041985548702</v>
      </c>
      <c r="G35" s="61">
        <v>9075.87503085955</v>
      </c>
      <c r="H35" s="61">
        <v>9378.4041985548702</v>
      </c>
      <c r="I35" s="61">
        <v>9378.4041985548702</v>
      </c>
      <c r="J35" s="61">
        <v>9075.87503085955</v>
      </c>
      <c r="K35" s="61">
        <v>9378.4041985548702</v>
      </c>
      <c r="L35" s="61">
        <v>9075.87503085955</v>
      </c>
      <c r="M35" s="61">
        <v>9378.4041985548702</v>
      </c>
      <c r="N35" s="62">
        <v>109630.68735375581</v>
      </c>
    </row>
    <row r="36" spans="1:14">
      <c r="A36" s="63" t="s">
        <v>76</v>
      </c>
      <c r="B36" s="64">
        <v>59060.987540430826</v>
      </c>
      <c r="C36" s="65">
        <v>55366.18902744037</v>
      </c>
      <c r="D36" s="65">
        <v>57785.657057968085</v>
      </c>
      <c r="E36" s="65">
        <v>58006.648907110372</v>
      </c>
      <c r="F36" s="65">
        <v>60180.439879961159</v>
      </c>
      <c r="G36" s="65">
        <v>57945.430526556986</v>
      </c>
      <c r="H36" s="65">
        <v>61203.015383799793</v>
      </c>
      <c r="I36" s="65">
        <v>60492.159509182609</v>
      </c>
      <c r="J36" s="65">
        <v>58159.366425937078</v>
      </c>
      <c r="K36" s="65">
        <v>60944.063355336446</v>
      </c>
      <c r="L36" s="65">
        <v>58851.330656706305</v>
      </c>
      <c r="M36" s="65">
        <v>60938.353300391398</v>
      </c>
      <c r="N36" s="66">
        <v>708933.64157082117</v>
      </c>
    </row>
    <row r="37" spans="1:14">
      <c r="B37" s="47">
        <v>59061</v>
      </c>
      <c r="C37" s="47">
        <v>55366</v>
      </c>
      <c r="D37" s="47">
        <v>57786</v>
      </c>
      <c r="E37" s="47">
        <v>58007</v>
      </c>
      <c r="F37" s="47">
        <v>60180</v>
      </c>
      <c r="G37" s="47">
        <v>57945</v>
      </c>
      <c r="H37" s="47">
        <v>61203</v>
      </c>
      <c r="I37" s="47">
        <v>60492</v>
      </c>
      <c r="J37" s="47">
        <v>58159</v>
      </c>
      <c r="K37" s="47">
        <v>60944</v>
      </c>
      <c r="L37" s="47">
        <v>58851</v>
      </c>
      <c r="M37" s="47">
        <v>60938</v>
      </c>
    </row>
    <row r="39" spans="1:14">
      <c r="B39" s="51">
        <f>B37-GETPIVOTDATA("Sum of Jan-25",$A$1)</f>
        <v>1.2459569174097851E-2</v>
      </c>
      <c r="C39" s="51">
        <f>C37-GETPIVOTDATA("Sum of Feb-25",$A$1)</f>
        <v>-0.18902744037040975</v>
      </c>
      <c r="D39" s="51">
        <f>D37-GETPIVOTDATA("Sum of Mar-25",$A$1)</f>
        <v>0.34294203191529959</v>
      </c>
      <c r="E39" s="51">
        <f>E37-GETPIVOTDATA("Sum of Apr-25",$A$1)</f>
        <v>0.3510928896284895</v>
      </c>
      <c r="F39" s="51">
        <f>F37-GETPIVOTDATA("Sum of May-25",$A$1)</f>
        <v>-0.43987996115902206</v>
      </c>
      <c r="G39" s="51">
        <f>G37-GETPIVOTDATA("Sum of Jun-25",$A$1)</f>
        <v>-0.43052655698556919</v>
      </c>
      <c r="H39" s="51">
        <f>H37-GETPIVOTDATA("Sum of Jul-25",$A$1)</f>
        <v>-1.5383799793198705E-2</v>
      </c>
      <c r="I39" s="51">
        <f>I37-GETPIVOTDATA("Sum of Aug-25",$A$1)</f>
        <v>-0.15950918260932667</v>
      </c>
      <c r="J39" s="51">
        <f>J37-GETPIVOTDATA("Sum of Sep-25",$A$1)</f>
        <v>-0.36642593707802007</v>
      </c>
      <c r="K39" s="51">
        <f>K37-GETPIVOTDATA("Sum of Oct-25",$A$1)</f>
        <v>-6.3355336445965804E-2</v>
      </c>
      <c r="L39" s="51">
        <f>L37-GETPIVOTDATA("Sum of Nov-25",$A$1)</f>
        <v>-0.33065670630458044</v>
      </c>
      <c r="M39" s="51">
        <f>M37-GETPIVOTDATA("Sum of Dec-25",$A$1)</f>
        <v>-0.35330039139807923</v>
      </c>
    </row>
    <row r="40" spans="1:14">
      <c r="B40" t="s">
        <v>628</v>
      </c>
    </row>
    <row r="44" spans="1:14">
      <c r="B44">
        <v>0.80549000000000004</v>
      </c>
      <c r="C44">
        <v>0.79437000000000002</v>
      </c>
      <c r="D44">
        <v>0.77312000000000003</v>
      </c>
      <c r="E44">
        <v>0.74848000000000003</v>
      </c>
      <c r="F44">
        <v>0.74348000000000003</v>
      </c>
      <c r="G44">
        <v>0.72924</v>
      </c>
      <c r="H44">
        <v>0.75575000000000003</v>
      </c>
      <c r="I44">
        <v>0.74082999999999999</v>
      </c>
      <c r="J44">
        <v>0.74399999999999999</v>
      </c>
      <c r="K44">
        <v>0.76107999999999998</v>
      </c>
      <c r="L44">
        <v>0.75609000000000004</v>
      </c>
      <c r="M44">
        <v>0.74321999999999999</v>
      </c>
    </row>
    <row r="46" spans="1:14">
      <c r="A46" t="s">
        <v>35</v>
      </c>
      <c r="B46" s="47">
        <f>B2/$B$44</f>
        <v>408.83857604114837</v>
      </c>
      <c r="C46" s="47">
        <f>C2/$C$44</f>
        <v>387.81579209843119</v>
      </c>
      <c r="D46" s="47">
        <f>D2/$D$44</f>
        <v>398.47630380794698</v>
      </c>
      <c r="E46" s="47">
        <f>E2/$E$44</f>
        <v>440.68763242956265</v>
      </c>
      <c r="F46" s="47">
        <f>F2/$F$44</f>
        <v>458.43969139484818</v>
      </c>
      <c r="G46" s="47">
        <f>G2/$G$44</f>
        <v>452.31457287159111</v>
      </c>
      <c r="H46" s="47">
        <f>H2/$H$44</f>
        <v>450.99668112238402</v>
      </c>
      <c r="I46" s="47">
        <f>I2/$I$44</f>
        <v>460.0795617864311</v>
      </c>
      <c r="J46" s="47">
        <f>J2/$J$44</f>
        <v>443.34123537752566</v>
      </c>
      <c r="K46" s="47">
        <f>K2/$K$44</f>
        <v>447.83825847248875</v>
      </c>
      <c r="L46" s="47">
        <f>L2/$L$44</f>
        <v>436.25213813286655</v>
      </c>
      <c r="M46" s="47">
        <f>M2/$M$44</f>
        <v>458.6000669495462</v>
      </c>
      <c r="N46" s="47">
        <f>SUM(B46:M46)</f>
        <v>5243.6805104847699</v>
      </c>
    </row>
    <row r="47" spans="1:14">
      <c r="A47" t="s">
        <v>32</v>
      </c>
      <c r="B47" s="47">
        <f>B3/$B$44</f>
        <v>127.19375374405232</v>
      </c>
      <c r="C47" s="47">
        <f t="shared" ref="C47:C79" si="0">C3/$C$44</f>
        <v>120.65335623627098</v>
      </c>
      <c r="D47" s="47">
        <f t="shared" ref="D47:D79" si="1">D3/$D$44</f>
        <v>132.51926829379229</v>
      </c>
      <c r="E47" s="47">
        <f t="shared" ref="E47:E79" si="2">E3/$E$44</f>
        <v>124.74281209918769</v>
      </c>
      <c r="F47" s="47">
        <f t="shared" ref="F47:F79" si="3">F3/$F$44</f>
        <v>142.76347139705936</v>
      </c>
      <c r="G47" s="47">
        <f t="shared" ref="G47:G79" si="4">G3/$G$44</f>
        <v>140.85603798866921</v>
      </c>
      <c r="H47" s="47">
        <f t="shared" ref="H47:H79" si="5">H3/$H$44</f>
        <v>140.44563111384147</v>
      </c>
      <c r="I47" s="47">
        <f t="shared" ref="I47:I79" si="6">I3/$I$44</f>
        <v>143.27414617967105</v>
      </c>
      <c r="J47" s="47">
        <f t="shared" ref="J47:J79" si="7">J3/$J$44</f>
        <v>138.06163594470047</v>
      </c>
      <c r="K47" s="47">
        <f t="shared" ref="K47:K79" si="8">K3/$K$44</f>
        <v>139.46206143149959</v>
      </c>
      <c r="L47" s="47">
        <f t="shared" ref="L47:L79" si="9">L3/$L$44</f>
        <v>135.85400830966833</v>
      </c>
      <c r="M47" s="47">
        <f t="shared" ref="M47:M79" si="10">M3/$M$44</f>
        <v>142.81341421690172</v>
      </c>
      <c r="N47" s="47">
        <f t="shared" ref="N47:N79" si="11">SUM(B47:M47)</f>
        <v>1628.6395969553146</v>
      </c>
    </row>
    <row r="48" spans="1:14">
      <c r="A48" t="s">
        <v>27</v>
      </c>
      <c r="B48" s="47">
        <f>B4/$B$44</f>
        <v>1241.2187776220849</v>
      </c>
      <c r="C48" s="47">
        <f t="shared" si="0"/>
        <v>1208.7751272104911</v>
      </c>
      <c r="D48" s="47">
        <f t="shared" si="1"/>
        <v>1327.6546992690669</v>
      </c>
      <c r="E48" s="47">
        <f t="shared" si="2"/>
        <v>1327.1237033060993</v>
      </c>
      <c r="F48" s="47">
        <f t="shared" si="3"/>
        <v>1380.5837428026323</v>
      </c>
      <c r="G48" s="47">
        <f t="shared" si="4"/>
        <v>1362.1380470771614</v>
      </c>
      <c r="H48" s="47">
        <f t="shared" si="5"/>
        <v>1358.1692373124724</v>
      </c>
      <c r="I48" s="47">
        <f t="shared" si="6"/>
        <v>1385.5221860600964</v>
      </c>
      <c r="J48" s="47">
        <f t="shared" si="7"/>
        <v>1285.7229262672811</v>
      </c>
      <c r="K48" s="47">
        <f t="shared" si="8"/>
        <v>1388.3944995457582</v>
      </c>
      <c r="L48" s="47">
        <f t="shared" si="9"/>
        <v>1352.4750454877819</v>
      </c>
      <c r="M48" s="47">
        <f t="shared" si="10"/>
        <v>1421.7584103149616</v>
      </c>
      <c r="N48" s="47">
        <f t="shared" si="11"/>
        <v>16039.536402275888</v>
      </c>
    </row>
    <row r="49" spans="1:14">
      <c r="A49" t="s">
        <v>22</v>
      </c>
      <c r="B49" s="47">
        <f>B5/$B$44</f>
        <v>541.48351989417677</v>
      </c>
      <c r="C49" s="47">
        <f t="shared" si="0"/>
        <v>443.3544475842146</v>
      </c>
      <c r="D49" s="47">
        <f t="shared" si="1"/>
        <v>486.95708782111933</v>
      </c>
      <c r="E49" s="47">
        <f t="shared" si="2"/>
        <v>486.7623291629277</v>
      </c>
      <c r="F49" s="47">
        <f t="shared" si="3"/>
        <v>506.37039831100196</v>
      </c>
      <c r="G49" s="47">
        <f t="shared" si="4"/>
        <v>499.60488746073742</v>
      </c>
      <c r="H49" s="47">
        <f t="shared" si="5"/>
        <v>498.14920772247933</v>
      </c>
      <c r="I49" s="47">
        <f t="shared" si="6"/>
        <v>508.1817201466784</v>
      </c>
      <c r="J49" s="47">
        <f t="shared" si="7"/>
        <v>489.69337114498404</v>
      </c>
      <c r="K49" s="47">
        <f t="shared" si="8"/>
        <v>494.66056621677586</v>
      </c>
      <c r="L49" s="47">
        <f t="shared" si="9"/>
        <v>481.86309583762267</v>
      </c>
      <c r="M49" s="47">
        <f t="shared" si="10"/>
        <v>506.54754142281394</v>
      </c>
      <c r="N49" s="47">
        <f t="shared" si="11"/>
        <v>5943.6281727255318</v>
      </c>
    </row>
    <row r="50" spans="1:14">
      <c r="A50" t="s">
        <v>29</v>
      </c>
      <c r="B50" s="47">
        <f>B6/$B$44</f>
        <v>1561.8547116020702</v>
      </c>
      <c r="C50" s="47">
        <f t="shared" si="0"/>
        <v>1481.5429795980422</v>
      </c>
      <c r="D50" s="47">
        <f t="shared" si="1"/>
        <v>1627.2484887835674</v>
      </c>
      <c r="E50" s="47">
        <f t="shared" si="2"/>
        <v>1626.597670179329</v>
      </c>
      <c r="F50" s="47">
        <f t="shared" si="3"/>
        <v>1692.1213101204492</v>
      </c>
      <c r="G50" s="47">
        <f t="shared" si="4"/>
        <v>1669.5132249682194</v>
      </c>
      <c r="H50" s="47">
        <f t="shared" si="5"/>
        <v>1664.6488278509448</v>
      </c>
      <c r="I50" s="47">
        <f t="shared" si="6"/>
        <v>1698.1741447408335</v>
      </c>
      <c r="J50" s="47">
        <f t="shared" si="7"/>
        <v>1527.2983870967741</v>
      </c>
      <c r="K50" s="47">
        <f t="shared" si="8"/>
        <v>1732.3347475565379</v>
      </c>
      <c r="L50" s="47">
        <f t="shared" si="9"/>
        <v>1687.5171410345795</v>
      </c>
      <c r="M50" s="47">
        <f t="shared" si="10"/>
        <v>1773.9637384224452</v>
      </c>
      <c r="N50" s="47">
        <f t="shared" si="11"/>
        <v>19742.815371953791</v>
      </c>
    </row>
    <row r="51" spans="1:14">
      <c r="A51" t="s">
        <v>57</v>
      </c>
      <c r="B51" s="47">
        <f>B7/$B$44</f>
        <v>0</v>
      </c>
      <c r="C51" s="47">
        <f t="shared" si="0"/>
        <v>0</v>
      </c>
      <c r="D51" s="47">
        <f t="shared" si="1"/>
        <v>0</v>
      </c>
      <c r="E51" s="47">
        <f t="shared" si="2"/>
        <v>0</v>
      </c>
      <c r="F51" s="47">
        <f t="shared" si="3"/>
        <v>0</v>
      </c>
      <c r="G51" s="47">
        <f t="shared" si="4"/>
        <v>0</v>
      </c>
      <c r="H51" s="47">
        <f t="shared" si="5"/>
        <v>0</v>
      </c>
      <c r="I51" s="47">
        <f t="shared" si="6"/>
        <v>0</v>
      </c>
      <c r="J51" s="47">
        <f t="shared" si="7"/>
        <v>0</v>
      </c>
      <c r="K51" s="47">
        <f t="shared" si="8"/>
        <v>0</v>
      </c>
      <c r="L51" s="47">
        <f t="shared" si="9"/>
        <v>0</v>
      </c>
      <c r="M51" s="47">
        <f t="shared" si="10"/>
        <v>0</v>
      </c>
      <c r="N51" s="47">
        <f t="shared" si="11"/>
        <v>0</v>
      </c>
    </row>
    <row r="52" spans="1:14">
      <c r="A52" t="s">
        <v>18</v>
      </c>
      <c r="B52" s="47">
        <f>B8/$B$44</f>
        <v>193.48386084059783</v>
      </c>
      <c r="C52" s="47">
        <f t="shared" si="0"/>
        <v>183.53477667578736</v>
      </c>
      <c r="D52" s="47">
        <f t="shared" si="1"/>
        <v>201.58489635307993</v>
      </c>
      <c r="E52" s="47">
        <f t="shared" si="2"/>
        <v>201.50427240302903</v>
      </c>
      <c r="F52" s="47">
        <f t="shared" si="3"/>
        <v>209.62139542219447</v>
      </c>
      <c r="G52" s="47">
        <f t="shared" si="4"/>
        <v>199.92046514179145</v>
      </c>
      <c r="H52" s="47">
        <f t="shared" si="5"/>
        <v>0</v>
      </c>
      <c r="I52" s="47">
        <f t="shared" si="6"/>
        <v>0</v>
      </c>
      <c r="J52" s="47">
        <f t="shared" si="7"/>
        <v>0</v>
      </c>
      <c r="K52" s="47">
        <f t="shared" si="8"/>
        <v>0</v>
      </c>
      <c r="L52" s="47">
        <f t="shared" si="9"/>
        <v>0</v>
      </c>
      <c r="M52" s="47">
        <f t="shared" si="10"/>
        <v>0</v>
      </c>
      <c r="N52" s="47">
        <f t="shared" si="11"/>
        <v>1189.64966683648</v>
      </c>
    </row>
    <row r="53" spans="1:14">
      <c r="A53" t="s">
        <v>40</v>
      </c>
      <c r="B53" s="47">
        <f>B9/$B$44</f>
        <v>321.2037960211581</v>
      </c>
      <c r="C53" s="47">
        <f t="shared" si="0"/>
        <v>304.68725770738166</v>
      </c>
      <c r="D53" s="47">
        <f t="shared" si="1"/>
        <v>334.65237693641689</v>
      </c>
      <c r="E53" s="47">
        <f t="shared" si="2"/>
        <v>94.508093178732324</v>
      </c>
      <c r="F53" s="47">
        <f t="shared" si="3"/>
        <v>12.780916990885514</v>
      </c>
      <c r="G53" s="47">
        <f t="shared" si="4"/>
        <v>751.26515651874001</v>
      </c>
      <c r="H53" s="47">
        <f t="shared" si="5"/>
        <v>278.76863679824538</v>
      </c>
      <c r="I53" s="47">
        <f t="shared" si="6"/>
        <v>284.38291815973162</v>
      </c>
      <c r="J53" s="47">
        <f t="shared" si="7"/>
        <v>274.03667697746351</v>
      </c>
      <c r="K53" s="47">
        <f t="shared" si="8"/>
        <v>276.8163626166421</v>
      </c>
      <c r="L53" s="47">
        <f t="shared" si="9"/>
        <v>269.65478669369105</v>
      </c>
      <c r="M53" s="47">
        <f t="shared" si="10"/>
        <v>283.46841750797068</v>
      </c>
      <c r="N53" s="47">
        <f t="shared" si="11"/>
        <v>3486.2253961070592</v>
      </c>
    </row>
    <row r="54" spans="1:14">
      <c r="A54" t="s">
        <v>28</v>
      </c>
      <c r="B54" s="47">
        <f>B10/$B$44</f>
        <v>1100.6062349594672</v>
      </c>
      <c r="C54" s="47">
        <f t="shared" si="0"/>
        <v>1049.0717178162695</v>
      </c>
      <c r="D54" s="47">
        <f t="shared" si="1"/>
        <v>1152.2449169211816</v>
      </c>
      <c r="E54" s="47">
        <f t="shared" si="2"/>
        <v>1151.7840761622315</v>
      </c>
      <c r="F54" s="47">
        <f t="shared" si="3"/>
        <v>1192.6515120972454</v>
      </c>
      <c r="G54" s="47">
        <f t="shared" si="4"/>
        <v>1185.5696586218248</v>
      </c>
      <c r="H54" s="47">
        <f t="shared" si="5"/>
        <v>1182.1153094477788</v>
      </c>
      <c r="I54" s="47">
        <f t="shared" si="6"/>
        <v>1183.3352671925809</v>
      </c>
      <c r="J54" s="47">
        <f t="shared" si="7"/>
        <v>1193.4158014985455</v>
      </c>
      <c r="K54" s="47">
        <f t="shared" si="8"/>
        <v>1205.5211911915721</v>
      </c>
      <c r="L54" s="47">
        <f t="shared" si="9"/>
        <v>1174.3328920034887</v>
      </c>
      <c r="M54" s="47">
        <f t="shared" si="10"/>
        <v>1234.49055218116</v>
      </c>
      <c r="N54" s="47">
        <f t="shared" si="11"/>
        <v>14005.139130093346</v>
      </c>
    </row>
    <row r="55" spans="1:14">
      <c r="A55" t="s">
        <v>46</v>
      </c>
      <c r="B55" s="47">
        <f>B11/$B$44</f>
        <v>1051.4429889716982</v>
      </c>
      <c r="C55" s="47">
        <f t="shared" si="0"/>
        <v>997.37700772483049</v>
      </c>
      <c r="D55" s="47">
        <f t="shared" si="1"/>
        <v>1095.466180136089</v>
      </c>
      <c r="E55" s="47">
        <f t="shared" si="2"/>
        <v>1095.028048052845</v>
      </c>
      <c r="F55" s="47">
        <f t="shared" si="3"/>
        <v>1139.1386630263264</v>
      </c>
      <c r="G55" s="47">
        <f t="shared" si="4"/>
        <v>1123.9188654031504</v>
      </c>
      <c r="H55" s="47">
        <f t="shared" si="5"/>
        <v>1120.6441457979665</v>
      </c>
      <c r="I55" s="47">
        <f t="shared" si="6"/>
        <v>1143.2134405826077</v>
      </c>
      <c r="J55" s="47">
        <f t="shared" si="7"/>
        <v>1101.6217653314427</v>
      </c>
      <c r="K55" s="47">
        <f t="shared" si="8"/>
        <v>1112.7960440253498</v>
      </c>
      <c r="L55" s="47">
        <f t="shared" si="9"/>
        <v>1015.0695037613261</v>
      </c>
      <c r="M55" s="47">
        <f t="shared" si="10"/>
        <v>1191.9559040835379</v>
      </c>
      <c r="N55" s="47">
        <f t="shared" si="11"/>
        <v>13187.672556897169</v>
      </c>
    </row>
    <row r="56" spans="1:14">
      <c r="A56" t="s">
        <v>26</v>
      </c>
      <c r="B56" s="47">
        <f>B12/$B$44</f>
        <v>128.22779772710868</v>
      </c>
      <c r="C56" s="47">
        <f t="shared" si="0"/>
        <v>121.63422890791747</v>
      </c>
      <c r="D56" s="47">
        <f t="shared" si="1"/>
        <v>133.59660698366201</v>
      </c>
      <c r="E56" s="47">
        <f t="shared" si="2"/>
        <v>133.54317497380771</v>
      </c>
      <c r="F56" s="47">
        <f t="shared" si="3"/>
        <v>138.92264592350671</v>
      </c>
      <c r="G56" s="47">
        <f t="shared" si="4"/>
        <v>137.06652899511218</v>
      </c>
      <c r="H56" s="47">
        <f t="shared" si="5"/>
        <v>136.66716346835432</v>
      </c>
      <c r="I56" s="47">
        <f t="shared" si="6"/>
        <v>139.41958180852393</v>
      </c>
      <c r="J56" s="47">
        <f t="shared" si="7"/>
        <v>134.34730591988657</v>
      </c>
      <c r="K56" s="47">
        <f t="shared" si="8"/>
        <v>135.7100551731865</v>
      </c>
      <c r="L56" s="47">
        <f t="shared" si="9"/>
        <v>132.19907101587853</v>
      </c>
      <c r="M56" s="47">
        <f t="shared" si="10"/>
        <v>132.83363658757216</v>
      </c>
      <c r="N56" s="47">
        <f t="shared" si="11"/>
        <v>1604.1677974845165</v>
      </c>
    </row>
    <row r="57" spans="1:14">
      <c r="A57" t="s">
        <v>11</v>
      </c>
      <c r="B57" s="47">
        <f>B13/$B$44</f>
        <v>20071.954051857585</v>
      </c>
      <c r="C57" s="47">
        <f t="shared" si="0"/>
        <v>19089.46612195413</v>
      </c>
      <c r="D57" s="47">
        <f t="shared" si="1"/>
        <v>19700.985886784983</v>
      </c>
      <c r="E57" s="47">
        <f t="shared" si="2"/>
        <v>22056.817200809022</v>
      </c>
      <c r="F57" s="47">
        <f t="shared" si="3"/>
        <v>22945.323913322383</v>
      </c>
      <c r="G57" s="47">
        <f t="shared" si="4"/>
        <v>22638.756154985382</v>
      </c>
      <c r="H57" s="47">
        <f t="shared" si="5"/>
        <v>22572.794473141814</v>
      </c>
      <c r="I57" s="47">
        <f t="shared" si="6"/>
        <v>23027.400919343068</v>
      </c>
      <c r="J57" s="47">
        <f t="shared" si="7"/>
        <v>22189.623655913976</v>
      </c>
      <c r="K57" s="47">
        <f t="shared" si="8"/>
        <v>22414.713302149576</v>
      </c>
      <c r="L57" s="47">
        <f t="shared" si="9"/>
        <v>21834.808025499606</v>
      </c>
      <c r="M57" s="47">
        <f t="shared" si="10"/>
        <v>22953.351632087404</v>
      </c>
      <c r="N57" s="47">
        <f t="shared" si="11"/>
        <v>261495.99533784893</v>
      </c>
    </row>
    <row r="58" spans="1:14">
      <c r="A58" t="s">
        <v>42</v>
      </c>
      <c r="B58" s="47">
        <f>B14/$B$44</f>
        <v>331.78326781909692</v>
      </c>
      <c r="C58" s="47">
        <f t="shared" si="0"/>
        <v>314.72272518951019</v>
      </c>
      <c r="D58" s="47">
        <f t="shared" si="1"/>
        <v>345.67480390573832</v>
      </c>
      <c r="E58" s="47">
        <f t="shared" si="2"/>
        <v>322.13314955672797</v>
      </c>
      <c r="F58" s="47">
        <f t="shared" si="3"/>
        <v>372.39626597107633</v>
      </c>
      <c r="G58" s="47">
        <f t="shared" si="4"/>
        <v>367.42075597596414</v>
      </c>
      <c r="H58" s="47">
        <f t="shared" si="5"/>
        <v>366.35021610873412</v>
      </c>
      <c r="I58" s="47">
        <f t="shared" si="6"/>
        <v>373.72835309608934</v>
      </c>
      <c r="J58" s="47">
        <f t="shared" si="7"/>
        <v>360.13160226869906</v>
      </c>
      <c r="K58" s="47">
        <f t="shared" si="8"/>
        <v>363.78459008800104</v>
      </c>
      <c r="L58" s="47">
        <f t="shared" si="9"/>
        <v>354.37304036280347</v>
      </c>
      <c r="M58" s="47">
        <f t="shared" si="10"/>
        <v>372.52654102981063</v>
      </c>
      <c r="N58" s="47">
        <f t="shared" si="11"/>
        <v>4245.025311372252</v>
      </c>
    </row>
    <row r="59" spans="1:14">
      <c r="A59" t="s">
        <v>21</v>
      </c>
      <c r="B59" s="47">
        <f>B15/$B$44</f>
        <v>1673.3587744510428</v>
      </c>
      <c r="C59" s="47">
        <f t="shared" si="0"/>
        <v>1587.3134205253562</v>
      </c>
      <c r="D59" s="47">
        <f t="shared" si="1"/>
        <v>1743.4211496696121</v>
      </c>
      <c r="E59" s="47">
        <f t="shared" si="2"/>
        <v>1742.7238677688767</v>
      </c>
      <c r="F59" s="47">
        <f t="shared" si="3"/>
        <v>1812.9253769201196</v>
      </c>
      <c r="G59" s="47">
        <f t="shared" si="4"/>
        <v>1644.6039623644917</v>
      </c>
      <c r="H59" s="47">
        <f t="shared" si="5"/>
        <v>1860.7242218473598</v>
      </c>
      <c r="I59" s="47">
        <f t="shared" si="6"/>
        <v>1896.9554567026323</v>
      </c>
      <c r="J59" s="47">
        <f t="shared" si="7"/>
        <v>1810.5248582063098</v>
      </c>
      <c r="K59" s="47">
        <f t="shared" si="8"/>
        <v>1828.8898814697684</v>
      </c>
      <c r="L59" s="47">
        <f t="shared" si="9"/>
        <v>1775.9301795428446</v>
      </c>
      <c r="M59" s="47">
        <f t="shared" si="10"/>
        <v>1879.0899770555864</v>
      </c>
      <c r="N59" s="47">
        <f t="shared" si="11"/>
        <v>21256.461126524002</v>
      </c>
    </row>
    <row r="60" spans="1:14">
      <c r="A60" t="s">
        <v>45</v>
      </c>
      <c r="B60" s="47">
        <f>B16/$B$44</f>
        <v>188.77909251868641</v>
      </c>
      <c r="C60" s="47">
        <f t="shared" si="0"/>
        <v>179.07193104348565</v>
      </c>
      <c r="D60" s="47">
        <f t="shared" si="1"/>
        <v>196.68314263358434</v>
      </c>
      <c r="E60" s="47">
        <f t="shared" si="2"/>
        <v>196.604479141654</v>
      </c>
      <c r="F60" s="47">
        <f t="shared" si="3"/>
        <v>204.5242255781954</v>
      </c>
      <c r="G60" s="47">
        <f t="shared" si="4"/>
        <v>195.64500628539525</v>
      </c>
      <c r="H60" s="47">
        <f t="shared" si="5"/>
        <v>209.8558358520747</v>
      </c>
      <c r="I60" s="47">
        <f t="shared" si="6"/>
        <v>214.0822428157681</v>
      </c>
      <c r="J60" s="47">
        <f t="shared" si="7"/>
        <v>206.29363676535573</v>
      </c>
      <c r="K60" s="47">
        <f t="shared" si="8"/>
        <v>208.38617220949897</v>
      </c>
      <c r="L60" s="47">
        <f t="shared" si="9"/>
        <v>202.9949685267953</v>
      </c>
      <c r="M60" s="47">
        <f t="shared" si="10"/>
        <v>213.39381064180924</v>
      </c>
      <c r="N60" s="47">
        <f t="shared" si="11"/>
        <v>2416.314544012303</v>
      </c>
    </row>
    <row r="61" spans="1:14">
      <c r="A61" t="s">
        <v>19</v>
      </c>
      <c r="B61" s="47">
        <f>B17/$B$44</f>
        <v>1727.0321361961232</v>
      </c>
      <c r="C61" s="47">
        <f t="shared" si="0"/>
        <v>1638.2268580520024</v>
      </c>
      <c r="D61" s="47">
        <f t="shared" si="1"/>
        <v>1799.3417779705806</v>
      </c>
      <c r="E61" s="47">
        <f t="shared" si="2"/>
        <v>1798.6221305949284</v>
      </c>
      <c r="F61" s="47">
        <f t="shared" si="3"/>
        <v>1871.0753690544673</v>
      </c>
      <c r="G61" s="47">
        <f t="shared" si="4"/>
        <v>1846.076315489677</v>
      </c>
      <c r="H61" s="47">
        <f t="shared" si="5"/>
        <v>1829.0179321175021</v>
      </c>
      <c r="I61" s="47">
        <f t="shared" si="6"/>
        <v>1886.2706782843657</v>
      </c>
      <c r="J61" s="47">
        <f t="shared" si="7"/>
        <v>1797.4828665957698</v>
      </c>
      <c r="K61" s="47">
        <f t="shared" si="8"/>
        <v>1864.2916774716323</v>
      </c>
      <c r="L61" s="47">
        <f t="shared" si="9"/>
        <v>1816.0601847067742</v>
      </c>
      <c r="M61" s="47">
        <f t="shared" si="10"/>
        <v>1839.3176143842163</v>
      </c>
      <c r="N61" s="47">
        <f t="shared" si="11"/>
        <v>21712.81554091804</v>
      </c>
    </row>
    <row r="62" spans="1:14">
      <c r="A62" t="s">
        <v>24</v>
      </c>
      <c r="B62" s="47">
        <f>B18/$B$44</f>
        <v>1058.6686091968591</v>
      </c>
      <c r="C62" s="47">
        <f t="shared" si="0"/>
        <v>1004.231081178851</v>
      </c>
      <c r="D62" s="47">
        <f t="shared" si="1"/>
        <v>1102.9943320855468</v>
      </c>
      <c r="E62" s="47">
        <f t="shared" si="2"/>
        <v>1102.5531891152882</v>
      </c>
      <c r="F62" s="47">
        <f t="shared" si="3"/>
        <v>1146.9669365981304</v>
      </c>
      <c r="G62" s="47">
        <f t="shared" si="4"/>
        <v>1131.6425470202005</v>
      </c>
      <c r="H62" s="47">
        <f t="shared" si="5"/>
        <v>1068.6557636871894</v>
      </c>
      <c r="I62" s="47">
        <f t="shared" si="6"/>
        <v>1202.8677961888011</v>
      </c>
      <c r="J62" s="47">
        <f t="shared" si="7"/>
        <v>1159.1058135412975</v>
      </c>
      <c r="K62" s="47">
        <f t="shared" si="8"/>
        <v>1170.863180546788</v>
      </c>
      <c r="L62" s="47">
        <f t="shared" si="9"/>
        <v>1140.571526239899</v>
      </c>
      <c r="M62" s="47">
        <f t="shared" si="10"/>
        <v>1198.9996897964929</v>
      </c>
      <c r="N62" s="47">
        <f t="shared" si="11"/>
        <v>13488.120465195345</v>
      </c>
    </row>
    <row r="63" spans="1:14">
      <c r="A63" t="s">
        <v>23</v>
      </c>
      <c r="B63" s="47">
        <f>B19/$B$44</f>
        <v>1372.3867691483674</v>
      </c>
      <c r="C63" s="47">
        <f t="shared" si="0"/>
        <v>1301.8176197960177</v>
      </c>
      <c r="D63" s="47">
        <f t="shared" si="1"/>
        <v>1429.847654544338</v>
      </c>
      <c r="E63" s="47">
        <f t="shared" si="2"/>
        <v>1429.2757864730395</v>
      </c>
      <c r="F63" s="47">
        <f t="shared" si="3"/>
        <v>1486.8507810315255</v>
      </c>
      <c r="G63" s="47">
        <f t="shared" si="4"/>
        <v>1466.9852732424724</v>
      </c>
      <c r="H63" s="47">
        <f t="shared" si="5"/>
        <v>1399.8409628743734</v>
      </c>
      <c r="I63" s="47">
        <f t="shared" si="6"/>
        <v>1477.5282119713368</v>
      </c>
      <c r="J63" s="47">
        <f t="shared" si="7"/>
        <v>1423.773706132577</v>
      </c>
      <c r="K63" s="47">
        <f t="shared" si="8"/>
        <v>1434.3722512311888</v>
      </c>
      <c r="L63" s="47">
        <f t="shared" si="9"/>
        <v>1404.2807567387972</v>
      </c>
      <c r="M63" s="47">
        <f t="shared" si="10"/>
        <v>1476.2179775500192</v>
      </c>
      <c r="N63" s="47">
        <f t="shared" si="11"/>
        <v>17103.177750734056</v>
      </c>
    </row>
    <row r="64" spans="1:14">
      <c r="A64" t="s">
        <v>33</v>
      </c>
      <c r="B64" s="47">
        <f>B20/$B$44</f>
        <v>795.23026654242767</v>
      </c>
      <c r="C64" s="47">
        <f t="shared" si="0"/>
        <v>721.01462808249312</v>
      </c>
      <c r="D64" s="47">
        <f t="shared" si="1"/>
        <v>859.88040893812308</v>
      </c>
      <c r="E64" s="47">
        <f t="shared" si="2"/>
        <v>859.53649946675807</v>
      </c>
      <c r="F64" s="47">
        <f t="shared" si="3"/>
        <v>894.16089438618621</v>
      </c>
      <c r="G64" s="47">
        <f t="shared" si="4"/>
        <v>882.2141943953693</v>
      </c>
      <c r="H64" s="47">
        <f t="shared" si="5"/>
        <v>879.6437204872534</v>
      </c>
      <c r="I64" s="47">
        <f t="shared" si="6"/>
        <v>897.35936956959324</v>
      </c>
      <c r="J64" s="47">
        <f t="shared" si="7"/>
        <v>864.71220311946115</v>
      </c>
      <c r="K64" s="47">
        <f t="shared" si="8"/>
        <v>873.48339433205683</v>
      </c>
      <c r="L64" s="47">
        <f t="shared" si="9"/>
        <v>850.88531672271699</v>
      </c>
      <c r="M64" s="47">
        <f t="shared" si="10"/>
        <v>894.47369790673258</v>
      </c>
      <c r="N64" s="47">
        <f t="shared" si="11"/>
        <v>10272.594593949172</v>
      </c>
    </row>
    <row r="65" spans="1:14">
      <c r="A65" t="s">
        <v>34</v>
      </c>
      <c r="B65" s="47">
        <f>B21/$B$44</f>
        <v>1319.3132458176094</v>
      </c>
      <c r="C65" s="47">
        <f t="shared" si="0"/>
        <v>1251.4731765458757</v>
      </c>
      <c r="D65" s="47">
        <f t="shared" si="1"/>
        <v>1374.5519794774762</v>
      </c>
      <c r="E65" s="47">
        <f t="shared" si="2"/>
        <v>1374.0022269308288</v>
      </c>
      <c r="F65" s="47">
        <f t="shared" si="3"/>
        <v>1429.3506568752707</v>
      </c>
      <c r="G65" s="47">
        <f t="shared" si="4"/>
        <v>235.03921891284077</v>
      </c>
      <c r="H65" s="47">
        <f t="shared" si="5"/>
        <v>2557.1878601054914</v>
      </c>
      <c r="I65" s="47">
        <f t="shared" si="6"/>
        <v>1497.5804536432481</v>
      </c>
      <c r="J65" s="47">
        <f t="shared" si="7"/>
        <v>1443.0964197093231</v>
      </c>
      <c r="K65" s="47">
        <f t="shared" si="8"/>
        <v>1457.7344398388177</v>
      </c>
      <c r="L65" s="47">
        <f t="shared" si="9"/>
        <v>1420.021077204746</v>
      </c>
      <c r="M65" s="47">
        <f t="shared" si="10"/>
        <v>1492.7646288750673</v>
      </c>
      <c r="N65" s="47">
        <f t="shared" si="11"/>
        <v>16852.115383936594</v>
      </c>
    </row>
    <row r="66" spans="1:14">
      <c r="A66" t="s">
        <v>49</v>
      </c>
      <c r="B66" s="47">
        <f>B22/$B$44</f>
        <v>12.781756350888182</v>
      </c>
      <c r="C66" s="47">
        <f t="shared" si="0"/>
        <v>12.12450892385935</v>
      </c>
      <c r="D66" s="47">
        <f t="shared" si="1"/>
        <v>13.31691965422822</v>
      </c>
      <c r="E66" s="47">
        <f t="shared" si="2"/>
        <v>13.311593547538394</v>
      </c>
      <c r="F66" s="47">
        <f t="shared" si="3"/>
        <v>11.163716576101576</v>
      </c>
      <c r="G66" s="47">
        <f t="shared" si="4"/>
        <v>0</v>
      </c>
      <c r="H66" s="47">
        <f t="shared" si="5"/>
        <v>0</v>
      </c>
      <c r="I66" s="47">
        <f t="shared" si="6"/>
        <v>0</v>
      </c>
      <c r="J66" s="47">
        <f t="shared" si="7"/>
        <v>0</v>
      </c>
      <c r="K66" s="47">
        <f t="shared" si="8"/>
        <v>0</v>
      </c>
      <c r="L66" s="47">
        <f t="shared" si="9"/>
        <v>0</v>
      </c>
      <c r="M66" s="47">
        <f t="shared" si="10"/>
        <v>0</v>
      </c>
      <c r="N66" s="47">
        <f t="shared" si="11"/>
        <v>62.698495052615726</v>
      </c>
    </row>
    <row r="67" spans="1:14">
      <c r="A67" t="s">
        <v>37</v>
      </c>
      <c r="B67" s="47">
        <f>B23/$B$44</f>
        <v>860.24423874676506</v>
      </c>
      <c r="C67" s="47">
        <f t="shared" si="0"/>
        <v>816.00983957568428</v>
      </c>
      <c r="D67" s="47">
        <f t="shared" si="1"/>
        <v>896.2620704006257</v>
      </c>
      <c r="E67" s="47">
        <f t="shared" si="2"/>
        <v>895.9036100709892</v>
      </c>
      <c r="F67" s="47">
        <f t="shared" si="3"/>
        <v>931.992968026217</v>
      </c>
      <c r="G67" s="47">
        <f t="shared" si="4"/>
        <v>919.54080147267564</v>
      </c>
      <c r="H67" s="47">
        <f t="shared" si="5"/>
        <v>916.86157045072014</v>
      </c>
      <c r="I67" s="47">
        <f t="shared" si="6"/>
        <v>935.32677114605485</v>
      </c>
      <c r="J67" s="47">
        <f t="shared" si="7"/>
        <v>879.1920713694908</v>
      </c>
      <c r="K67" s="47">
        <f t="shared" si="8"/>
        <v>911.70961796914389</v>
      </c>
      <c r="L67" s="47">
        <f t="shared" si="9"/>
        <v>929.45611306520709</v>
      </c>
      <c r="M67" s="47">
        <f t="shared" si="10"/>
        <v>977.06944773425755</v>
      </c>
      <c r="N67" s="47">
        <f t="shared" si="11"/>
        <v>10869.569120027831</v>
      </c>
    </row>
    <row r="68" spans="1:14">
      <c r="A68" t="s">
        <v>36</v>
      </c>
      <c r="B68" s="47">
        <f>B24/$B$44</f>
        <v>769.84785999485121</v>
      </c>
      <c r="C68" s="47">
        <f t="shared" si="0"/>
        <v>730.26170991539777</v>
      </c>
      <c r="D68" s="47">
        <f t="shared" si="1"/>
        <v>802.08085775462121</v>
      </c>
      <c r="E68" s="47">
        <f t="shared" si="2"/>
        <v>801.76006523403908</v>
      </c>
      <c r="F68" s="47">
        <f t="shared" si="3"/>
        <v>834.05707315227403</v>
      </c>
      <c r="G68" s="47">
        <f t="shared" si="4"/>
        <v>822.91340796771112</v>
      </c>
      <c r="H68" s="47">
        <f t="shared" si="5"/>
        <v>820.51571650314622</v>
      </c>
      <c r="I68" s="47">
        <f t="shared" si="6"/>
        <v>837.0405528221761</v>
      </c>
      <c r="J68" s="47">
        <f t="shared" si="7"/>
        <v>806.58786777738396</v>
      </c>
      <c r="K68" s="47">
        <f t="shared" si="8"/>
        <v>814.76947593847262</v>
      </c>
      <c r="L68" s="47">
        <f t="shared" si="9"/>
        <v>763.8995532103495</v>
      </c>
      <c r="M68" s="47">
        <f t="shared" si="10"/>
        <v>872.72814373807353</v>
      </c>
      <c r="N68" s="47">
        <f t="shared" si="11"/>
        <v>9676.4622840084958</v>
      </c>
    </row>
    <row r="69" spans="1:14">
      <c r="A69" t="s">
        <v>39</v>
      </c>
      <c r="B69" s="47">
        <f>B25/$B$44</f>
        <v>465.70359397644643</v>
      </c>
      <c r="C69" s="47">
        <f t="shared" si="0"/>
        <v>441.75676847794375</v>
      </c>
      <c r="D69" s="47">
        <f t="shared" si="1"/>
        <v>485.2022815501964</v>
      </c>
      <c r="E69" s="47">
        <f t="shared" si="2"/>
        <v>536.31785326686997</v>
      </c>
      <c r="F69" s="47">
        <f t="shared" si="3"/>
        <v>522.70965705086326</v>
      </c>
      <c r="G69" s="47">
        <f t="shared" si="4"/>
        <v>515.72584072172685</v>
      </c>
      <c r="H69" s="47">
        <f t="shared" si="5"/>
        <v>514.2231899757536</v>
      </c>
      <c r="I69" s="47">
        <f t="shared" si="6"/>
        <v>524.57942554185956</v>
      </c>
      <c r="J69" s="47">
        <f t="shared" si="7"/>
        <v>505.49450549450552</v>
      </c>
      <c r="K69" s="47">
        <f t="shared" si="8"/>
        <v>510.62197906156496</v>
      </c>
      <c r="L69" s="47">
        <f t="shared" si="9"/>
        <v>497.41156752226863</v>
      </c>
      <c r="M69" s="47">
        <f t="shared" si="10"/>
        <v>522.89251611121313</v>
      </c>
      <c r="N69" s="47">
        <f t="shared" si="11"/>
        <v>6042.6391787512111</v>
      </c>
    </row>
    <row r="70" spans="1:14">
      <c r="A70" t="s">
        <v>12</v>
      </c>
      <c r="B70" s="47">
        <f>B26/$B$44</f>
        <v>9917.7452766106871</v>
      </c>
      <c r="C70" s="47">
        <f t="shared" si="0"/>
        <v>9407.7674311538885</v>
      </c>
      <c r="D70" s="47">
        <f t="shared" si="1"/>
        <v>10332.994415947256</v>
      </c>
      <c r="E70" s="47">
        <f t="shared" si="2"/>
        <v>10375.761396576916</v>
      </c>
      <c r="F70" s="47">
        <f t="shared" si="3"/>
        <v>10757.328544646294</v>
      </c>
      <c r="G70" s="47">
        <f t="shared" si="4"/>
        <v>10613.602088219499</v>
      </c>
      <c r="H70" s="47">
        <f t="shared" si="5"/>
        <v>10582.677639925407</v>
      </c>
      <c r="I70" s="47">
        <f t="shared" si="6"/>
        <v>10795.808250710186</v>
      </c>
      <c r="J70" s="47">
        <f t="shared" si="7"/>
        <v>10047.495384319982</v>
      </c>
      <c r="K70" s="47">
        <f t="shared" si="8"/>
        <v>10904.636059399685</v>
      </c>
      <c r="L70" s="47">
        <f t="shared" si="9"/>
        <v>10498.567892449571</v>
      </c>
      <c r="M70" s="47">
        <f t="shared" si="10"/>
        <v>11256.591787561756</v>
      </c>
      <c r="N70" s="47">
        <f t="shared" si="11"/>
        <v>125490.97616752113</v>
      </c>
    </row>
    <row r="71" spans="1:14">
      <c r="A71" t="s">
        <v>16</v>
      </c>
      <c r="B71" s="47">
        <f>B27/$B$44</f>
        <v>2874.937260904188</v>
      </c>
      <c r="C71" s="47">
        <f t="shared" si="0"/>
        <v>2727.1058466817371</v>
      </c>
      <c r="D71" s="47">
        <f t="shared" si="1"/>
        <v>2995.3088967892622</v>
      </c>
      <c r="E71" s="47">
        <f t="shared" si="2"/>
        <v>2994.1109219446648</v>
      </c>
      <c r="F71" s="47">
        <f t="shared" si="3"/>
        <v>3114.721598813303</v>
      </c>
      <c r="G71" s="47">
        <f t="shared" si="4"/>
        <v>3073.1064434989071</v>
      </c>
      <c r="H71" s="47">
        <f t="shared" si="5"/>
        <v>3064.1524502622751</v>
      </c>
      <c r="I71" s="47">
        <f t="shared" si="6"/>
        <v>3125.8631727733955</v>
      </c>
      <c r="J71" s="47">
        <f t="shared" si="7"/>
        <v>3008.1664303438502</v>
      </c>
      <c r="K71" s="47">
        <f t="shared" si="8"/>
        <v>3045.5839359568276</v>
      </c>
      <c r="L71" s="47">
        <f t="shared" si="9"/>
        <v>2966.7909759565518</v>
      </c>
      <c r="M71" s="47">
        <f t="shared" si="10"/>
        <v>2921.725290398093</v>
      </c>
      <c r="N71" s="47">
        <f t="shared" si="11"/>
        <v>35911.573224323052</v>
      </c>
    </row>
    <row r="72" spans="1:14">
      <c r="A72" t="s">
        <v>43</v>
      </c>
      <c r="B72" s="47">
        <f>B28/$B$44</f>
        <v>126.78246222113928</v>
      </c>
      <c r="C72" s="47">
        <f t="shared" si="0"/>
        <v>120.26321362965494</v>
      </c>
      <c r="D72" s="47">
        <f t="shared" si="1"/>
        <v>132.09075627910994</v>
      </c>
      <c r="E72" s="47">
        <f t="shared" si="2"/>
        <v>132.03792653477345</v>
      </c>
      <c r="F72" s="47">
        <f t="shared" si="3"/>
        <v>130.2996245160123</v>
      </c>
      <c r="G72" s="47">
        <f t="shared" si="4"/>
        <v>140.12932928516275</v>
      </c>
      <c r="H72" s="47">
        <f t="shared" si="5"/>
        <v>139.72103979381518</v>
      </c>
      <c r="I72" s="47">
        <f t="shared" si="6"/>
        <v>142.53496189972847</v>
      </c>
      <c r="J72" s="47">
        <f t="shared" si="7"/>
        <v>137.34934420418293</v>
      </c>
      <c r="K72" s="47">
        <f t="shared" si="8"/>
        <v>138.74254457373186</v>
      </c>
      <c r="L72" s="47">
        <f t="shared" si="9"/>
        <v>135.15310622797827</v>
      </c>
      <c r="M72" s="47">
        <f t="shared" si="10"/>
        <v>142.07660695914512</v>
      </c>
      <c r="N72" s="47">
        <f t="shared" si="11"/>
        <v>1617.1809161244346</v>
      </c>
    </row>
    <row r="73" spans="1:14">
      <c r="A73" t="s">
        <v>30</v>
      </c>
      <c r="B73" s="47">
        <f>B29/$B$44</f>
        <v>575.67068246902886</v>
      </c>
      <c r="C73" s="47">
        <f t="shared" si="0"/>
        <v>546.06926741448444</v>
      </c>
      <c r="D73" s="47">
        <f t="shared" si="1"/>
        <v>599.77361602594431</v>
      </c>
      <c r="E73" s="47">
        <f t="shared" si="2"/>
        <v>599.53373635769947</v>
      </c>
      <c r="F73" s="47">
        <f t="shared" si="3"/>
        <v>623.6845349195379</v>
      </c>
      <c r="G73" s="47">
        <f t="shared" si="4"/>
        <v>615.35161399403614</v>
      </c>
      <c r="H73" s="47">
        <f t="shared" si="5"/>
        <v>613.55868742570692</v>
      </c>
      <c r="I73" s="47">
        <f t="shared" si="6"/>
        <v>625.91549751222021</v>
      </c>
      <c r="J73" s="47">
        <f t="shared" si="7"/>
        <v>603.14383197447705</v>
      </c>
      <c r="K73" s="47">
        <f t="shared" si="8"/>
        <v>611.26344748959991</v>
      </c>
      <c r="L73" s="47">
        <f t="shared" si="9"/>
        <v>607.73326450031607</v>
      </c>
      <c r="M73" s="47">
        <f t="shared" si="10"/>
        <v>653.43917808194874</v>
      </c>
      <c r="N73" s="47">
        <f t="shared" si="11"/>
        <v>7275.1373581650005</v>
      </c>
    </row>
    <row r="74" spans="1:14">
      <c r="A74" t="s">
        <v>17</v>
      </c>
      <c r="B74" s="47">
        <f>B30/$B$44</f>
        <v>2327.6805845708004</v>
      </c>
      <c r="C74" s="47">
        <f t="shared" si="0"/>
        <v>2207.9895160543974</v>
      </c>
      <c r="D74" s="47">
        <f t="shared" si="1"/>
        <v>2285.1040141046865</v>
      </c>
      <c r="E74" s="47">
        <f t="shared" si="2"/>
        <v>2509.0157077317722</v>
      </c>
      <c r="F74" s="47">
        <f t="shared" si="3"/>
        <v>2610.0854712350647</v>
      </c>
      <c r="G74" s="47">
        <f t="shared" si="4"/>
        <v>2575.212655536006</v>
      </c>
      <c r="H74" s="47">
        <f t="shared" si="5"/>
        <v>2567.7093564721745</v>
      </c>
      <c r="I74" s="47">
        <f t="shared" si="6"/>
        <v>2619.4219269654927</v>
      </c>
      <c r="J74" s="47">
        <f t="shared" si="7"/>
        <v>2524.123759305211</v>
      </c>
      <c r="K74" s="47">
        <f t="shared" si="8"/>
        <v>2549.7271589765151</v>
      </c>
      <c r="L74" s="47">
        <f t="shared" si="9"/>
        <v>2483.7626167824951</v>
      </c>
      <c r="M74" s="47">
        <f t="shared" si="10"/>
        <v>2610.9985551436266</v>
      </c>
      <c r="N74" s="47">
        <f t="shared" si="11"/>
        <v>29870.831322878243</v>
      </c>
    </row>
    <row r="75" spans="1:14">
      <c r="A75" t="s">
        <v>41</v>
      </c>
      <c r="B75" s="47">
        <f>B31/$B$44</f>
        <v>429.6279894533115</v>
      </c>
      <c r="C75" s="47">
        <f t="shared" si="0"/>
        <v>522.62694088240005</v>
      </c>
      <c r="D75" s="47">
        <f t="shared" si="1"/>
        <v>430.48970316062423</v>
      </c>
      <c r="E75" s="47">
        <f t="shared" si="2"/>
        <v>418.2393161606559</v>
      </c>
      <c r="F75" s="47">
        <f t="shared" si="3"/>
        <v>435.08709779943689</v>
      </c>
      <c r="G75" s="47">
        <f t="shared" si="4"/>
        <v>429.2739884810594</v>
      </c>
      <c r="H75" s="47">
        <f t="shared" si="5"/>
        <v>428.02322920532629</v>
      </c>
      <c r="I75" s="47">
        <f t="shared" si="6"/>
        <v>436.64343435325964</v>
      </c>
      <c r="J75" s="47">
        <f t="shared" si="7"/>
        <v>420.7577464515158</v>
      </c>
      <c r="K75" s="47">
        <f t="shared" si="8"/>
        <v>425.02569437105871</v>
      </c>
      <c r="L75" s="47">
        <f t="shared" si="9"/>
        <v>414.02976280591957</v>
      </c>
      <c r="M75" s="47">
        <f t="shared" si="10"/>
        <v>435.23930393682269</v>
      </c>
      <c r="N75" s="47">
        <f t="shared" si="11"/>
        <v>5225.0642070613903</v>
      </c>
    </row>
    <row r="76" spans="1:14">
      <c r="A76" t="s">
        <v>14</v>
      </c>
      <c r="B76" s="47">
        <f>B32/$B$44</f>
        <v>6207.8893961071253</v>
      </c>
      <c r="C76" s="47">
        <f t="shared" si="0"/>
        <v>5888.6751018534696</v>
      </c>
      <c r="D76" s="47">
        <f t="shared" si="1"/>
        <v>6167.3706312313516</v>
      </c>
      <c r="E76" s="47">
        <f t="shared" si="2"/>
        <v>6691.5054070021461</v>
      </c>
      <c r="F76" s="47">
        <f t="shared" si="3"/>
        <v>6961.0568756847069</v>
      </c>
      <c r="G76" s="47">
        <f t="shared" si="4"/>
        <v>6868.0516250246374</v>
      </c>
      <c r="H76" s="47">
        <f t="shared" si="5"/>
        <v>6848.0404445042213</v>
      </c>
      <c r="I76" s="47">
        <f t="shared" si="6"/>
        <v>6985.957056185719</v>
      </c>
      <c r="J76" s="47">
        <f t="shared" si="7"/>
        <v>6731.7983427862455</v>
      </c>
      <c r="K76" s="47">
        <f t="shared" si="8"/>
        <v>6800.0822067772979</v>
      </c>
      <c r="L76" s="47">
        <f t="shared" si="9"/>
        <v>6624.1558108597737</v>
      </c>
      <c r="M76" s="47">
        <f t="shared" si="10"/>
        <v>6963.492056099225</v>
      </c>
      <c r="N76" s="47">
        <f t="shared" si="11"/>
        <v>79738.074954115902</v>
      </c>
    </row>
    <row r="77" spans="1:14">
      <c r="A77" t="s">
        <v>25</v>
      </c>
      <c r="B77" s="47">
        <f>B33/$B$44</f>
        <v>1017.6575339643782</v>
      </c>
      <c r="C77" s="47">
        <f t="shared" si="0"/>
        <v>1013.2896108008462</v>
      </c>
      <c r="D77" s="47">
        <f t="shared" si="1"/>
        <v>1112.9437421539553</v>
      </c>
      <c r="E77" s="47">
        <f t="shared" si="2"/>
        <v>1112.4986199136476</v>
      </c>
      <c r="F77" s="47">
        <f t="shared" si="3"/>
        <v>1157.3129955534325</v>
      </c>
      <c r="G77" s="47">
        <f t="shared" si="4"/>
        <v>1141.8503744075574</v>
      </c>
      <c r="H77" s="47">
        <f t="shared" si="5"/>
        <v>1138.5234084473252</v>
      </c>
      <c r="I77" s="47">
        <f t="shared" si="6"/>
        <v>1154.2494362945749</v>
      </c>
      <c r="J77" s="47">
        <f t="shared" si="7"/>
        <v>1124.1459145693018</v>
      </c>
      <c r="K77" s="47">
        <f t="shared" si="8"/>
        <v>1135.5486665276701</v>
      </c>
      <c r="L77" s="47">
        <f t="shared" si="9"/>
        <v>1106.1706416426093</v>
      </c>
      <c r="M77" s="47">
        <f t="shared" si="10"/>
        <v>1162.8365478874077</v>
      </c>
      <c r="N77" s="47">
        <f t="shared" si="11"/>
        <v>13377.027492162706</v>
      </c>
    </row>
    <row r="78" spans="1:14">
      <c r="A78" t="s">
        <v>13</v>
      </c>
      <c r="B78" s="47">
        <f>B34/$B$44</f>
        <v>1183.1295372866341</v>
      </c>
      <c r="C78" s="47">
        <f t="shared" si="0"/>
        <v>1122.2921356904587</v>
      </c>
      <c r="D78" s="47">
        <f t="shared" si="1"/>
        <v>1232.6663532039154</v>
      </c>
      <c r="E78" s="47">
        <f t="shared" si="2"/>
        <v>1232.1733478632966</v>
      </c>
      <c r="F78" s="47">
        <f t="shared" si="3"/>
        <v>1203.5952695284484</v>
      </c>
      <c r="G78" s="47">
        <f t="shared" si="4"/>
        <v>1369.055907068084</v>
      </c>
      <c r="H78" s="47">
        <f t="shared" si="5"/>
        <v>1365.0669409981351</v>
      </c>
      <c r="I78" s="47">
        <f t="shared" si="6"/>
        <v>1392.55880655392</v>
      </c>
      <c r="J78" s="47">
        <f t="shared" si="7"/>
        <v>1341.8956043956041</v>
      </c>
      <c r="K78" s="47">
        <f t="shared" si="8"/>
        <v>1355.5070960468554</v>
      </c>
      <c r="L78" s="47">
        <f t="shared" si="9"/>
        <v>1320.4384791100656</v>
      </c>
      <c r="M78" s="47">
        <f t="shared" si="10"/>
        <v>1388.0807037745762</v>
      </c>
      <c r="N78" s="47">
        <f t="shared" si="11"/>
        <v>15506.460181519993</v>
      </c>
    </row>
    <row r="79" spans="1:14">
      <c r="A79" t="s">
        <v>15</v>
      </c>
      <c r="B79" s="47">
        <f>B35/$B$44</f>
        <v>11339.296557241949</v>
      </c>
      <c r="C79" s="47">
        <f t="shared" si="0"/>
        <v>10756.221486651493</v>
      </c>
      <c r="D79" s="47">
        <f t="shared" si="1"/>
        <v>11814.06506608653</v>
      </c>
      <c r="E79" s="47">
        <f t="shared" si="2"/>
        <v>11622.543873270955</v>
      </c>
      <c r="F79" s="47">
        <f t="shared" si="3"/>
        <v>12614.198362504532</v>
      </c>
      <c r="G79" s="47">
        <f t="shared" si="4"/>
        <v>12445.66264996373</v>
      </c>
      <c r="H79" s="47">
        <f t="shared" si="5"/>
        <v>12409.400196566152</v>
      </c>
      <c r="I79" s="47">
        <f t="shared" si="6"/>
        <v>12659.32021996257</v>
      </c>
      <c r="J79" s="47">
        <f t="shared" si="7"/>
        <v>12198.756761907998</v>
      </c>
      <c r="K79" s="47">
        <f t="shared" si="8"/>
        <v>12322.494611019696</v>
      </c>
      <c r="L79" s="47">
        <f t="shared" si="9"/>
        <v>12003.696690684375</v>
      </c>
      <c r="M79" s="47">
        <f t="shared" si="10"/>
        <v>12618.611176441525</v>
      </c>
      <c r="N79" s="47">
        <f t="shared" si="11"/>
        <v>144804.26765230153</v>
      </c>
    </row>
    <row r="81" spans="14:14">
      <c r="N81" s="95">
        <f>SUM(N46:N80)</f>
        <v>936381.73721031821</v>
      </c>
    </row>
  </sheetData>
  <conditionalFormatting sqref="Z2:Z3">
    <cfRule type="cellIs" dxfId="0" priority="1" stopIfTrue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Joshua Kiernan</dc:creator>
  <cp:keywords/>
  <dc:description/>
  <cp:lastModifiedBy/>
  <cp:revision/>
  <dcterms:created xsi:type="dcterms:W3CDTF">2024-04-23T13:45:10Z</dcterms:created>
  <dcterms:modified xsi:type="dcterms:W3CDTF">2026-05-26T09:32:04Z</dcterms:modified>
  <cp:category/>
  <cp:contentStatus/>
</cp:coreProperties>
</file>